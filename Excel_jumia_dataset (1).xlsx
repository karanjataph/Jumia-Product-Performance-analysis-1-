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1fc083303571500/"/>
    </mc:Choice>
  </mc:AlternateContent>
  <xr:revisionPtr revIDLastSave="0" documentId="8_{D321444E-0C8F-4276-8617-49FCE3CB15B8}" xr6:coauthVersionLast="47" xr6:coauthVersionMax="47" xr10:uidLastSave="{00000000-0000-0000-0000-000000000000}"/>
  <bookViews>
    <workbookView xWindow="-110" yWindow="-110" windowWidth="19420" windowHeight="10300" firstSheet="4" activeTab="6" xr2:uid="{1212DBF9-3532-4DDE-A776-ACF86CE8E034}"/>
  </bookViews>
  <sheets>
    <sheet name="Excel_jumia_dataset (1)" sheetId="1" r:id="rId1"/>
    <sheet name="Sheet2" sheetId="3" r:id="rId2"/>
    <sheet name="top discount" sheetId="2" r:id="rId3"/>
    <sheet name="nalysis" sheetId="4" r:id="rId4"/>
    <sheet name="Sheet12" sheetId="36" r:id="rId5"/>
    <sheet name="highest rated products" sheetId="7" r:id="rId6"/>
    <sheet name="Cleaned" sheetId="8" r:id="rId7"/>
    <sheet name="overview" sheetId="32" r:id="rId8"/>
    <sheet name="product perfomance" sheetId="33" r:id="rId9"/>
    <sheet name="Sheet8 (4)" sheetId="35" r:id="rId10"/>
    <sheet name="Sheet8 (5)" sheetId="37" r:id="rId11"/>
    <sheet name="Sheet7" sheetId="31" r:id="rId12"/>
    <sheet name="Discount vs Reviews" sheetId="10" r:id="rId13"/>
    <sheet name="Ratings vs Reviews" sheetId="11" r:id="rId14"/>
    <sheet name="Price vs Rating" sheetId="12" r:id="rId15"/>
    <sheet name="total product" sheetId="29" r:id="rId16"/>
    <sheet name=" Product Performance Analysis " sheetId="38" r:id="rId17"/>
    <sheet name="discount to ratings" sheetId="39" r:id="rId18"/>
    <sheet name="products to review" sheetId="40" r:id="rId19"/>
    <sheet name="Top 5 Highest-Rated Products" sheetId="13" r:id="rId20"/>
    <sheet name="Bottom 5 Products" sheetId="14" r:id="rId21"/>
    <sheet name="Products With High Discounts bu" sheetId="15" r:id="rId22"/>
    <sheet name="Products With Strong Customer E" sheetId="16" r:id="rId23"/>
    <sheet name="Dashboard" sheetId="17" r:id="rId24"/>
    <sheet name="Chart 1  Top 10 Products by Rat" sheetId="18" r:id="rId25"/>
    <sheet name="top 10 reviews" sheetId="5" r:id="rId26"/>
  </sheets>
  <definedNames>
    <definedName name="_xlnm._FilterDatabase" localSheetId="6" hidden="1">Cleaned!$A$1:$J$118</definedName>
    <definedName name="_xlnm._FilterDatabase" localSheetId="5" hidden="1">'highest rated products'!$A$1:$J$118</definedName>
    <definedName name="_xlnm._FilterDatabase" localSheetId="25" hidden="1">'top 10 reviews'!$A$1:$J$118</definedName>
    <definedName name="_xlnm._FilterDatabase" localSheetId="2" hidden="1">'top discount'!$A$1:$J$118</definedName>
    <definedName name="Slicer_Current_price">#N/A</definedName>
    <definedName name="Slicer_Discount">#N/A</definedName>
    <definedName name="Slicer_Product">#N/A</definedName>
    <definedName name="Slicer_Ratings">#N/A</definedName>
    <definedName name="Slicer_Review">#N/A</definedName>
  </definedNames>
  <calcPr calcId="191029"/>
  <pivotCaches>
    <pivotCache cacheId="5" r:id="rId27"/>
    <pivotCache cacheId="18" r:id="rId28"/>
    <pivotCache cacheId="20" r:id="rId29"/>
    <pivotCache cacheId="30" r:id="rId30"/>
  </pivotCaches>
  <extLst>
    <ext xmlns:x14="http://schemas.microsoft.com/office/spreadsheetml/2009/9/main" uri="{BBE1A952-AA13-448e-AADC-164F8A28A991}">
      <x14:slicerCaches>
        <x14:slicerCache r:id="rId31"/>
        <x14:slicerCache r:id="rId32"/>
        <x14:slicerCache r:id="rId33"/>
        <x14:slicerCache r:id="rId34"/>
        <x14:slicerCache r:id="rId3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8" i="8" l="1"/>
  <c r="B117" i="8"/>
  <c r="J113" i="31"/>
  <c r="H113" i="31"/>
  <c r="G113" i="31"/>
  <c r="J112" i="31"/>
  <c r="H112" i="31"/>
  <c r="G112" i="31"/>
  <c r="J111" i="31"/>
  <c r="H111" i="31"/>
  <c r="G111" i="31"/>
  <c r="J110" i="31"/>
  <c r="H110" i="31"/>
  <c r="G110" i="31"/>
  <c r="J109" i="31"/>
  <c r="H109" i="31"/>
  <c r="G109" i="31"/>
  <c r="J108" i="31"/>
  <c r="H108" i="31"/>
  <c r="G108" i="31"/>
  <c r="J107" i="31"/>
  <c r="H107" i="31"/>
  <c r="G107" i="31"/>
  <c r="J106" i="31"/>
  <c r="H106" i="31"/>
  <c r="G106" i="31"/>
  <c r="J105" i="31"/>
  <c r="H105" i="31"/>
  <c r="G105" i="31"/>
  <c r="J104" i="31"/>
  <c r="H104" i="31"/>
  <c r="G104" i="31"/>
  <c r="J103" i="31"/>
  <c r="H103" i="31"/>
  <c r="G103" i="31"/>
  <c r="J102" i="31"/>
  <c r="H102" i="31"/>
  <c r="G102" i="31"/>
  <c r="J101" i="31"/>
  <c r="H101" i="31"/>
  <c r="G101" i="31"/>
  <c r="J100" i="31"/>
  <c r="H100" i="31"/>
  <c r="G100" i="31"/>
  <c r="J99" i="31"/>
  <c r="H99" i="31"/>
  <c r="G99" i="31"/>
  <c r="J98" i="31"/>
  <c r="H98" i="31"/>
  <c r="G98" i="31"/>
  <c r="J97" i="31"/>
  <c r="H97" i="31"/>
  <c r="G97" i="31"/>
  <c r="J96" i="31"/>
  <c r="H96" i="31"/>
  <c r="G96" i="31"/>
  <c r="J95" i="31"/>
  <c r="H95" i="31"/>
  <c r="G95" i="31"/>
  <c r="J94" i="31"/>
  <c r="H94" i="31"/>
  <c r="G94" i="31"/>
  <c r="J93" i="31"/>
  <c r="H93" i="31"/>
  <c r="G93" i="31"/>
  <c r="J92" i="31"/>
  <c r="H92" i="31"/>
  <c r="G92" i="31"/>
  <c r="J91" i="31"/>
  <c r="H91" i="31"/>
  <c r="G91" i="31"/>
  <c r="J90" i="31"/>
  <c r="H90" i="31"/>
  <c r="G90" i="31"/>
  <c r="J89" i="31"/>
  <c r="H89" i="31"/>
  <c r="G89" i="31"/>
  <c r="J88" i="31"/>
  <c r="H88" i="31"/>
  <c r="G88" i="31"/>
  <c r="J87" i="31"/>
  <c r="H87" i="31"/>
  <c r="G87" i="31"/>
  <c r="J86" i="31"/>
  <c r="H86" i="31"/>
  <c r="G86" i="31"/>
  <c r="J85" i="31"/>
  <c r="H85" i="31"/>
  <c r="G85" i="31"/>
  <c r="J84" i="31"/>
  <c r="H84" i="31"/>
  <c r="G84" i="31"/>
  <c r="J83" i="31"/>
  <c r="H83" i="31"/>
  <c r="G83" i="31"/>
  <c r="J82" i="31"/>
  <c r="H82" i="31"/>
  <c r="G82" i="31"/>
  <c r="J81" i="31"/>
  <c r="H81" i="31"/>
  <c r="G81" i="31"/>
  <c r="J80" i="31"/>
  <c r="H80" i="31"/>
  <c r="G80" i="31"/>
  <c r="J79" i="31"/>
  <c r="H79" i="31"/>
  <c r="G79" i="31"/>
  <c r="J78" i="31"/>
  <c r="H78" i="31"/>
  <c r="G78" i="31"/>
  <c r="J77" i="31"/>
  <c r="H77" i="31"/>
  <c r="G77" i="31"/>
  <c r="J76" i="31"/>
  <c r="H76" i="31"/>
  <c r="G76" i="31"/>
  <c r="J75" i="31"/>
  <c r="H75" i="31"/>
  <c r="G75" i="31"/>
  <c r="J74" i="31"/>
  <c r="H74" i="31"/>
  <c r="G74" i="31"/>
  <c r="J73" i="31"/>
  <c r="H73" i="31"/>
  <c r="G73" i="31"/>
  <c r="J72" i="31"/>
  <c r="H72" i="31"/>
  <c r="G72" i="31"/>
  <c r="J71" i="31"/>
  <c r="H71" i="31"/>
  <c r="G71" i="31"/>
  <c r="J70" i="31"/>
  <c r="H70" i="31"/>
  <c r="G70" i="31"/>
  <c r="J69" i="31"/>
  <c r="H69" i="31"/>
  <c r="G69" i="31"/>
  <c r="J68" i="31"/>
  <c r="H68" i="31"/>
  <c r="G68" i="31"/>
  <c r="J67" i="31"/>
  <c r="H67" i="31"/>
  <c r="G67" i="31"/>
  <c r="J66" i="31"/>
  <c r="H66" i="31"/>
  <c r="G66" i="31"/>
  <c r="J65" i="31"/>
  <c r="H65" i="31"/>
  <c r="G65" i="31"/>
  <c r="J64" i="31"/>
  <c r="H64" i="31"/>
  <c r="G64" i="31"/>
  <c r="J63" i="31"/>
  <c r="H63" i="31"/>
  <c r="G63" i="31"/>
  <c r="J62" i="31"/>
  <c r="H62" i="31"/>
  <c r="G62" i="31"/>
  <c r="J61" i="31"/>
  <c r="H61" i="31"/>
  <c r="G61" i="31"/>
  <c r="J60" i="31"/>
  <c r="H60" i="31"/>
  <c r="G60" i="31"/>
  <c r="J59" i="31"/>
  <c r="H59" i="31"/>
  <c r="G59" i="31"/>
  <c r="J58" i="31"/>
  <c r="H58" i="31"/>
  <c r="G58" i="31"/>
  <c r="J57" i="31"/>
  <c r="H57" i="31"/>
  <c r="G57" i="31"/>
  <c r="J56" i="31"/>
  <c r="H56" i="31"/>
  <c r="G56" i="31"/>
  <c r="J55" i="31"/>
  <c r="H55" i="31"/>
  <c r="G55" i="31"/>
  <c r="J54" i="31"/>
  <c r="H54" i="31"/>
  <c r="G54" i="31"/>
  <c r="J53" i="31"/>
  <c r="H53" i="31"/>
  <c r="G53" i="31"/>
  <c r="J52" i="31"/>
  <c r="H52" i="31"/>
  <c r="G52" i="31"/>
  <c r="J51" i="31"/>
  <c r="H51" i="31"/>
  <c r="G51" i="31"/>
  <c r="J50" i="31"/>
  <c r="H50" i="31"/>
  <c r="G50" i="31"/>
  <c r="J49" i="31"/>
  <c r="H49" i="31"/>
  <c r="G49" i="31"/>
  <c r="J48" i="31"/>
  <c r="H48" i="31"/>
  <c r="G48" i="31"/>
  <c r="J47" i="31"/>
  <c r="H47" i="31"/>
  <c r="G47" i="31"/>
  <c r="J46" i="31"/>
  <c r="H46" i="31"/>
  <c r="G46" i="31"/>
  <c r="J45" i="31"/>
  <c r="H45" i="31"/>
  <c r="G45" i="31"/>
  <c r="J44" i="31"/>
  <c r="H44" i="31"/>
  <c r="G44" i="31"/>
  <c r="J43" i="31"/>
  <c r="H43" i="31"/>
  <c r="G43" i="31"/>
  <c r="J42" i="31"/>
  <c r="H42" i="31"/>
  <c r="G42" i="31"/>
  <c r="J41" i="31"/>
  <c r="H41" i="31"/>
  <c r="G41" i="31"/>
  <c r="J40" i="31"/>
  <c r="H40" i="31"/>
  <c r="G40" i="31"/>
  <c r="J39" i="31"/>
  <c r="H39" i="31"/>
  <c r="G39" i="31"/>
  <c r="J38" i="31"/>
  <c r="H38" i="31"/>
  <c r="G38" i="31"/>
  <c r="J37" i="31"/>
  <c r="H37" i="31"/>
  <c r="G37" i="31"/>
  <c r="J36" i="31"/>
  <c r="H36" i="31"/>
  <c r="G36" i="31"/>
  <c r="J35" i="31"/>
  <c r="H35" i="31"/>
  <c r="G35" i="31"/>
  <c r="J34" i="31"/>
  <c r="H34" i="31"/>
  <c r="G34" i="31"/>
  <c r="J33" i="31"/>
  <c r="H33" i="31"/>
  <c r="G33" i="31"/>
  <c r="J32" i="31"/>
  <c r="H32" i="31"/>
  <c r="G32" i="31"/>
  <c r="J31" i="31"/>
  <c r="H31" i="31"/>
  <c r="G31" i="31"/>
  <c r="J30" i="31"/>
  <c r="H30" i="31"/>
  <c r="G30" i="31"/>
  <c r="J29" i="31"/>
  <c r="H29" i="31"/>
  <c r="G29" i="31"/>
  <c r="J28" i="31"/>
  <c r="H28" i="31"/>
  <c r="G28" i="31"/>
  <c r="J27" i="31"/>
  <c r="H27" i="31"/>
  <c r="G27" i="31"/>
  <c r="J26" i="31"/>
  <c r="H26" i="31"/>
  <c r="G26" i="31"/>
  <c r="J25" i="31"/>
  <c r="H25" i="31"/>
  <c r="G25" i="31"/>
  <c r="J24" i="31"/>
  <c r="H24" i="31"/>
  <c r="G24" i="31"/>
  <c r="J23" i="31"/>
  <c r="H23" i="31"/>
  <c r="G23" i="31"/>
  <c r="J22" i="31"/>
  <c r="H22" i="31"/>
  <c r="G22" i="31"/>
  <c r="J21" i="31"/>
  <c r="H21" i="31"/>
  <c r="G21" i="31"/>
  <c r="J20" i="31"/>
  <c r="H20" i="31"/>
  <c r="G20" i="31"/>
  <c r="J19" i="31"/>
  <c r="H19" i="31"/>
  <c r="G19" i="31"/>
  <c r="J18" i="31"/>
  <c r="H18" i="31"/>
  <c r="G18" i="31"/>
  <c r="J17" i="31"/>
  <c r="H17" i="31"/>
  <c r="G17" i="31"/>
  <c r="J16" i="31"/>
  <c r="H16" i="31"/>
  <c r="G16" i="31"/>
  <c r="J15" i="31"/>
  <c r="H15" i="31"/>
  <c r="G15" i="31"/>
  <c r="J14" i="31"/>
  <c r="H14" i="31"/>
  <c r="G14" i="31"/>
  <c r="J13" i="31"/>
  <c r="H13" i="31"/>
  <c r="G13" i="31"/>
  <c r="J12" i="31"/>
  <c r="H12" i="31"/>
  <c r="G12" i="31"/>
  <c r="J11" i="31"/>
  <c r="H11" i="31"/>
  <c r="G11" i="31"/>
  <c r="J10" i="31"/>
  <c r="H10" i="31"/>
  <c r="G10" i="31"/>
  <c r="J9" i="31"/>
  <c r="H9" i="31"/>
  <c r="G9" i="31"/>
  <c r="J8" i="31"/>
  <c r="H8" i="31"/>
  <c r="G8" i="31"/>
  <c r="J7" i="31"/>
  <c r="H7" i="31"/>
  <c r="G7" i="31"/>
  <c r="J6" i="31"/>
  <c r="H6" i="31"/>
  <c r="G6" i="31"/>
  <c r="J5" i="31"/>
  <c r="H5" i="31"/>
  <c r="G5" i="31"/>
  <c r="J4" i="31"/>
  <c r="H4" i="31"/>
  <c r="G4" i="31"/>
  <c r="J3" i="31"/>
  <c r="H3" i="31"/>
  <c r="G3" i="31"/>
  <c r="J2" i="31"/>
  <c r="H2" i="31"/>
  <c r="G2" i="31"/>
  <c r="J56" i="16"/>
  <c r="H56" i="16"/>
  <c r="G56" i="16"/>
  <c r="J113" i="16"/>
  <c r="H113" i="16"/>
  <c r="G113" i="16"/>
  <c r="J55" i="16"/>
  <c r="H55" i="16"/>
  <c r="G55" i="16"/>
  <c r="J54" i="16"/>
  <c r="H54" i="16"/>
  <c r="G54" i="16"/>
  <c r="J53" i="16"/>
  <c r="H53" i="16"/>
  <c r="G53" i="16"/>
  <c r="J52" i="16"/>
  <c r="H52" i="16"/>
  <c r="G52" i="16"/>
  <c r="J51" i="16"/>
  <c r="H51" i="16"/>
  <c r="G51" i="16"/>
  <c r="J50" i="16"/>
  <c r="H50" i="16"/>
  <c r="G50" i="16"/>
  <c r="J49" i="16"/>
  <c r="H49" i="16"/>
  <c r="G49" i="16"/>
  <c r="J48" i="16"/>
  <c r="H48" i="16"/>
  <c r="G48" i="16"/>
  <c r="J112" i="16"/>
  <c r="H112" i="16"/>
  <c r="G112" i="16"/>
  <c r="J47" i="16"/>
  <c r="H47" i="16"/>
  <c r="G47" i="16"/>
  <c r="J46" i="16"/>
  <c r="H46" i="16"/>
  <c r="G46" i="16"/>
  <c r="J45" i="16"/>
  <c r="H45" i="16"/>
  <c r="G45" i="16"/>
  <c r="J44" i="16"/>
  <c r="H44" i="16"/>
  <c r="G44" i="16"/>
  <c r="J43" i="16"/>
  <c r="H43" i="16"/>
  <c r="G43" i="16"/>
  <c r="J42" i="16"/>
  <c r="H42" i="16"/>
  <c r="G42" i="16"/>
  <c r="J41" i="16"/>
  <c r="H41" i="16"/>
  <c r="G41" i="16"/>
  <c r="J40" i="16"/>
  <c r="H40" i="16"/>
  <c r="G40" i="16"/>
  <c r="J39" i="16"/>
  <c r="H39" i="16"/>
  <c r="G39" i="16"/>
  <c r="J38" i="16"/>
  <c r="H38" i="16"/>
  <c r="G38" i="16"/>
  <c r="J37" i="16"/>
  <c r="H37" i="16"/>
  <c r="G37" i="16"/>
  <c r="J36" i="16"/>
  <c r="H36" i="16"/>
  <c r="G36" i="16"/>
  <c r="J35" i="16"/>
  <c r="H35" i="16"/>
  <c r="G35" i="16"/>
  <c r="J34" i="16"/>
  <c r="H34" i="16"/>
  <c r="G34" i="16"/>
  <c r="J33" i="16"/>
  <c r="H33" i="16"/>
  <c r="G33" i="16"/>
  <c r="J32" i="16"/>
  <c r="H32" i="16"/>
  <c r="G32" i="16"/>
  <c r="J31" i="16"/>
  <c r="H31" i="16"/>
  <c r="G31" i="16"/>
  <c r="J30" i="16"/>
  <c r="H30" i="16"/>
  <c r="G30" i="16"/>
  <c r="J111" i="16"/>
  <c r="H111" i="16"/>
  <c r="G111" i="16"/>
  <c r="J29" i="16"/>
  <c r="H29" i="16"/>
  <c r="G29" i="16"/>
  <c r="J28" i="16"/>
  <c r="H28" i="16"/>
  <c r="G28" i="16"/>
  <c r="J110" i="16"/>
  <c r="H110" i="16"/>
  <c r="G110" i="16"/>
  <c r="J109" i="16"/>
  <c r="H109" i="16"/>
  <c r="G109" i="16"/>
  <c r="J27" i="16"/>
  <c r="H27" i="16"/>
  <c r="G27" i="16"/>
  <c r="J26" i="16"/>
  <c r="H26" i="16"/>
  <c r="G26" i="16"/>
  <c r="J25" i="16"/>
  <c r="H25" i="16"/>
  <c r="G25" i="16"/>
  <c r="J24" i="16"/>
  <c r="H24" i="16"/>
  <c r="G24" i="16"/>
  <c r="J87" i="16"/>
  <c r="H87" i="16"/>
  <c r="G87" i="16"/>
  <c r="J93" i="16"/>
  <c r="H93" i="16"/>
  <c r="G93" i="16"/>
  <c r="J100" i="16"/>
  <c r="H100" i="16"/>
  <c r="G100" i="16"/>
  <c r="J92" i="16"/>
  <c r="H92" i="16"/>
  <c r="G92" i="16"/>
  <c r="J99" i="16"/>
  <c r="H99" i="16"/>
  <c r="G99" i="16"/>
  <c r="J67" i="16"/>
  <c r="H67" i="16"/>
  <c r="G67" i="16"/>
  <c r="J98" i="16"/>
  <c r="H98" i="16"/>
  <c r="G98" i="16"/>
  <c r="J86" i="16"/>
  <c r="H86" i="16"/>
  <c r="G86" i="16"/>
  <c r="J91" i="16"/>
  <c r="H91" i="16"/>
  <c r="G91" i="16"/>
  <c r="J68" i="16"/>
  <c r="H68" i="16"/>
  <c r="G68" i="16"/>
  <c r="J70" i="16"/>
  <c r="H70" i="16"/>
  <c r="G70" i="16"/>
  <c r="J57" i="16"/>
  <c r="H57" i="16"/>
  <c r="G57" i="16"/>
  <c r="J75" i="16"/>
  <c r="H75" i="16"/>
  <c r="G75" i="16"/>
  <c r="J80" i="16"/>
  <c r="H80" i="16"/>
  <c r="G80" i="16"/>
  <c r="J90" i="16"/>
  <c r="H90" i="16"/>
  <c r="G90" i="16"/>
  <c r="J23" i="16"/>
  <c r="H23" i="16"/>
  <c r="G23" i="16"/>
  <c r="J22" i="16"/>
  <c r="H22" i="16"/>
  <c r="G22" i="16"/>
  <c r="J21" i="16"/>
  <c r="H21" i="16"/>
  <c r="G21" i="16"/>
  <c r="J20" i="16"/>
  <c r="H20" i="16"/>
  <c r="G20" i="16"/>
  <c r="J19" i="16"/>
  <c r="H19" i="16"/>
  <c r="G19" i="16"/>
  <c r="J18" i="16"/>
  <c r="H18" i="16"/>
  <c r="G18" i="16"/>
  <c r="J17" i="16"/>
  <c r="H17" i="16"/>
  <c r="G17" i="16"/>
  <c r="J16" i="16"/>
  <c r="H16" i="16"/>
  <c r="G16" i="16"/>
  <c r="J15" i="16"/>
  <c r="H15" i="16"/>
  <c r="G15" i="16"/>
  <c r="J14" i="16"/>
  <c r="H14" i="16"/>
  <c r="G14" i="16"/>
  <c r="J13" i="16"/>
  <c r="H13" i="16"/>
  <c r="G13" i="16"/>
  <c r="J12" i="16"/>
  <c r="H12" i="16"/>
  <c r="G12" i="16"/>
  <c r="J11" i="16"/>
  <c r="H11" i="16"/>
  <c r="G11" i="16"/>
  <c r="J10" i="16"/>
  <c r="H10" i="16"/>
  <c r="G10" i="16"/>
  <c r="J9" i="16"/>
  <c r="H9" i="16"/>
  <c r="G9" i="16"/>
  <c r="J8" i="16"/>
  <c r="H8" i="16"/>
  <c r="G8" i="16"/>
  <c r="J7" i="16"/>
  <c r="H7" i="16"/>
  <c r="G7" i="16"/>
  <c r="J6" i="16"/>
  <c r="H6" i="16"/>
  <c r="G6" i="16"/>
  <c r="J5" i="16"/>
  <c r="H5" i="16"/>
  <c r="G5" i="16"/>
  <c r="J4" i="16"/>
  <c r="H4" i="16"/>
  <c r="G4" i="16"/>
  <c r="J107" i="16"/>
  <c r="H107" i="16"/>
  <c r="G107" i="16"/>
  <c r="J62" i="16"/>
  <c r="H62" i="16"/>
  <c r="G62" i="16"/>
  <c r="J106" i="16"/>
  <c r="H106" i="16"/>
  <c r="G106" i="16"/>
  <c r="J108" i="16"/>
  <c r="H108" i="16"/>
  <c r="G108" i="16"/>
  <c r="J63" i="16"/>
  <c r="H63" i="16"/>
  <c r="G63" i="16"/>
  <c r="J66" i="16"/>
  <c r="H66" i="16"/>
  <c r="G66" i="16"/>
  <c r="J83" i="16"/>
  <c r="H83" i="16"/>
  <c r="G83" i="16"/>
  <c r="J79" i="16"/>
  <c r="H79" i="16"/>
  <c r="G79" i="16"/>
  <c r="J82" i="16"/>
  <c r="H82" i="16"/>
  <c r="G82" i="16"/>
  <c r="J3" i="16"/>
  <c r="H3" i="16"/>
  <c r="G3" i="16"/>
  <c r="J65" i="16"/>
  <c r="H65" i="16"/>
  <c r="G65" i="16"/>
  <c r="J74" i="16"/>
  <c r="H74" i="16"/>
  <c r="G74" i="16"/>
  <c r="J78" i="16"/>
  <c r="H78" i="16"/>
  <c r="G78" i="16"/>
  <c r="J59" i="16"/>
  <c r="H59" i="16"/>
  <c r="G59" i="16"/>
  <c r="J85" i="16"/>
  <c r="H85" i="16"/>
  <c r="G85" i="16"/>
  <c r="J72" i="16"/>
  <c r="H72" i="16"/>
  <c r="G72" i="16"/>
  <c r="J89" i="16"/>
  <c r="H89" i="16"/>
  <c r="G89" i="16"/>
  <c r="J2" i="16"/>
  <c r="H2" i="16"/>
  <c r="G2" i="16"/>
  <c r="J73" i="16"/>
  <c r="H73" i="16"/>
  <c r="G73" i="16"/>
  <c r="J60" i="16"/>
  <c r="H60" i="16"/>
  <c r="G60" i="16"/>
  <c r="J97" i="16"/>
  <c r="H97" i="16"/>
  <c r="G97" i="16"/>
  <c r="J101" i="16"/>
  <c r="H101" i="16"/>
  <c r="G101" i="16"/>
  <c r="J105" i="16"/>
  <c r="H105" i="16"/>
  <c r="G105" i="16"/>
  <c r="J104" i="16"/>
  <c r="H104" i="16"/>
  <c r="G104" i="16"/>
  <c r="J81" i="16"/>
  <c r="H81" i="16"/>
  <c r="G81" i="16"/>
  <c r="J88" i="16"/>
  <c r="H88" i="16"/>
  <c r="G88" i="16"/>
  <c r="J77" i="16"/>
  <c r="H77" i="16"/>
  <c r="G77" i="16"/>
  <c r="J61" i="16"/>
  <c r="H61" i="16"/>
  <c r="G61" i="16"/>
  <c r="J76" i="16"/>
  <c r="H76" i="16"/>
  <c r="G76" i="16"/>
  <c r="J96" i="16"/>
  <c r="H96" i="16"/>
  <c r="G96" i="16"/>
  <c r="J95" i="16"/>
  <c r="H95" i="16"/>
  <c r="G95" i="16"/>
  <c r="J103" i="16"/>
  <c r="H103" i="16"/>
  <c r="G103" i="16"/>
  <c r="J58" i="16"/>
  <c r="H58" i="16"/>
  <c r="G58" i="16"/>
  <c r="J69" i="16"/>
  <c r="H69" i="16"/>
  <c r="G69" i="16"/>
  <c r="J94" i="16"/>
  <c r="H94" i="16"/>
  <c r="G94" i="16"/>
  <c r="J84" i="16"/>
  <c r="H84" i="16"/>
  <c r="G84" i="16"/>
  <c r="J64" i="16"/>
  <c r="H64" i="16"/>
  <c r="G64" i="16"/>
  <c r="J71" i="16"/>
  <c r="H71" i="16"/>
  <c r="G71" i="16"/>
  <c r="J102" i="16"/>
  <c r="H102" i="16"/>
  <c r="G102" i="16"/>
  <c r="J45" i="15"/>
  <c r="H45" i="15"/>
  <c r="G45" i="15"/>
  <c r="J20" i="15"/>
  <c r="H20" i="15"/>
  <c r="G20" i="15"/>
  <c r="J2" i="15"/>
  <c r="H2" i="15"/>
  <c r="G2" i="15"/>
  <c r="J112" i="15"/>
  <c r="H112" i="15"/>
  <c r="G112" i="15"/>
  <c r="J111" i="15"/>
  <c r="H111" i="15"/>
  <c r="G111" i="15"/>
  <c r="J78" i="15"/>
  <c r="H78" i="15"/>
  <c r="G78" i="15"/>
  <c r="J77" i="15"/>
  <c r="H77" i="15"/>
  <c r="G77" i="15"/>
  <c r="J90" i="15"/>
  <c r="H90" i="15"/>
  <c r="G90" i="15"/>
  <c r="J113" i="15"/>
  <c r="H113" i="15"/>
  <c r="G113" i="15"/>
  <c r="J63" i="15"/>
  <c r="H63" i="15"/>
  <c r="G63" i="15"/>
  <c r="J94" i="15"/>
  <c r="H94" i="15"/>
  <c r="G94" i="15"/>
  <c r="J60" i="15"/>
  <c r="H60" i="15"/>
  <c r="G60" i="15"/>
  <c r="J34" i="15"/>
  <c r="H34" i="15"/>
  <c r="G34" i="15"/>
  <c r="J105" i="15"/>
  <c r="H105" i="15"/>
  <c r="G105" i="15"/>
  <c r="J33" i="15"/>
  <c r="H33" i="15"/>
  <c r="G33" i="15"/>
  <c r="J110" i="15"/>
  <c r="H110" i="15"/>
  <c r="G110" i="15"/>
  <c r="J103" i="15"/>
  <c r="H103" i="15"/>
  <c r="G103" i="15"/>
  <c r="J19" i="15"/>
  <c r="H19" i="15"/>
  <c r="G19" i="15"/>
  <c r="J44" i="15"/>
  <c r="H44" i="15"/>
  <c r="G44" i="15"/>
  <c r="J38" i="15"/>
  <c r="H38" i="15"/>
  <c r="G38" i="15"/>
  <c r="J37" i="15"/>
  <c r="H37" i="15"/>
  <c r="G37" i="15"/>
  <c r="J18" i="15"/>
  <c r="H18" i="15"/>
  <c r="G18" i="15"/>
  <c r="J56" i="15"/>
  <c r="H56" i="15"/>
  <c r="G56" i="15"/>
  <c r="J99" i="15"/>
  <c r="H99" i="15"/>
  <c r="G99" i="15"/>
  <c r="J32" i="15"/>
  <c r="H32" i="15"/>
  <c r="G32" i="15"/>
  <c r="J101" i="15"/>
  <c r="H101" i="15"/>
  <c r="G101" i="15"/>
  <c r="J31" i="15"/>
  <c r="H31" i="15"/>
  <c r="G31" i="15"/>
  <c r="J98" i="15"/>
  <c r="H98" i="15"/>
  <c r="G98" i="15"/>
  <c r="J30" i="15"/>
  <c r="H30" i="15"/>
  <c r="G30" i="15"/>
  <c r="J29" i="15"/>
  <c r="H29" i="15"/>
  <c r="G29" i="15"/>
  <c r="J109" i="15"/>
  <c r="H109" i="15"/>
  <c r="G109" i="15"/>
  <c r="J72" i="15"/>
  <c r="H72" i="15"/>
  <c r="G72" i="15"/>
  <c r="J28" i="15"/>
  <c r="H28" i="15"/>
  <c r="G28" i="15"/>
  <c r="J48" i="15"/>
  <c r="H48" i="15"/>
  <c r="G48" i="15"/>
  <c r="J27" i="15"/>
  <c r="H27" i="15"/>
  <c r="G27" i="15"/>
  <c r="J104" i="15"/>
  <c r="H104" i="15"/>
  <c r="G104" i="15"/>
  <c r="J55" i="15"/>
  <c r="H55" i="15"/>
  <c r="G55" i="15"/>
  <c r="J43" i="15"/>
  <c r="H43" i="15"/>
  <c r="G43" i="15"/>
  <c r="J42" i="15"/>
  <c r="H42" i="15"/>
  <c r="G42" i="15"/>
  <c r="J41" i="15"/>
  <c r="H41" i="15"/>
  <c r="G41" i="15"/>
  <c r="J54" i="15"/>
  <c r="H54" i="15"/>
  <c r="G54" i="15"/>
  <c r="J53" i="15"/>
  <c r="H53" i="15"/>
  <c r="G53" i="15"/>
  <c r="J83" i="15"/>
  <c r="H83" i="15"/>
  <c r="G83" i="15"/>
  <c r="J52" i="15"/>
  <c r="H52" i="15"/>
  <c r="G52" i="15"/>
  <c r="J65" i="15"/>
  <c r="H65" i="15"/>
  <c r="G65" i="15"/>
  <c r="J17" i="15"/>
  <c r="H17" i="15"/>
  <c r="G17" i="15"/>
  <c r="J51" i="15"/>
  <c r="H51" i="15"/>
  <c r="G51" i="15"/>
  <c r="J93" i="15"/>
  <c r="H93" i="15"/>
  <c r="G93" i="15"/>
  <c r="J12" i="15"/>
  <c r="H12" i="15"/>
  <c r="G12" i="15"/>
  <c r="J26" i="15"/>
  <c r="H26" i="15"/>
  <c r="G26" i="15"/>
  <c r="J6" i="15"/>
  <c r="H6" i="15"/>
  <c r="G6" i="15"/>
  <c r="J8" i="15"/>
  <c r="H8" i="15"/>
  <c r="G8" i="15"/>
  <c r="J100" i="15"/>
  <c r="H100" i="15"/>
  <c r="G100" i="15"/>
  <c r="J5" i="15"/>
  <c r="H5" i="15"/>
  <c r="G5" i="15"/>
  <c r="J86" i="15"/>
  <c r="H86" i="15"/>
  <c r="G86" i="15"/>
  <c r="J25" i="15"/>
  <c r="H25" i="15"/>
  <c r="G25" i="15"/>
  <c r="J36" i="15"/>
  <c r="H36" i="15"/>
  <c r="G36" i="15"/>
  <c r="J50" i="15"/>
  <c r="H50" i="15"/>
  <c r="G50" i="15"/>
  <c r="J62" i="15"/>
  <c r="H62" i="15"/>
  <c r="G62" i="15"/>
  <c r="J106" i="15"/>
  <c r="H106" i="15"/>
  <c r="G106" i="15"/>
  <c r="J92" i="15"/>
  <c r="H92" i="15"/>
  <c r="G92" i="15"/>
  <c r="J108" i="15"/>
  <c r="H108" i="15"/>
  <c r="G108" i="15"/>
  <c r="J16" i="15"/>
  <c r="H16" i="15"/>
  <c r="G16" i="15"/>
  <c r="J3" i="15"/>
  <c r="H3" i="15"/>
  <c r="G3" i="15"/>
  <c r="J69" i="15"/>
  <c r="H69" i="15"/>
  <c r="G69" i="15"/>
  <c r="J24" i="15"/>
  <c r="H24" i="15"/>
  <c r="G24" i="15"/>
  <c r="J80" i="15"/>
  <c r="H80" i="15"/>
  <c r="G80" i="15"/>
  <c r="J15" i="15"/>
  <c r="H15" i="15"/>
  <c r="G15" i="15"/>
  <c r="J107" i="15"/>
  <c r="H107" i="15"/>
  <c r="G107" i="15"/>
  <c r="J59" i="15"/>
  <c r="H59" i="15"/>
  <c r="G59" i="15"/>
  <c r="J14" i="15"/>
  <c r="H14" i="15"/>
  <c r="G14" i="15"/>
  <c r="J23" i="15"/>
  <c r="H23" i="15"/>
  <c r="G23" i="15"/>
  <c r="J68" i="15"/>
  <c r="H68" i="15"/>
  <c r="G68" i="15"/>
  <c r="J67" i="15"/>
  <c r="H67" i="15"/>
  <c r="G67" i="15"/>
  <c r="J61" i="15"/>
  <c r="H61" i="15"/>
  <c r="G61" i="15"/>
  <c r="J10" i="15"/>
  <c r="H10" i="15"/>
  <c r="G10" i="15"/>
  <c r="J64" i="15"/>
  <c r="H64" i="15"/>
  <c r="G64" i="15"/>
  <c r="J85" i="15"/>
  <c r="H85" i="15"/>
  <c r="G85" i="15"/>
  <c r="J84" i="15"/>
  <c r="H84" i="15"/>
  <c r="G84" i="15"/>
  <c r="J35" i="15"/>
  <c r="H35" i="15"/>
  <c r="G35" i="15"/>
  <c r="J76" i="15"/>
  <c r="H76" i="15"/>
  <c r="G76" i="15"/>
  <c r="J11" i="15"/>
  <c r="H11" i="15"/>
  <c r="G11" i="15"/>
  <c r="J47" i="15"/>
  <c r="H47" i="15"/>
  <c r="G47" i="15"/>
  <c r="J82" i="15"/>
  <c r="H82" i="15"/>
  <c r="G82" i="15"/>
  <c r="J81" i="15"/>
  <c r="H81" i="15"/>
  <c r="G81" i="15"/>
  <c r="J97" i="15"/>
  <c r="H97" i="15"/>
  <c r="G97" i="15"/>
  <c r="J74" i="15"/>
  <c r="H74" i="15"/>
  <c r="G74" i="15"/>
  <c r="J7" i="15"/>
  <c r="H7" i="15"/>
  <c r="G7" i="15"/>
  <c r="J91" i="15"/>
  <c r="H91" i="15"/>
  <c r="G91" i="15"/>
  <c r="J73" i="15"/>
  <c r="H73" i="15"/>
  <c r="G73" i="15"/>
  <c r="J58" i="15"/>
  <c r="H58" i="15"/>
  <c r="G58" i="15"/>
  <c r="J9" i="15"/>
  <c r="H9" i="15"/>
  <c r="G9" i="15"/>
  <c r="J22" i="15"/>
  <c r="H22" i="15"/>
  <c r="G22" i="15"/>
  <c r="J96" i="15"/>
  <c r="H96" i="15"/>
  <c r="G96" i="15"/>
  <c r="J21" i="15"/>
  <c r="H21" i="15"/>
  <c r="G21" i="15"/>
  <c r="J46" i="15"/>
  <c r="H46" i="15"/>
  <c r="G46" i="15"/>
  <c r="J13" i="15"/>
  <c r="H13" i="15"/>
  <c r="G13" i="15"/>
  <c r="J79" i="15"/>
  <c r="H79" i="15"/>
  <c r="G79" i="15"/>
  <c r="J57" i="15"/>
  <c r="H57" i="15"/>
  <c r="G57" i="15"/>
  <c r="J40" i="15"/>
  <c r="H40" i="15"/>
  <c r="G40" i="15"/>
  <c r="J75" i="15"/>
  <c r="H75" i="15"/>
  <c r="G75" i="15"/>
  <c r="J95" i="15"/>
  <c r="H95" i="15"/>
  <c r="G95" i="15"/>
  <c r="J49" i="15"/>
  <c r="H49" i="15"/>
  <c r="G49" i="15"/>
  <c r="J4" i="15"/>
  <c r="H4" i="15"/>
  <c r="G4" i="15"/>
  <c r="J71" i="15"/>
  <c r="H71" i="15"/>
  <c r="G71" i="15"/>
  <c r="J89" i="15"/>
  <c r="H89" i="15"/>
  <c r="G89" i="15"/>
  <c r="J102" i="15"/>
  <c r="H102" i="15"/>
  <c r="G102" i="15"/>
  <c r="J87" i="15"/>
  <c r="H87" i="15"/>
  <c r="G87" i="15"/>
  <c r="J70" i="15"/>
  <c r="H70" i="15"/>
  <c r="G70" i="15"/>
  <c r="J88" i="15"/>
  <c r="H88" i="15"/>
  <c r="G88" i="15"/>
  <c r="J39" i="15"/>
  <c r="H39" i="15"/>
  <c r="G39" i="15"/>
  <c r="J66" i="15"/>
  <c r="H66" i="15"/>
  <c r="G66" i="15"/>
  <c r="J113" i="14"/>
  <c r="H113" i="14"/>
  <c r="G113" i="14"/>
  <c r="J2" i="14"/>
  <c r="H2" i="14"/>
  <c r="G2" i="14"/>
  <c r="J112" i="14"/>
  <c r="H112" i="14"/>
  <c r="G112" i="14"/>
  <c r="J111" i="14"/>
  <c r="H111" i="14"/>
  <c r="G111" i="14"/>
  <c r="J110" i="14"/>
  <c r="H110" i="14"/>
  <c r="G110" i="14"/>
  <c r="J109" i="14"/>
  <c r="H109" i="14"/>
  <c r="G109" i="14"/>
  <c r="J108" i="14"/>
  <c r="H108" i="14"/>
  <c r="G108" i="14"/>
  <c r="J107" i="14"/>
  <c r="H107" i="14"/>
  <c r="G107" i="14"/>
  <c r="J106" i="14"/>
  <c r="H106" i="14"/>
  <c r="G106" i="14"/>
  <c r="J105" i="14"/>
  <c r="H105" i="14"/>
  <c r="G105" i="14"/>
  <c r="J58" i="14"/>
  <c r="H58" i="14"/>
  <c r="G58" i="14"/>
  <c r="J104" i="14"/>
  <c r="H104" i="14"/>
  <c r="G104" i="14"/>
  <c r="J103" i="14"/>
  <c r="H103" i="14"/>
  <c r="G103" i="14"/>
  <c r="J102" i="14"/>
  <c r="H102" i="14"/>
  <c r="G102" i="14"/>
  <c r="J101" i="14"/>
  <c r="H101" i="14"/>
  <c r="G101" i="14"/>
  <c r="J100" i="14"/>
  <c r="H100" i="14"/>
  <c r="G100" i="14"/>
  <c r="J99" i="14"/>
  <c r="H99" i="14"/>
  <c r="G99" i="14"/>
  <c r="J98" i="14"/>
  <c r="H98" i="14"/>
  <c r="G98" i="14"/>
  <c r="J97" i="14"/>
  <c r="H97" i="14"/>
  <c r="G97" i="14"/>
  <c r="J96" i="14"/>
  <c r="H96" i="14"/>
  <c r="G96" i="14"/>
  <c r="J95" i="14"/>
  <c r="H95" i="14"/>
  <c r="G95" i="14"/>
  <c r="J94" i="14"/>
  <c r="H94" i="14"/>
  <c r="G94" i="14"/>
  <c r="J93" i="14"/>
  <c r="H93" i="14"/>
  <c r="G93" i="14"/>
  <c r="J92" i="14"/>
  <c r="H92" i="14"/>
  <c r="G92" i="14"/>
  <c r="J91" i="14"/>
  <c r="H91" i="14"/>
  <c r="G91" i="14"/>
  <c r="J90" i="14"/>
  <c r="H90" i="14"/>
  <c r="G90" i="14"/>
  <c r="J89" i="14"/>
  <c r="H89" i="14"/>
  <c r="G89" i="14"/>
  <c r="J88" i="14"/>
  <c r="H88" i="14"/>
  <c r="G88" i="14"/>
  <c r="J87" i="14"/>
  <c r="H87" i="14"/>
  <c r="G87" i="14"/>
  <c r="J26" i="14"/>
  <c r="H26" i="14"/>
  <c r="G26" i="14"/>
  <c r="J86" i="14"/>
  <c r="H86" i="14"/>
  <c r="G86" i="14"/>
  <c r="J85" i="14"/>
  <c r="H85" i="14"/>
  <c r="G85" i="14"/>
  <c r="J57" i="14"/>
  <c r="H57" i="14"/>
  <c r="G57" i="14"/>
  <c r="J18" i="14"/>
  <c r="H18" i="14"/>
  <c r="G18" i="14"/>
  <c r="J84" i="14"/>
  <c r="H84" i="14"/>
  <c r="G84" i="14"/>
  <c r="J83" i="14"/>
  <c r="H83" i="14"/>
  <c r="G83" i="14"/>
  <c r="J82" i="14"/>
  <c r="H82" i="14"/>
  <c r="G82" i="14"/>
  <c r="J81" i="14"/>
  <c r="H81" i="14"/>
  <c r="G81" i="14"/>
  <c r="J4" i="14"/>
  <c r="H4" i="14"/>
  <c r="G4" i="14"/>
  <c r="J6" i="14"/>
  <c r="H6" i="14"/>
  <c r="G6" i="14"/>
  <c r="J17" i="14"/>
  <c r="H17" i="14"/>
  <c r="G17" i="14"/>
  <c r="J8" i="14"/>
  <c r="H8" i="14"/>
  <c r="G8" i="14"/>
  <c r="J16" i="14"/>
  <c r="H16" i="14"/>
  <c r="G16" i="14"/>
  <c r="J10" i="14"/>
  <c r="H10" i="14"/>
  <c r="G10" i="14"/>
  <c r="J15" i="14"/>
  <c r="H15" i="14"/>
  <c r="G15" i="14"/>
  <c r="J7" i="14"/>
  <c r="H7" i="14"/>
  <c r="G7" i="14"/>
  <c r="J5" i="14"/>
  <c r="H5" i="14"/>
  <c r="G5" i="14"/>
  <c r="J13" i="14"/>
  <c r="H13" i="14"/>
  <c r="G13" i="14"/>
  <c r="J11" i="14"/>
  <c r="H11" i="14"/>
  <c r="G11" i="14"/>
  <c r="J12" i="14"/>
  <c r="H12" i="14"/>
  <c r="G12" i="14"/>
  <c r="J3" i="14"/>
  <c r="H3" i="14"/>
  <c r="G3" i="14"/>
  <c r="J14" i="14"/>
  <c r="H14" i="14"/>
  <c r="G14" i="14"/>
  <c r="J9" i="14"/>
  <c r="H9" i="14"/>
  <c r="G9" i="14"/>
  <c r="J80" i="14"/>
  <c r="H80" i="14"/>
  <c r="G80" i="14"/>
  <c r="J79" i="14"/>
  <c r="H79" i="14"/>
  <c r="G79" i="14"/>
  <c r="J78" i="14"/>
  <c r="H78" i="14"/>
  <c r="G78" i="14"/>
  <c r="J77" i="14"/>
  <c r="H77" i="14"/>
  <c r="G77" i="14"/>
  <c r="J76" i="14"/>
  <c r="H76" i="14"/>
  <c r="G76" i="14"/>
  <c r="J75" i="14"/>
  <c r="H75" i="14"/>
  <c r="G75" i="14"/>
  <c r="J74" i="14"/>
  <c r="H74" i="14"/>
  <c r="G74" i="14"/>
  <c r="J73" i="14"/>
  <c r="H73" i="14"/>
  <c r="G73" i="14"/>
  <c r="J72" i="14"/>
  <c r="H72" i="14"/>
  <c r="G72" i="14"/>
  <c r="J71" i="14"/>
  <c r="H71" i="14"/>
  <c r="G71" i="14"/>
  <c r="J70" i="14"/>
  <c r="H70" i="14"/>
  <c r="G70" i="14"/>
  <c r="J69" i="14"/>
  <c r="H69" i="14"/>
  <c r="G69" i="14"/>
  <c r="J68" i="14"/>
  <c r="H68" i="14"/>
  <c r="G68" i="14"/>
  <c r="J67" i="14"/>
  <c r="H67" i="14"/>
  <c r="G67" i="14"/>
  <c r="J66" i="14"/>
  <c r="H66" i="14"/>
  <c r="G66" i="14"/>
  <c r="J65" i="14"/>
  <c r="H65" i="14"/>
  <c r="G65" i="14"/>
  <c r="J64" i="14"/>
  <c r="H64" i="14"/>
  <c r="G64" i="14"/>
  <c r="J63" i="14"/>
  <c r="H63" i="14"/>
  <c r="G63" i="14"/>
  <c r="J62" i="14"/>
  <c r="H62" i="14"/>
  <c r="G62" i="14"/>
  <c r="J61" i="14"/>
  <c r="H61" i="14"/>
  <c r="G61" i="14"/>
  <c r="J39" i="14"/>
  <c r="H39" i="14"/>
  <c r="G39" i="14"/>
  <c r="J34" i="14"/>
  <c r="H34" i="14"/>
  <c r="G34" i="14"/>
  <c r="J56" i="14"/>
  <c r="H56" i="14"/>
  <c r="G56" i="14"/>
  <c r="J55" i="14"/>
  <c r="H55" i="14"/>
  <c r="G55" i="14"/>
  <c r="J38" i="14"/>
  <c r="H38" i="14"/>
  <c r="G38" i="14"/>
  <c r="J48" i="14"/>
  <c r="H48" i="14"/>
  <c r="G48" i="14"/>
  <c r="J33" i="14"/>
  <c r="H33" i="14"/>
  <c r="G33" i="14"/>
  <c r="J47" i="14"/>
  <c r="H47" i="14"/>
  <c r="G47" i="14"/>
  <c r="J32" i="14"/>
  <c r="H32" i="14"/>
  <c r="G32" i="14"/>
  <c r="J60" i="14"/>
  <c r="H60" i="14"/>
  <c r="G60" i="14"/>
  <c r="J29" i="14"/>
  <c r="H29" i="14"/>
  <c r="G29" i="14"/>
  <c r="J22" i="14"/>
  <c r="H22" i="14"/>
  <c r="G22" i="14"/>
  <c r="J21" i="14"/>
  <c r="H21" i="14"/>
  <c r="G21" i="14"/>
  <c r="J44" i="14"/>
  <c r="H44" i="14"/>
  <c r="G44" i="14"/>
  <c r="J31" i="14"/>
  <c r="H31" i="14"/>
  <c r="G31" i="14"/>
  <c r="J35" i="14"/>
  <c r="H35" i="14"/>
  <c r="G35" i="14"/>
  <c r="J25" i="14"/>
  <c r="H25" i="14"/>
  <c r="G25" i="14"/>
  <c r="J59" i="14"/>
  <c r="H59" i="14"/>
  <c r="G59" i="14"/>
  <c r="J19" i="14"/>
  <c r="H19" i="14"/>
  <c r="G19" i="14"/>
  <c r="J43" i="14"/>
  <c r="H43" i="14"/>
  <c r="G43" i="14"/>
  <c r="J42" i="14"/>
  <c r="H42" i="14"/>
  <c r="G42" i="14"/>
  <c r="J54" i="14"/>
  <c r="H54" i="14"/>
  <c r="G54" i="14"/>
  <c r="J53" i="14"/>
  <c r="H53" i="14"/>
  <c r="G53" i="14"/>
  <c r="J52" i="14"/>
  <c r="H52" i="14"/>
  <c r="G52" i="14"/>
  <c r="J30" i="14"/>
  <c r="H30" i="14"/>
  <c r="G30" i="14"/>
  <c r="J37" i="14"/>
  <c r="H37" i="14"/>
  <c r="G37" i="14"/>
  <c r="J51" i="14"/>
  <c r="H51" i="14"/>
  <c r="G51" i="14"/>
  <c r="J46" i="14"/>
  <c r="H46" i="14"/>
  <c r="G46" i="14"/>
  <c r="J28" i="14"/>
  <c r="H28" i="14"/>
  <c r="G28" i="14"/>
  <c r="J20" i="14"/>
  <c r="H20" i="14"/>
  <c r="G20" i="14"/>
  <c r="J50" i="14"/>
  <c r="H50" i="14"/>
  <c r="G50" i="14"/>
  <c r="J24" i="14"/>
  <c r="H24" i="14"/>
  <c r="G24" i="14"/>
  <c r="J41" i="14"/>
  <c r="H41" i="14"/>
  <c r="G41" i="14"/>
  <c r="J23" i="14"/>
  <c r="H23" i="14"/>
  <c r="G23" i="14"/>
  <c r="J49" i="14"/>
  <c r="H49" i="14"/>
  <c r="G49" i="14"/>
  <c r="J45" i="14"/>
  <c r="H45" i="14"/>
  <c r="G45" i="14"/>
  <c r="J40" i="14"/>
  <c r="H40" i="14"/>
  <c r="G40" i="14"/>
  <c r="J27" i="14"/>
  <c r="H27" i="14"/>
  <c r="G27" i="14"/>
  <c r="J36" i="14"/>
  <c r="H36" i="14"/>
  <c r="G36" i="14"/>
  <c r="J56" i="13"/>
  <c r="H56" i="13"/>
  <c r="G56" i="13"/>
  <c r="J113" i="13"/>
  <c r="H113" i="13"/>
  <c r="G113" i="13"/>
  <c r="J55" i="13"/>
  <c r="H55" i="13"/>
  <c r="G55" i="13"/>
  <c r="J54" i="13"/>
  <c r="H54" i="13"/>
  <c r="G54" i="13"/>
  <c r="J53" i="13"/>
  <c r="H53" i="13"/>
  <c r="G53" i="13"/>
  <c r="J52" i="13"/>
  <c r="H52" i="13"/>
  <c r="G52" i="13"/>
  <c r="J51" i="13"/>
  <c r="H51" i="13"/>
  <c r="G51" i="13"/>
  <c r="J50" i="13"/>
  <c r="H50" i="13"/>
  <c r="G50" i="13"/>
  <c r="J49" i="13"/>
  <c r="H49" i="13"/>
  <c r="G49" i="13"/>
  <c r="J48" i="13"/>
  <c r="H48" i="13"/>
  <c r="G48" i="13"/>
  <c r="J63" i="13"/>
  <c r="H63" i="13"/>
  <c r="G63" i="13"/>
  <c r="J47" i="13"/>
  <c r="H47" i="13"/>
  <c r="G47" i="13"/>
  <c r="J46" i="13"/>
  <c r="H46" i="13"/>
  <c r="G46" i="13"/>
  <c r="J45" i="13"/>
  <c r="H45" i="13"/>
  <c r="G45" i="13"/>
  <c r="J44" i="13"/>
  <c r="H44" i="13"/>
  <c r="G44" i="13"/>
  <c r="J43" i="13"/>
  <c r="H43" i="13"/>
  <c r="G43" i="13"/>
  <c r="J42" i="13"/>
  <c r="H42" i="13"/>
  <c r="G42" i="13"/>
  <c r="J41" i="13"/>
  <c r="H41" i="13"/>
  <c r="G41" i="13"/>
  <c r="J40" i="13"/>
  <c r="H40" i="13"/>
  <c r="G40" i="13"/>
  <c r="J39" i="13"/>
  <c r="H39" i="13"/>
  <c r="G39" i="13"/>
  <c r="J38" i="13"/>
  <c r="H38" i="13"/>
  <c r="G38" i="13"/>
  <c r="J37" i="13"/>
  <c r="H37" i="13"/>
  <c r="G37" i="13"/>
  <c r="J36" i="13"/>
  <c r="H36" i="13"/>
  <c r="G36" i="13"/>
  <c r="J35" i="13"/>
  <c r="H35" i="13"/>
  <c r="G35" i="13"/>
  <c r="J34" i="13"/>
  <c r="H34" i="13"/>
  <c r="G34" i="13"/>
  <c r="J33" i="13"/>
  <c r="H33" i="13"/>
  <c r="G33" i="13"/>
  <c r="J32" i="13"/>
  <c r="H32" i="13"/>
  <c r="G32" i="13"/>
  <c r="J31" i="13"/>
  <c r="H31" i="13"/>
  <c r="G31" i="13"/>
  <c r="J30" i="13"/>
  <c r="H30" i="13"/>
  <c r="G30" i="13"/>
  <c r="J92" i="13"/>
  <c r="H92" i="13"/>
  <c r="G92" i="13"/>
  <c r="J29" i="13"/>
  <c r="H29" i="13"/>
  <c r="G29" i="13"/>
  <c r="J28" i="13"/>
  <c r="H28" i="13"/>
  <c r="G28" i="13"/>
  <c r="J62" i="13"/>
  <c r="H62" i="13"/>
  <c r="G62" i="13"/>
  <c r="J101" i="13"/>
  <c r="H101" i="13"/>
  <c r="G101" i="13"/>
  <c r="J27" i="13"/>
  <c r="H27" i="13"/>
  <c r="G27" i="13"/>
  <c r="J26" i="13"/>
  <c r="H26" i="13"/>
  <c r="G26" i="13"/>
  <c r="J25" i="13"/>
  <c r="H25" i="13"/>
  <c r="G25" i="13"/>
  <c r="J24" i="13"/>
  <c r="H24" i="13"/>
  <c r="G24" i="13"/>
  <c r="J112" i="13"/>
  <c r="H112" i="13"/>
  <c r="G112" i="13"/>
  <c r="J110" i="13"/>
  <c r="H110" i="13"/>
  <c r="G110" i="13"/>
  <c r="J100" i="13"/>
  <c r="H100" i="13"/>
  <c r="G100" i="13"/>
  <c r="J108" i="13"/>
  <c r="H108" i="13"/>
  <c r="G108" i="13"/>
  <c r="J99" i="13"/>
  <c r="H99" i="13"/>
  <c r="G99" i="13"/>
  <c r="J105" i="13"/>
  <c r="H105" i="13"/>
  <c r="G105" i="13"/>
  <c r="J98" i="13"/>
  <c r="H98" i="13"/>
  <c r="G98" i="13"/>
  <c r="J107" i="13"/>
  <c r="H107" i="13"/>
  <c r="G107" i="13"/>
  <c r="J109" i="13"/>
  <c r="H109" i="13"/>
  <c r="G109" i="13"/>
  <c r="J102" i="13"/>
  <c r="H102" i="13"/>
  <c r="G102" i="13"/>
  <c r="J104" i="13"/>
  <c r="H104" i="13"/>
  <c r="G104" i="13"/>
  <c r="J103" i="13"/>
  <c r="H103" i="13"/>
  <c r="G103" i="13"/>
  <c r="J111" i="13"/>
  <c r="H111" i="13"/>
  <c r="G111" i="13"/>
  <c r="J97" i="13"/>
  <c r="H97" i="13"/>
  <c r="G97" i="13"/>
  <c r="J106" i="13"/>
  <c r="H106" i="13"/>
  <c r="G106" i="13"/>
  <c r="J23" i="13"/>
  <c r="H23" i="13"/>
  <c r="G23" i="13"/>
  <c r="J22" i="13"/>
  <c r="H22" i="13"/>
  <c r="G22" i="13"/>
  <c r="J21" i="13"/>
  <c r="H21" i="13"/>
  <c r="G21" i="13"/>
  <c r="J20" i="13"/>
  <c r="H20" i="13"/>
  <c r="G20" i="13"/>
  <c r="J19" i="13"/>
  <c r="H19" i="13"/>
  <c r="G19" i="13"/>
  <c r="J18" i="13"/>
  <c r="H18" i="13"/>
  <c r="G18" i="13"/>
  <c r="J17" i="13"/>
  <c r="H17" i="13"/>
  <c r="G17" i="13"/>
  <c r="J16" i="13"/>
  <c r="H16" i="13"/>
  <c r="G16" i="13"/>
  <c r="J15" i="13"/>
  <c r="H15" i="13"/>
  <c r="G15" i="13"/>
  <c r="J14" i="13"/>
  <c r="H14" i="13"/>
  <c r="G14" i="13"/>
  <c r="J13" i="13"/>
  <c r="H13" i="13"/>
  <c r="G13" i="13"/>
  <c r="J12" i="13"/>
  <c r="H12" i="13"/>
  <c r="G12" i="13"/>
  <c r="J11" i="13"/>
  <c r="H11" i="13"/>
  <c r="G11" i="13"/>
  <c r="J10" i="13"/>
  <c r="H10" i="13"/>
  <c r="G10" i="13"/>
  <c r="J9" i="13"/>
  <c r="H9" i="13"/>
  <c r="G9" i="13"/>
  <c r="J8" i="13"/>
  <c r="H8" i="13"/>
  <c r="G8" i="13"/>
  <c r="J7" i="13"/>
  <c r="H7" i="13"/>
  <c r="G7" i="13"/>
  <c r="J6" i="13"/>
  <c r="H6" i="13"/>
  <c r="G6" i="13"/>
  <c r="J5" i="13"/>
  <c r="H5" i="13"/>
  <c r="G5" i="13"/>
  <c r="J4" i="13"/>
  <c r="H4" i="13"/>
  <c r="G4" i="13"/>
  <c r="J79" i="13"/>
  <c r="H79" i="13"/>
  <c r="G79" i="13"/>
  <c r="J84" i="13"/>
  <c r="H84" i="13"/>
  <c r="G84" i="13"/>
  <c r="J61" i="13"/>
  <c r="H61" i="13"/>
  <c r="G61" i="13"/>
  <c r="J60" i="13"/>
  <c r="H60" i="13"/>
  <c r="G60" i="13"/>
  <c r="J78" i="13"/>
  <c r="H78" i="13"/>
  <c r="G78" i="13"/>
  <c r="J70" i="13"/>
  <c r="H70" i="13"/>
  <c r="G70" i="13"/>
  <c r="J83" i="13"/>
  <c r="H83" i="13"/>
  <c r="G83" i="13"/>
  <c r="J69" i="13"/>
  <c r="H69" i="13"/>
  <c r="G69" i="13"/>
  <c r="J82" i="13"/>
  <c r="H82" i="13"/>
  <c r="G82" i="13"/>
  <c r="J3" i="13"/>
  <c r="H3" i="13"/>
  <c r="G3" i="13"/>
  <c r="J88" i="13"/>
  <c r="H88" i="13"/>
  <c r="G88" i="13"/>
  <c r="J95" i="13"/>
  <c r="H95" i="13"/>
  <c r="G95" i="13"/>
  <c r="J94" i="13"/>
  <c r="H94" i="13"/>
  <c r="G94" i="13"/>
  <c r="J75" i="13"/>
  <c r="H75" i="13"/>
  <c r="G75" i="13"/>
  <c r="J81" i="13"/>
  <c r="H81" i="13"/>
  <c r="G81" i="13"/>
  <c r="J80" i="13"/>
  <c r="H80" i="13"/>
  <c r="G80" i="13"/>
  <c r="J91" i="13"/>
  <c r="H91" i="13"/>
  <c r="G91" i="13"/>
  <c r="J2" i="13"/>
  <c r="H2" i="13"/>
  <c r="G2" i="13"/>
  <c r="J96" i="13"/>
  <c r="H96" i="13"/>
  <c r="G96" i="13"/>
  <c r="J74" i="13"/>
  <c r="H74" i="13"/>
  <c r="G74" i="13"/>
  <c r="J73" i="13"/>
  <c r="H73" i="13"/>
  <c r="G73" i="13"/>
  <c r="J59" i="13"/>
  <c r="H59" i="13"/>
  <c r="G59" i="13"/>
  <c r="J58" i="13"/>
  <c r="H58" i="13"/>
  <c r="G58" i="13"/>
  <c r="J57" i="13"/>
  <c r="H57" i="13"/>
  <c r="G57" i="13"/>
  <c r="J85" i="13"/>
  <c r="H85" i="13"/>
  <c r="G85" i="13"/>
  <c r="J77" i="13"/>
  <c r="H77" i="13"/>
  <c r="G77" i="13"/>
  <c r="J66" i="13"/>
  <c r="H66" i="13"/>
  <c r="G66" i="13"/>
  <c r="J68" i="13"/>
  <c r="H68" i="13"/>
  <c r="G68" i="13"/>
  <c r="J87" i="13"/>
  <c r="H87" i="13"/>
  <c r="G87" i="13"/>
  <c r="J93" i="13"/>
  <c r="H93" i="13"/>
  <c r="G93" i="13"/>
  <c r="J65" i="13"/>
  <c r="H65" i="13"/>
  <c r="G65" i="13"/>
  <c r="J90" i="13"/>
  <c r="H90" i="13"/>
  <c r="G90" i="13"/>
  <c r="J72" i="13"/>
  <c r="H72" i="13"/>
  <c r="G72" i="13"/>
  <c r="J89" i="13"/>
  <c r="H89" i="13"/>
  <c r="G89" i="13"/>
  <c r="J64" i="13"/>
  <c r="H64" i="13"/>
  <c r="G64" i="13"/>
  <c r="J67" i="13"/>
  <c r="H67" i="13"/>
  <c r="G67" i="13"/>
  <c r="J71" i="13"/>
  <c r="H71" i="13"/>
  <c r="G71" i="13"/>
  <c r="J86" i="13"/>
  <c r="H86" i="13"/>
  <c r="G86" i="13"/>
  <c r="J76" i="13"/>
  <c r="H76" i="13"/>
  <c r="G76" i="13"/>
  <c r="B128" i="4"/>
  <c r="B120" i="4"/>
  <c r="B127" i="4" s="1"/>
  <c r="B119" i="4"/>
  <c r="A115" i="4"/>
  <c r="E117" i="4"/>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2" i="8"/>
  <c r="F115" i="8"/>
  <c r="E115" i="8"/>
  <c r="D115" i="8"/>
  <c r="C115" i="8"/>
  <c r="B115"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B118" i="7"/>
  <c r="B117" i="7"/>
  <c r="F115" i="7"/>
  <c r="E115" i="7"/>
  <c r="D115" i="7"/>
  <c r="C115" i="7"/>
  <c r="B115"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B118" i="5"/>
  <c r="B117" i="5"/>
  <c r="F115" i="5"/>
  <c r="E115" i="5"/>
  <c r="D115" i="5"/>
  <c r="C115" i="5"/>
  <c r="B115"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B118" i="4"/>
  <c r="B117" i="4"/>
  <c r="F115" i="4"/>
  <c r="E115" i="4"/>
  <c r="D115" i="4"/>
  <c r="C115" i="4"/>
  <c r="B115"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B118" i="2"/>
  <c r="B117" i="2"/>
  <c r="E115" i="2"/>
  <c r="F115" i="2"/>
  <c r="D115" i="2"/>
  <c r="C115" i="2"/>
  <c r="B115"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2" i="2"/>
</calcChain>
</file>

<file path=xl/sharedStrings.xml><?xml version="1.0" encoding="utf-8"?>
<sst xmlns="http://schemas.openxmlformats.org/spreadsheetml/2006/main" count="20677" uniqueCount="16739">
  <si>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</si>
  <si>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</si>
  <si>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</si>
  <si>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</si>
  <si>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</si>
  <si>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</si>
  <si>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</si>
  <si>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</si>
  <si>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</si>
  <si>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</si>
  <si>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</si>
  <si>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</si>
  <si>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</si>
  <si>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</si>
  <si>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</si>
  <si>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</si>
  <si>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</si>
  <si>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</si>
  <si>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</si>
  <si>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</si>
  <si>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</si>
  <si>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</si>
  <si>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</si>
  <si>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</si>
  <si>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</si>
  <si>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</si>
  <si>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</si>
  <si>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</si>
  <si>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</si>
  <si>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</si>
  <si>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</si>
  <si>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</si>
  <si>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</si>
  <si>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</si>
  <si>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</si>
  <si>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</si>
  <si>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</si>
  <si>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</si>
  <si>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</si>
  <si>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</si>
  <si>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</si>
  <si>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</si>
  <si>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</si>
  <si>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</si>
  <si>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</si>
  <si>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</si>
  <si>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</si>
  <si>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</si>
  <si>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</si>
  <si>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</si>
  <si>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</si>
  <si>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</si>
  <si>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</si>
  <si>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</si>
  <si>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</si>
  <si>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</si>
  <si>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</si>
  <si>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</si>
  <si>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</si>
  <si>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</si>
  <si>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</si>
  <si>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</si>
  <si>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</si>
  <si>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</si>
  <si>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</si>
  <si>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</si>
  <si>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</si>
  <si>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</si>
  <si>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</si>
  <si>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</si>
  <si>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</si>
  <si>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</si>
  <si>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</si>
  <si>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</si>
  <si>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</si>
  <si>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</si>
  <si>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</si>
  <si>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</si>
  <si>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</si>
  <si>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</si>
  <si>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</si>
  <si>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</si>
  <si>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</si>
  <si>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</si>
  <si>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</si>
  <si>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</si>
  <si>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</si>
  <si>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</si>
  <si>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</si>
  <si>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</si>
  <si>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</si>
  <si>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</si>
  <si>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</si>
  <si>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</si>
  <si>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</si>
  <si>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</si>
  <si>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</si>
  <si>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</si>
  <si>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</si>
  <si>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</si>
  <si>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</si>
  <si>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</si>
  <si>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</si>
  <si>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</si>
  <si>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</si>
  <si>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</si>
  <si>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</si>
  <si>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</si>
  <si>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</si>
  <si>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</si>
  <si>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</si>
  <si>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</si>
  <si>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</si>
  <si>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</si>
  <si>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</si>
  <si>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</si>
  <si>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</si>
  <si>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</si>
  <si>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</si>
  <si>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</si>
  <si>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</si>
  <si>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</si>
  <si>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</si>
  <si>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</si>
  <si>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</si>
  <si>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</si>
  <si>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</si>
  <si>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</si>
  <si>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</si>
  <si>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</si>
  <si>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</si>
  <si>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</si>
  <si>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</si>
  <si>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</si>
  <si>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</si>
  <si>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</si>
  <si>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</si>
  <si>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</si>
  <si>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</si>
  <si>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</si>
  <si>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</si>
  <si>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</si>
  <si>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</si>
  <si>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</si>
  <si>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</si>
  <si>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</si>
  <si>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</si>
  <si>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</si>
  <si>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</si>
  <si>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</si>
  <si>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</si>
  <si>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</si>
  <si>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</si>
  <si>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</si>
  <si>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</si>
  <si>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</si>
  <si>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</si>
  <si>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</si>
  <si>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</si>
  <si>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</si>
  <si>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</si>
  <si>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</si>
  <si>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</si>
  <si>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</si>
  <si>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</si>
  <si>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</si>
  <si>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</si>
  <si>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</si>
  <si>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</si>
  <si>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</si>
  <si>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</si>
  <si>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</si>
  <si>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</si>
  <si>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</si>
  <si>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</si>
  <si>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</si>
  <si>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</si>
  <si>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</si>
  <si>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</si>
  <si>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</si>
  <si>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</si>
  <si>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</si>
  <si>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</si>
  <si>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</si>
  <si>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</si>
  <si>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</si>
  <si>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</si>
  <si>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</si>
  <si>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</si>
  <si>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</si>
  <si>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</si>
  <si>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</si>
  <si>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</si>
  <si>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</si>
  <si>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</si>
  <si>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</si>
  <si>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</si>
  <si>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</si>
  <si>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</si>
  <si>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</si>
  <si>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</si>
  <si>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</si>
  <si>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</si>
  <si>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</si>
  <si>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</si>
  <si>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</si>
  <si>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</si>
  <si>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</si>
  <si>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</si>
  <si>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</si>
  <si>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</si>
  <si>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</si>
  <si>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</si>
  <si>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</si>
  <si>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</si>
  <si>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</si>
  <si>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</si>
  <si>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</si>
  <si>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</si>
  <si>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</si>
  <si>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</si>
  <si>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</si>
  <si>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</si>
  <si>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</si>
  <si>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</si>
  <si>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</si>
  <si>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</si>
  <si>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</si>
  <si>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</si>
  <si>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</si>
  <si>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</si>
  <si>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</si>
  <si>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</si>
  <si>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</si>
  <si>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</si>
  <si>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</si>
  <si>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</si>
  <si>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</si>
  <si>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</si>
  <si>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</si>
  <si>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</si>
  <si>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</si>
  <si>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</si>
  <si>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</si>
  <si>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</si>
  <si>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</si>
  <si>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</si>
  <si>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</si>
  <si>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</si>
  <si>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</si>
  <si>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</si>
  <si>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</si>
  <si>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</si>
  <si>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</si>
  <si>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</si>
  <si>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</si>
  <si>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</si>
  <si>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</si>
  <si>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</si>
  <si>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</si>
  <si>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</si>
  <si>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</si>
  <si>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</si>
  <si>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</si>
  <si>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</si>
  <si>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</si>
  <si>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</si>
  <si>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</si>
  <si>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</si>
  <si>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</si>
  <si>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</si>
  <si>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</si>
  <si>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</si>
  <si>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</si>
  <si>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</si>
  <si>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</si>
  <si>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</si>
  <si>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</si>
  <si>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</si>
  <si>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</si>
  <si>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</si>
  <si>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</si>
  <si>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</si>
  <si>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</si>
  <si>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</si>
  <si>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</si>
  <si>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</si>
  <si>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</si>
  <si>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</si>
  <si>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</si>
  <si>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</si>
  <si>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</si>
  <si>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</si>
  <si>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</si>
  <si>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</si>
  <si>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</si>
  <si>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</si>
  <si>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</si>
  <si>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</si>
  <si>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</si>
  <si>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</si>
  <si>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</si>
  <si>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</si>
  <si>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</si>
  <si>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</si>
  <si>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</si>
  <si>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</si>
  <si>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</si>
  <si>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</si>
  <si>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</si>
  <si>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</si>
  <si>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</si>
  <si>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</si>
  <si>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</si>
  <si>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</si>
  <si>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</si>
  <si>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</si>
  <si>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</si>
  <si>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</si>
  <si>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</si>
  <si>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</si>
  <si>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</si>
  <si>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</si>
  <si>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unkown</t>
  </si>
  <si>
    <t>Ratings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</si>
  <si>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</si>
  <si>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</si>
  <si>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</si>
  <si>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</si>
  <si>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</si>
  <si>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</si>
  <si>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</si>
  <si>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</si>
  <si>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</si>
  <si>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</si>
  <si>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</si>
  <si>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</si>
  <si>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</si>
  <si>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</si>
  <si>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</si>
  <si>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</si>
  <si>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</si>
  <si>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</si>
  <si>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</si>
  <si>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</si>
  <si>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</si>
  <si>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</si>
  <si>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</si>
  <si>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</si>
  <si>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</si>
  <si>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</si>
  <si>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</si>
  <si>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</si>
  <si>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</si>
  <si>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</si>
  <si>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</si>
  <si>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</si>
  <si>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</si>
  <si>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</si>
  <si>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</si>
  <si>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</si>
  <si>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</si>
  <si>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</si>
  <si>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</si>
  <si>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</si>
  <si>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</si>
  <si>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</si>
  <si>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</si>
  <si>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</si>
  <si>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</si>
  <si>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</si>
  <si>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</si>
  <si>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</si>
  <si>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</si>
  <si>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</si>
  <si>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</si>
  <si>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</si>
  <si>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</si>
  <si>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</si>
  <si>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</si>
  <si>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</si>
  <si>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</si>
  <si>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</si>
  <si>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</si>
  <si>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</si>
  <si>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</si>
  <si>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</si>
  <si>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</si>
  <si>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</si>
  <si>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</si>
  <si>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</si>
  <si>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</si>
  <si>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</si>
  <si>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</si>
  <si>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</si>
  <si>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</si>
  <si>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</si>
  <si>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</si>
  <si>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</si>
  <si>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</si>
  <si>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</si>
  <si>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</si>
  <si>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</si>
  <si>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</si>
  <si>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</si>
  <si>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</si>
  <si>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</si>
  <si>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</si>
  <si>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</si>
  <si>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</si>
  <si>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</si>
  <si>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</si>
  <si>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</si>
  <si>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</si>
  <si>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</si>
  <si>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</si>
  <si>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</si>
  <si>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</si>
  <si>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</si>
  <si>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</si>
  <si>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</si>
  <si>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</si>
  <si>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</si>
  <si>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</si>
  <si>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</si>
  <si>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</si>
  <si>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</si>
  <si>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</si>
  <si>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</si>
  <si>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</si>
  <si>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</si>
  <si>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</si>
  <si>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</si>
  <si>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</si>
  <si>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</si>
  <si>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</si>
  <si>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</si>
  <si>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</si>
  <si>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</si>
  <si>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</si>
  <si>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</si>
  <si>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</si>
  <si>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</si>
  <si>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</si>
  <si>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</si>
  <si>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</si>
  <si>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</si>
  <si>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</si>
  <si>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</si>
  <si>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</si>
  <si>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</si>
  <si>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</si>
  <si>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</si>
  <si>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</si>
  <si>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</si>
  <si>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</si>
  <si>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</si>
  <si>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</si>
  <si>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</si>
  <si>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</si>
  <si>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</si>
  <si>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</si>
  <si>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</si>
  <si>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</si>
  <si>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</si>
  <si>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</si>
  <si>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</si>
  <si>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</si>
  <si>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</si>
  <si>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</si>
  <si>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</si>
  <si>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</si>
  <si>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</si>
  <si>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</si>
  <si>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</si>
  <si>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</si>
  <si>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</si>
  <si>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</si>
  <si>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</si>
  <si>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</si>
  <si>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</si>
  <si>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</si>
  <si>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</si>
  <si>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</si>
  <si>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</si>
  <si>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</si>
  <si>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</si>
  <si>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</si>
  <si>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</si>
  <si>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</si>
  <si>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</si>
  <si>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</si>
  <si>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</si>
  <si>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</si>
  <si>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</si>
  <si>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</si>
  <si>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</si>
  <si>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</si>
  <si>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</si>
  <si>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</si>
  <si>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</si>
  <si>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</si>
  <si>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</si>
  <si>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</si>
  <si>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</si>
  <si>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</si>
  <si>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</si>
  <si>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</si>
  <si>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</si>
  <si>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</si>
  <si>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</si>
  <si>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</si>
  <si>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</si>
  <si>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</si>
  <si>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</si>
  <si>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</si>
  <si>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</si>
  <si>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</si>
  <si>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</si>
  <si>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</si>
  <si>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</si>
  <si>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</si>
  <si>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</si>
  <si>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</si>
  <si>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</si>
  <si>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</si>
  <si>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</si>
  <si>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</si>
  <si>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</si>
  <si>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</si>
  <si>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</si>
  <si>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</si>
  <si>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</si>
  <si>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</si>
  <si>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</si>
  <si>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</si>
  <si>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</si>
  <si>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</si>
  <si>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</si>
  <si>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</si>
  <si>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</si>
  <si>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</si>
  <si>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</si>
  <si>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</si>
  <si>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</si>
  <si>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</si>
  <si>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</si>
  <si>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</si>
  <si>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</si>
  <si>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</si>
  <si>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</si>
  <si>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</si>
  <si>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</si>
  <si>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</si>
  <si>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</si>
  <si>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</si>
  <si>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</si>
  <si>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</si>
  <si>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</si>
  <si>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</si>
  <si>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</si>
  <si>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</si>
  <si>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</si>
  <si>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</si>
  <si>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</si>
  <si>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</si>
  <si>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</si>
  <si>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</si>
  <si>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</si>
  <si>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</si>
  <si>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</si>
  <si>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</si>
  <si>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</si>
  <si>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</si>
  <si>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</si>
  <si>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</si>
  <si>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</si>
  <si>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</si>
  <si>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</si>
  <si>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</si>
  <si>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</si>
  <si>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</si>
  <si>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</si>
  <si>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</si>
  <si>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</si>
  <si>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</si>
  <si>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</si>
  <si>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</si>
  <si>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</si>
  <si>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</si>
  <si>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</si>
  <si>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</si>
  <si>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</si>
  <si>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</si>
  <si>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</si>
  <si>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</si>
  <si>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</si>
  <si>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</si>
  <si>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</si>
  <si>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</si>
  <si>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</si>
  <si>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</si>
  <si>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</si>
  <si>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</si>
  <si>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</si>
  <si>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</si>
  <si>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</si>
  <si>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</si>
  <si>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</si>
  <si>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</si>
  <si>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</si>
  <si>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</si>
  <si>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</si>
  <si>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</si>
  <si>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</si>
  <si>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</si>
  <si>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</si>
  <si>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</si>
  <si>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</si>
  <si>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</si>
  <si>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</si>
  <si>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</si>
  <si>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</si>
  <si>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</si>
  <si>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</si>
  <si>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</si>
  <si>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</si>
  <si>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</si>
  <si>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</si>
  <si>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</si>
  <si>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</si>
  <si>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</si>
  <si>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</si>
  <si>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</si>
  <si>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</si>
  <si>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</si>
  <si>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</si>
  <si>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</si>
  <si>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</si>
  <si>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</si>
  <si>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</si>
  <si>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</si>
  <si>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</si>
  <si>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</si>
  <si>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</si>
  <si>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</si>
  <si>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</si>
  <si>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</si>
  <si>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</si>
  <si>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</si>
  <si>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</si>
  <si>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</si>
  <si>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</si>
  <si>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</si>
  <si>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</si>
  <si>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</si>
  <si>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</si>
  <si>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</si>
  <si>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</si>
  <si>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</si>
  <si>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</si>
  <si>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</si>
  <si>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</si>
  <si>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</si>
  <si>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</si>
  <si>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</si>
  <si>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</si>
  <si>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</si>
  <si>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</si>
  <si>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</si>
  <si>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</si>
  <si>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</si>
  <si>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</si>
  <si>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</si>
  <si>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</si>
  <si>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</si>
  <si>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</si>
  <si>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</si>
  <si>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</si>
  <si>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</si>
  <si>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</si>
  <si>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</si>
  <si>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</si>
  <si>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</si>
  <si>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</si>
  <si>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</si>
  <si>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</si>
  <si>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</si>
  <si>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</si>
  <si>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</si>
  <si>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</si>
  <si>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</si>
  <si>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</si>
  <si>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</si>
  <si>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</si>
  <si>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</si>
  <si>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</si>
  <si>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</si>
  <si>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</si>
  <si>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</si>
  <si>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</si>
  <si>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</si>
  <si>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</si>
  <si>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</si>
  <si>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</si>
  <si>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</si>
  <si>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</si>
  <si>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</si>
  <si>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</si>
  <si>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</si>
  <si>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</si>
  <si>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</si>
  <si>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</si>
  <si>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</si>
  <si>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</si>
  <si>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</si>
  <si>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</si>
  <si>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</si>
  <si>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</si>
  <si>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</si>
  <si>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</si>
  <si>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</si>
  <si>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</si>
  <si>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</si>
  <si>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</si>
  <si>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</si>
  <si>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</si>
  <si>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</si>
  <si>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</si>
  <si>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</si>
  <si>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</si>
  <si>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</si>
  <si>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</si>
  <si>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</si>
  <si>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</si>
  <si>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</si>
  <si>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</si>
  <si>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</si>
  <si>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</si>
  <si>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</si>
  <si>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</si>
  <si>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</si>
  <si>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</si>
  <si>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</si>
  <si>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</si>
  <si>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</si>
  <si>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</si>
  <si>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</si>
  <si>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</si>
  <si>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</si>
  <si>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</si>
  <si>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</si>
  <si>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</si>
  <si>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</si>
  <si>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</si>
  <si>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</si>
  <si>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</si>
  <si>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</si>
  <si>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</si>
  <si>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</si>
  <si>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</si>
  <si>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</si>
  <si>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</si>
  <si>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</si>
  <si>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</si>
  <si>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</si>
  <si>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</si>
  <si>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</si>
  <si>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</si>
  <si>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</si>
  <si>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</si>
  <si>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</si>
  <si>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</si>
  <si>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</si>
  <si>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</si>
  <si>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</si>
  <si>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</si>
  <si>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</si>
  <si>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</si>
  <si>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</si>
  <si>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</si>
  <si>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</si>
  <si>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</si>
  <si>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</si>
  <si>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</si>
  <si>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</si>
  <si>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</si>
  <si>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</si>
  <si>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</si>
  <si>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</si>
  <si>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</si>
  <si>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</si>
  <si>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</si>
  <si>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</si>
  <si>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</si>
  <si>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</si>
  <si>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</si>
  <si>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</si>
  <si>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</si>
  <si>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</si>
  <si>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</si>
  <si>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</si>
  <si>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</si>
  <si>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</si>
  <si>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</si>
  <si>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</si>
  <si>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</si>
  <si>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</si>
  <si>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</si>
  <si>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</si>
  <si>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</si>
  <si>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</si>
  <si>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</si>
  <si>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</si>
  <si>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</si>
  <si>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</si>
  <si>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</si>
  <si>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</si>
  <si>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</si>
  <si>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</si>
  <si>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</si>
  <si>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</si>
  <si>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</si>
  <si>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</si>
  <si>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</si>
  <si>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</si>
  <si>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</si>
  <si>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</si>
  <si>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</si>
  <si>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</si>
  <si>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</si>
  <si>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</si>
  <si>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</si>
  <si>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</si>
  <si>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</si>
  <si>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</si>
  <si>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</si>
  <si>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</si>
  <si>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</si>
  <si>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</si>
  <si>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</si>
  <si>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</si>
  <si>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</si>
  <si>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</si>
  <si>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</si>
  <si>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</si>
  <si>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</si>
  <si>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</si>
  <si>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</si>
  <si>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</si>
  <si>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</si>
  <si>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</si>
  <si>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</si>
  <si>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</si>
  <si>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</si>
  <si>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</si>
  <si>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</si>
  <si>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</si>
  <si>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</si>
  <si>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</si>
  <si>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</si>
  <si>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</si>
  <si>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</si>
  <si>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</si>
  <si>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</si>
  <si>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</si>
  <si>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</si>
  <si>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</si>
  <si>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</si>
  <si>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</si>
  <si>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</si>
  <si>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</si>
  <si>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</si>
  <si>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</si>
  <si>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</si>
  <si>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</si>
  <si>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</si>
  <si>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</si>
  <si>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</si>
  <si>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</si>
  <si>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</si>
  <si>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</si>
  <si>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</si>
  <si>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</si>
  <si>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</si>
  <si>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</si>
  <si>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</si>
  <si>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</si>
  <si>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</si>
  <si>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</si>
  <si>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</si>
  <si>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</si>
  <si>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</si>
  <si>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</si>
  <si>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</si>
  <si>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</si>
  <si>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</si>
  <si>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</si>
  <si>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</si>
  <si>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</si>
  <si>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</si>
  <si>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</si>
  <si>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</si>
  <si>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</si>
  <si>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</si>
  <si>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</si>
  <si>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</si>
  <si>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</si>
  <si>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</si>
  <si>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</si>
  <si>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</si>
  <si>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</si>
  <si>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</si>
  <si>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</si>
  <si>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</si>
  <si>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</si>
  <si>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</si>
  <si>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</si>
  <si>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</si>
  <si>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</si>
  <si>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</si>
  <si>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</si>
  <si>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</si>
  <si>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</si>
  <si>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</si>
  <si>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</si>
  <si>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</si>
  <si>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</si>
  <si>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</si>
  <si>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</si>
  <si>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</si>
  <si>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</si>
  <si>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</si>
  <si>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</si>
  <si>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</si>
  <si>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</si>
  <si>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</si>
  <si>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</si>
  <si>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</si>
  <si>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</si>
  <si>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</si>
  <si>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</si>
  <si>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</si>
  <si>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</si>
  <si>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</si>
  <si>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</si>
  <si>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</si>
  <si>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</si>
  <si>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</si>
  <si>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</si>
  <si>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</si>
  <si>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</si>
  <si>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</si>
  <si>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</si>
  <si>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</si>
  <si>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</si>
  <si>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</si>
  <si>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</si>
  <si>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</si>
  <si>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</si>
  <si>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</si>
  <si>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</si>
  <si>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</si>
  <si>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</si>
  <si>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</si>
  <si>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</si>
  <si>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</si>
  <si>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</si>
  <si>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</si>
  <si>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</si>
  <si>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</si>
  <si>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</si>
  <si>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</si>
  <si>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</si>
  <si>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</si>
  <si>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</si>
  <si>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</si>
  <si>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</si>
  <si>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</si>
  <si>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</si>
  <si>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</si>
  <si>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</si>
  <si>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</si>
  <si>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</si>
  <si>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</si>
  <si>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</si>
  <si>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</si>
  <si>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</si>
  <si>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</si>
  <si>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</si>
  <si>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</si>
  <si>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</si>
  <si>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</si>
  <si>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</si>
  <si>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</si>
  <si>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</si>
  <si>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</si>
  <si>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</si>
  <si>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</si>
  <si>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</si>
  <si>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</si>
  <si>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</si>
  <si>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</si>
  <si>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</si>
  <si>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</si>
  <si>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</si>
  <si>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</si>
  <si>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</si>
  <si>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</si>
  <si>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</si>
  <si>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</si>
  <si>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</si>
  <si>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</si>
  <si>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</si>
  <si>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</si>
  <si>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</si>
  <si>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</si>
  <si>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</si>
  <si>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</si>
  <si>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</si>
  <si>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</si>
  <si>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</si>
  <si>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</si>
  <si>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</si>
  <si>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</si>
  <si>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</si>
  <si>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</si>
  <si>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</si>
  <si>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</si>
  <si>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</si>
  <si>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</si>
  <si>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</si>
  <si>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</si>
  <si>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</si>
  <si>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</si>
  <si>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</si>
  <si>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</si>
  <si>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</si>
  <si>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</si>
  <si>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</si>
  <si>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</si>
  <si>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</si>
  <si>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</si>
  <si>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</si>
  <si>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</si>
  <si>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</si>
  <si>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</si>
  <si>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</si>
  <si>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</si>
  <si>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</si>
  <si>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</si>
  <si>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</si>
  <si>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</si>
  <si>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</si>
  <si>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</si>
  <si>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</si>
  <si>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</si>
  <si>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</si>
  <si>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</si>
  <si>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</si>
  <si>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</si>
  <si>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</si>
  <si>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</si>
  <si>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</si>
  <si>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</si>
  <si>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</si>
  <si>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</si>
  <si>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</si>
  <si>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</si>
  <si>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</si>
  <si>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</si>
  <si>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</si>
  <si>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</si>
  <si>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</si>
  <si>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</si>
  <si>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</si>
  <si>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</si>
  <si>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</si>
  <si>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</si>
  <si>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</si>
  <si>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</si>
  <si>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</si>
  <si>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</si>
  <si>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</si>
  <si>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</si>
  <si>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</si>
  <si>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</si>
  <si>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</si>
  <si>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</si>
  <si>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</si>
  <si>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</si>
  <si>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</si>
  <si>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</si>
  <si>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</si>
  <si>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</si>
  <si>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</si>
  <si>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</si>
  <si>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</si>
  <si>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</si>
  <si>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</si>
  <si>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</si>
  <si>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</si>
  <si>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</si>
  <si>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</si>
  <si>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</si>
  <si>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</si>
  <si>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</si>
  <si>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</si>
  <si>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</si>
  <si>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</si>
  <si>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</si>
  <si>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</si>
  <si>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</si>
  <si>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</si>
  <si>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</si>
  <si>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</si>
  <si>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</si>
  <si>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</si>
  <si>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</si>
  <si>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</si>
  <si>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</si>
  <si>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</si>
  <si>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</si>
  <si>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</si>
  <si>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</si>
  <si>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</si>
  <si>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</si>
  <si>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</si>
  <si>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</si>
  <si>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</si>
  <si>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</si>
  <si>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</si>
  <si>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</si>
  <si>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</si>
  <si>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</si>
  <si>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</si>
  <si>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</si>
  <si>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</si>
  <si>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</si>
  <si>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</si>
  <si>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</si>
  <si>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</si>
  <si>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</si>
  <si>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</si>
  <si>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</si>
  <si>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</si>
  <si>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</si>
  <si>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</si>
  <si>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</si>
  <si>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</si>
  <si>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</si>
  <si>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</si>
  <si>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</si>
  <si>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</si>
  <si>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</si>
  <si>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</si>
  <si>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</si>
  <si>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</si>
  <si>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</si>
  <si>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</si>
  <si>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</si>
  <si>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</si>
  <si>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</si>
  <si>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</si>
  <si>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</si>
  <si>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</si>
  <si>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</si>
  <si>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</si>
  <si>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</si>
  <si>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</si>
  <si>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</si>
  <si>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</si>
  <si>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</si>
  <si>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</si>
  <si>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</si>
  <si>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</si>
  <si>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</si>
  <si>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</si>
  <si>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</si>
  <si>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</si>
  <si>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</si>
  <si>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</si>
  <si>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</si>
  <si>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</si>
  <si>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</si>
  <si>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</si>
  <si>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</si>
  <si>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</si>
  <si>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</si>
  <si>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</si>
  <si>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</si>
  <si>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</si>
  <si>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</si>
  <si>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</si>
  <si>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</si>
  <si>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</si>
  <si>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</si>
  <si>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</si>
  <si>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</si>
  <si>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</si>
  <si>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</si>
  <si>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</si>
  <si>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</si>
  <si>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</si>
  <si>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</si>
  <si>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</si>
  <si>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</si>
  <si>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</si>
  <si>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</si>
  <si>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</si>
  <si>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</si>
  <si>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</si>
  <si>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</si>
  <si>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</si>
  <si>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</si>
  <si>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</si>
  <si>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</si>
  <si>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</si>
  <si>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</si>
  <si>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</si>
  <si>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</si>
  <si>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</si>
  <si>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</si>
  <si>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</si>
  <si>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</si>
  <si>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</si>
  <si>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</si>
  <si>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</si>
  <si>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</si>
  <si>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</si>
  <si>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</si>
  <si>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</si>
  <si>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</si>
  <si>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</si>
  <si>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</si>
  <si>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</si>
  <si>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</si>
  <si>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</si>
  <si>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</si>
  <si>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</si>
  <si>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</si>
  <si>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</si>
  <si>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</si>
  <si>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</si>
  <si>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</si>
  <si>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</si>
  <si>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</si>
  <si>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</si>
  <si>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</si>
  <si>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</si>
  <si>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</si>
  <si>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</si>
  <si>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</si>
  <si>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</si>
  <si>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</si>
  <si>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</si>
  <si>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</si>
  <si>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</si>
  <si>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</si>
  <si>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</si>
  <si>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</si>
  <si>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</si>
  <si>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</si>
  <si>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</si>
  <si>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</si>
  <si>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</si>
  <si>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</si>
  <si>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</si>
  <si>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</si>
  <si>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</si>
  <si>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</si>
  <si>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</si>
  <si>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</si>
  <si>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</si>
  <si>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</si>
  <si>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</si>
  <si>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</si>
  <si>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</si>
  <si>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</si>
  <si>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</si>
  <si>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</si>
  <si>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</si>
  <si>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</si>
  <si>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</si>
  <si>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</si>
  <si>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</si>
  <si>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</si>
  <si>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</si>
  <si>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</si>
  <si>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</si>
  <si>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</si>
  <si>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</si>
  <si>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</si>
  <si>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</si>
  <si>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</si>
  <si>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</si>
  <si>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</si>
  <si>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</si>
  <si>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</si>
  <si>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</si>
  <si>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</si>
  <si>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</si>
  <si>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</si>
  <si>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</si>
  <si>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</si>
  <si>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</si>
  <si>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</si>
  <si>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</si>
  <si>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</si>
  <si>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</si>
  <si>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</si>
  <si>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</si>
  <si>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</si>
  <si>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</si>
  <si>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</si>
  <si>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</si>
  <si>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</si>
  <si>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</si>
  <si>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</si>
  <si>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</si>
  <si>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</si>
  <si>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</si>
  <si>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</si>
  <si>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</si>
  <si>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</si>
  <si>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</si>
  <si>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</si>
  <si>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</si>
  <si>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</si>
  <si>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</si>
  <si>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</si>
  <si>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</si>
  <si>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</si>
  <si>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</si>
  <si>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</si>
  <si>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</si>
  <si>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</si>
  <si>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</si>
  <si>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</si>
  <si>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</si>
  <si>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</si>
  <si>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</si>
  <si>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</si>
  <si>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</si>
  <si>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</si>
  <si>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</si>
  <si>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</si>
  <si>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</si>
  <si>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</si>
  <si>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</si>
  <si>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</si>
  <si>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</si>
  <si>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</si>
  <si>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</si>
  <si>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</si>
  <si>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</si>
  <si>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</si>
  <si>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</si>
  <si>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</si>
  <si>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</si>
  <si>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</si>
  <si>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</si>
  <si>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</si>
  <si>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</si>
  <si>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</si>
  <si>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</si>
  <si>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</si>
  <si>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</si>
  <si>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</si>
  <si>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</si>
  <si>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</si>
  <si>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</si>
  <si>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</si>
  <si>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</si>
  <si>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</si>
  <si>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</si>
  <si>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</si>
  <si>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</si>
  <si>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</si>
  <si>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</si>
  <si>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</si>
  <si>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</si>
  <si>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</si>
  <si>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</si>
  <si>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</si>
  <si>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</si>
  <si>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</si>
  <si>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</si>
  <si>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</si>
  <si>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</si>
  <si>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</si>
  <si>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</si>
  <si>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</si>
  <si>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</si>
  <si>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</si>
  <si>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</si>
  <si>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</si>
  <si>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</si>
  <si>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</si>
  <si>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</si>
  <si>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</si>
  <si>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</si>
  <si>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</si>
  <si>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</si>
  <si>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</si>
  <si>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</si>
  <si>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</si>
  <si>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</si>
  <si>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</si>
  <si>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</si>
  <si>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</si>
  <si>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</si>
  <si>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</si>
  <si>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</si>
  <si>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</si>
  <si>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</si>
  <si>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</si>
  <si>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</si>
  <si>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</si>
  <si>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</si>
  <si>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</si>
  <si>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</si>
  <si>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</si>
  <si>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</si>
  <si>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</si>
  <si>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</si>
  <si>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</si>
  <si>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</si>
  <si>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</si>
  <si>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</si>
  <si>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</si>
  <si>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</si>
  <si>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</si>
  <si>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</si>
  <si>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</si>
  <si>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</si>
  <si>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</si>
  <si>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</si>
  <si>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</si>
  <si>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</si>
  <si>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</si>
  <si>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</si>
  <si>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</si>
  <si>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</si>
  <si>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</si>
  <si>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</si>
  <si>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</si>
  <si>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</si>
  <si>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</si>
  <si>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</si>
  <si>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</si>
  <si>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</si>
  <si>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</si>
  <si>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</si>
  <si>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</si>
  <si>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</si>
  <si>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</si>
  <si>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</si>
  <si>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</si>
  <si>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</si>
  <si>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</si>
  <si>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</si>
  <si>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</si>
  <si>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</si>
  <si>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</si>
  <si>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</si>
  <si>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</si>
  <si>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</si>
  <si>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</si>
  <si>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</si>
  <si>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</si>
  <si>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</si>
  <si>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</si>
  <si>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</si>
  <si>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</si>
  <si>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</si>
  <si>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</si>
  <si>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</si>
  <si>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</si>
  <si>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</si>
  <si>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</si>
  <si>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</si>
  <si>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</si>
  <si>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</si>
  <si>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</si>
  <si>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</si>
  <si>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</si>
  <si>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</si>
  <si>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</si>
  <si>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</si>
  <si>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</si>
  <si>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</si>
  <si>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</si>
  <si>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</si>
  <si>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</si>
  <si>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</si>
  <si>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</si>
  <si>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</si>
  <si>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</si>
  <si>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</si>
  <si>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</si>
  <si>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</si>
  <si>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</si>
  <si>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</si>
  <si>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</si>
  <si>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</si>
  <si>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</si>
  <si>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</si>
  <si>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</si>
  <si>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</si>
  <si>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</si>
  <si>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</si>
  <si>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</si>
  <si>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</si>
  <si>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</si>
  <si>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</si>
  <si>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</si>
  <si>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</si>
  <si>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</si>
  <si>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</si>
  <si>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</si>
  <si>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</si>
  <si>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</si>
  <si>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</si>
  <si>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</si>
  <si>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</si>
  <si>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</si>
  <si>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</si>
  <si>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</si>
  <si>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</si>
  <si>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</si>
  <si>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</si>
  <si>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</si>
  <si>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</si>
  <si>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</si>
  <si>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</si>
  <si>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</si>
  <si>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</si>
  <si>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</si>
  <si>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</si>
  <si>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</si>
  <si>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</si>
  <si>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</si>
  <si>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</si>
  <si>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</si>
  <si>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</si>
  <si>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</si>
  <si>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</si>
  <si>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</si>
  <si>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</si>
  <si>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</si>
  <si>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</si>
  <si>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</si>
  <si>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</si>
  <si>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</si>
  <si>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</si>
  <si>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</si>
  <si>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</si>
  <si>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</si>
  <si>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</si>
  <si>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</si>
  <si>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</si>
  <si>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</si>
  <si>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</si>
  <si>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</si>
  <si>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</si>
  <si>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</si>
  <si>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</si>
  <si>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</si>
  <si>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</si>
  <si>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</si>
  <si>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</si>
  <si>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</si>
  <si>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</si>
  <si>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</si>
  <si>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</si>
  <si>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</si>
  <si>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</si>
  <si>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</si>
  <si>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</si>
  <si>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</si>
  <si>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</si>
  <si>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</si>
  <si>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</si>
  <si>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</si>
  <si>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</si>
  <si>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</si>
  <si>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</si>
  <si>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</si>
  <si>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</si>
  <si>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</si>
  <si>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</si>
  <si>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</si>
  <si>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</si>
  <si>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</si>
  <si>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</si>
  <si>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</si>
  <si>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</si>
  <si>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</si>
  <si>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</si>
  <si>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</si>
  <si>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</si>
  <si>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</si>
  <si>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</si>
  <si>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</si>
  <si>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</si>
  <si>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</si>
  <si>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</si>
  <si>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</si>
  <si>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</si>
  <si>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</si>
  <si>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</si>
  <si>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</si>
  <si>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</si>
  <si>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</si>
  <si>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</si>
  <si>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</si>
  <si>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</si>
  <si>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</si>
  <si>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</si>
  <si>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</si>
  <si>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</si>
  <si>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</si>
  <si>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</si>
  <si>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</si>
  <si>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</si>
  <si>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</si>
  <si>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</si>
  <si>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</si>
  <si>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</si>
  <si>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</si>
  <si>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</si>
  <si>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</si>
  <si>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</si>
  <si>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</si>
  <si>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</si>
  <si>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</si>
  <si>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</si>
  <si>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</si>
  <si>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</si>
  <si>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</si>
  <si>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</si>
  <si>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</si>
  <si>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</si>
  <si>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</si>
  <si>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</si>
  <si>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</si>
  <si>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</si>
  <si>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</si>
  <si>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</si>
  <si>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</si>
  <si>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</si>
  <si>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</si>
  <si>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</si>
  <si>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</si>
  <si>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</si>
  <si>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</si>
  <si>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</si>
  <si>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</si>
  <si>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</si>
  <si>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</si>
  <si>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</si>
  <si>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</si>
  <si>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</si>
  <si>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</si>
  <si>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</si>
  <si>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</si>
  <si>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</si>
  <si>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</si>
  <si>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</si>
  <si>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</si>
  <si>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</si>
  <si>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</si>
  <si>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</si>
  <si>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</si>
  <si>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</si>
  <si>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</si>
  <si>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</si>
  <si>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</si>
  <si>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</si>
  <si>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</si>
  <si>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</si>
  <si>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</si>
  <si>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</si>
  <si>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</si>
  <si>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</si>
  <si>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</si>
  <si>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</si>
  <si>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</si>
  <si>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</si>
  <si>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</si>
  <si>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</si>
  <si>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</si>
  <si>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</si>
  <si>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</si>
  <si>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</si>
  <si>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</si>
  <si>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</si>
  <si>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</si>
  <si>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</si>
  <si>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</si>
  <si>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</si>
  <si>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</si>
  <si>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</si>
  <si>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</si>
  <si>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</si>
  <si>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</si>
  <si>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</si>
  <si>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</si>
  <si>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</si>
  <si>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</si>
  <si>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</si>
  <si>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</si>
  <si>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</si>
  <si>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</si>
  <si>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</si>
  <si>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</si>
  <si>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</si>
  <si>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</si>
  <si>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</si>
  <si>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</si>
  <si>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</si>
  <si>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</si>
  <si>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</si>
  <si>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</si>
  <si>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</si>
  <si>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</si>
  <si>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</si>
  <si>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</si>
  <si>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</si>
  <si>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</si>
  <si>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</si>
  <si>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</si>
  <si>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</si>
  <si>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</si>
  <si>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</si>
  <si>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</si>
  <si>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</si>
  <si>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</si>
  <si>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</si>
  <si>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</si>
  <si>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</si>
  <si>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</si>
  <si>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</si>
  <si>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</si>
  <si>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</si>
  <si>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</si>
  <si>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</si>
  <si>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</si>
  <si>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</si>
  <si>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</si>
  <si>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</si>
  <si>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</si>
  <si>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</si>
  <si>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</si>
  <si>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</si>
  <si>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</si>
  <si>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</si>
  <si>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</si>
  <si>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</si>
  <si>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</si>
  <si>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</si>
  <si>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</si>
  <si>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</si>
  <si>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</si>
  <si>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</si>
  <si>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</si>
  <si>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</si>
  <si>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</si>
  <si>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</si>
  <si>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</si>
  <si>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</si>
  <si>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</si>
  <si>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</si>
  <si>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</si>
  <si>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</si>
  <si>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</si>
  <si>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</si>
  <si>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</si>
  <si>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</si>
  <si>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</si>
  <si>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</si>
  <si>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</si>
  <si>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</si>
  <si>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</si>
  <si>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</si>
  <si>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</si>
  <si>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</si>
  <si>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</si>
  <si>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</si>
  <si>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</si>
  <si>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</si>
  <si>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</si>
  <si>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</si>
  <si>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</si>
  <si>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</si>
  <si>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</si>
  <si>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</si>
  <si>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</si>
  <si>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</si>
  <si>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</si>
  <si>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</si>
  <si>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</si>
  <si>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</si>
  <si>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</si>
  <si>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</si>
  <si>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</si>
  <si>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</si>
  <si>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</si>
  <si>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</si>
  <si>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</si>
  <si>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</si>
  <si>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</si>
  <si>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</si>
  <si>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</si>
  <si>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</si>
  <si>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</si>
  <si>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</si>
  <si>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</si>
  <si>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</si>
  <si>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</si>
  <si>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</si>
  <si>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</si>
  <si>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</si>
  <si>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</si>
  <si>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</si>
  <si>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</si>
  <si>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</si>
  <si>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</si>
  <si>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</si>
  <si>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</si>
  <si>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</si>
  <si>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</si>
  <si>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</si>
  <si>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</si>
  <si>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</si>
  <si>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</si>
  <si>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</si>
  <si>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</si>
  <si>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</si>
  <si>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</si>
  <si>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</si>
  <si>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</si>
  <si>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</si>
  <si>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</si>
  <si>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</si>
  <si>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</si>
  <si>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</si>
  <si>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</si>
  <si>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</si>
  <si>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</si>
  <si>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</si>
  <si>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</si>
  <si>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</si>
  <si>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</si>
  <si>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</si>
  <si>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</si>
  <si>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</si>
  <si>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</si>
  <si>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</si>
  <si>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</si>
  <si>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</si>
  <si>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</si>
  <si>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</si>
  <si>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</si>
  <si>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</si>
  <si>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</si>
  <si>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</si>
  <si>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</si>
  <si>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</si>
  <si>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</si>
  <si>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</si>
  <si>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</si>
  <si>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</si>
  <si>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</si>
  <si>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</si>
  <si>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</si>
  <si>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</si>
  <si>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</si>
  <si>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</si>
  <si>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</si>
  <si>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</si>
  <si>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</si>
  <si>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</si>
  <si>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</si>
  <si>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</si>
  <si>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</si>
  <si>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</si>
  <si>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</si>
  <si>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</si>
  <si>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</si>
  <si>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</si>
  <si>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</si>
  <si>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</si>
  <si>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</si>
  <si>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</si>
  <si>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</si>
  <si>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</si>
  <si>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</si>
  <si>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</si>
  <si>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</si>
  <si>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</si>
  <si>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</si>
  <si>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</si>
  <si>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</si>
  <si>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</si>
  <si>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</si>
  <si>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</si>
  <si>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</si>
  <si>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</si>
  <si>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</si>
  <si>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</si>
  <si>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</si>
  <si>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</si>
  <si>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</si>
  <si>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</si>
  <si>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</si>
  <si>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</si>
  <si>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</si>
  <si>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</si>
  <si>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</si>
  <si>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</si>
  <si>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</si>
  <si>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</si>
  <si>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</si>
  <si>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</si>
  <si>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</si>
  <si>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</si>
  <si>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</si>
  <si>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</si>
  <si>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</si>
  <si>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</si>
  <si>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</si>
  <si>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</si>
  <si>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</si>
  <si>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</si>
  <si>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</si>
  <si>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</si>
  <si>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</si>
  <si>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</si>
  <si>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</si>
  <si>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</si>
  <si>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</si>
  <si>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</si>
  <si>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</si>
  <si>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</si>
  <si>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</si>
  <si>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</si>
  <si>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</si>
  <si>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</si>
  <si>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</si>
  <si>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</si>
  <si>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</si>
  <si>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</si>
  <si>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</si>
  <si>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</si>
  <si>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</si>
  <si>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</si>
  <si>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</si>
  <si>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</si>
  <si>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</si>
  <si>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</si>
  <si>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</si>
  <si>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</si>
  <si>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</si>
  <si>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</si>
  <si>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</si>
  <si>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</si>
  <si>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</si>
  <si>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</si>
  <si>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</si>
  <si>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</si>
  <si>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</si>
  <si>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</si>
  <si>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</si>
  <si>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</si>
  <si>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</si>
  <si>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</si>
  <si>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</si>
  <si>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</si>
  <si>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</si>
  <si>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</si>
  <si>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</si>
  <si>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</si>
  <si>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</si>
  <si>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</si>
  <si>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</si>
  <si>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</si>
  <si>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</si>
  <si>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</si>
  <si>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</si>
  <si>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</si>
  <si>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</si>
  <si>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</si>
  <si>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</si>
  <si>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</si>
  <si>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</si>
  <si>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</si>
  <si>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</si>
  <si>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</si>
  <si>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</si>
  <si>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</si>
  <si>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</si>
  <si>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</si>
  <si>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</si>
  <si>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</si>
  <si>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</si>
  <si>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</si>
  <si>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</si>
  <si>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</si>
  <si>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</si>
  <si>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</si>
  <si>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</si>
  <si>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</si>
  <si>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</si>
  <si>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</si>
  <si>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</si>
  <si>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</si>
  <si>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</si>
  <si>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</si>
  <si>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</si>
  <si>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</si>
  <si>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</si>
  <si>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</si>
  <si>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</si>
  <si>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</si>
  <si>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</si>
  <si>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</si>
  <si>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</si>
  <si>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</si>
  <si>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</si>
  <si>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</si>
  <si>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</si>
  <si>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</si>
  <si>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</si>
  <si>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</si>
  <si>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</si>
  <si>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</si>
  <si>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</si>
  <si>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</si>
  <si>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</si>
  <si>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</si>
  <si>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</si>
  <si>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</si>
  <si>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</si>
  <si>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</si>
  <si>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</si>
  <si>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</si>
  <si>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</si>
  <si>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</si>
  <si>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</si>
  <si>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</si>
  <si>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</si>
  <si>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</si>
  <si>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</si>
  <si>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</si>
  <si>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</si>
  <si>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</si>
  <si>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</si>
  <si>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</si>
  <si>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</si>
  <si>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</si>
  <si>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</si>
  <si>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</si>
  <si>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</si>
  <si>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</si>
  <si>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</si>
  <si>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</si>
  <si>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</si>
  <si>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</si>
  <si>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</si>
  <si>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</si>
  <si>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</si>
  <si>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</si>
  <si>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</si>
  <si>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</si>
  <si>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</si>
  <si>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</si>
  <si>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</si>
  <si>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</si>
  <si>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</si>
  <si>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</si>
  <si>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</si>
  <si>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</si>
  <si>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</si>
  <si>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</si>
  <si>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</si>
  <si>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</si>
  <si>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</si>
  <si>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</si>
  <si>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</si>
  <si>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</si>
  <si>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</si>
  <si>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</si>
  <si>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</si>
  <si>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</si>
  <si>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</si>
  <si>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</si>
  <si>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</si>
  <si>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</si>
  <si>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</si>
  <si>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</si>
  <si>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</si>
  <si>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</si>
  <si>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</si>
  <si>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</si>
  <si>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</si>
  <si>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</si>
  <si>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</si>
  <si>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</si>
  <si>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</si>
  <si>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</si>
  <si>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</si>
  <si>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</si>
  <si>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</si>
  <si>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</si>
  <si>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</si>
  <si>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</si>
  <si>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</si>
  <si>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</si>
  <si>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</si>
  <si>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</si>
  <si>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</si>
  <si>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</si>
  <si>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</si>
  <si>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</si>
  <si>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</si>
  <si>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</si>
  <si>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</si>
  <si>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</si>
  <si>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</si>
  <si>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</si>
  <si>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</si>
  <si>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</si>
  <si>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</si>
  <si>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</si>
  <si>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</si>
  <si>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</si>
  <si>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</si>
  <si>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</si>
  <si>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</si>
  <si>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</si>
  <si>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</si>
  <si>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</si>
  <si>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</si>
  <si>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</si>
  <si>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</si>
  <si>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</si>
  <si>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</si>
  <si>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</si>
  <si>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</si>
  <si>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</si>
  <si>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</si>
  <si>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</si>
  <si>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</si>
  <si>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</si>
  <si>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</si>
  <si>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</si>
  <si>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</si>
  <si>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</si>
  <si>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</si>
  <si>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</si>
  <si>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</si>
  <si>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</si>
  <si>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</si>
  <si>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</si>
  <si>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</si>
  <si>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</si>
  <si>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</si>
  <si>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</si>
  <si>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</si>
  <si>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</si>
  <si>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</si>
  <si>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</si>
  <si>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</si>
  <si>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</si>
  <si>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</si>
  <si>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</si>
  <si>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</si>
  <si>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</si>
  <si>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</si>
  <si>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</si>
  <si>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</si>
  <si>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</si>
  <si>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</si>
  <si>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</si>
  <si>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</si>
  <si>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</si>
  <si>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</si>
  <si>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</si>
  <si>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</si>
  <si>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</si>
  <si>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</si>
  <si>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</si>
  <si>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</si>
  <si>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</si>
  <si>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</si>
  <si>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</si>
  <si>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</si>
  <si>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</si>
  <si>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</si>
  <si>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</si>
  <si>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</si>
  <si>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</si>
  <si>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</si>
  <si>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</si>
  <si>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</si>
  <si>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</si>
  <si>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</si>
  <si>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</si>
  <si>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</si>
  <si>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</si>
  <si>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</si>
  <si>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</si>
  <si>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</si>
  <si>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</si>
  <si>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</si>
  <si>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</si>
  <si>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</si>
  <si>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</si>
  <si>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</si>
  <si>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</si>
  <si>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</si>
  <si>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</si>
  <si>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</si>
  <si>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</si>
  <si>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</si>
  <si>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</si>
  <si>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</si>
  <si>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</si>
  <si>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</si>
  <si>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</si>
  <si>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</si>
  <si>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</si>
  <si>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</si>
  <si>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</si>
  <si>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</si>
  <si>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</si>
  <si>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</si>
  <si>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</si>
  <si>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</si>
  <si>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</si>
  <si>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</si>
  <si>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</si>
  <si>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</si>
  <si>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</si>
  <si>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</si>
  <si>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</si>
  <si>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</si>
  <si>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</si>
  <si>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</si>
  <si>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</si>
  <si>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</si>
  <si>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</si>
  <si>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</si>
  <si>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</si>
  <si>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</si>
  <si>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</si>
  <si>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</si>
  <si>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</si>
  <si>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</si>
  <si>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</si>
  <si>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</si>
  <si>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</si>
  <si>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</si>
  <si>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</si>
  <si>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</si>
  <si>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</si>
  <si>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</si>
  <si>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</si>
  <si>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</si>
  <si>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</si>
  <si>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</si>
  <si>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</si>
  <si>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</si>
  <si>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</si>
  <si>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</si>
  <si>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</si>
  <si>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</si>
  <si>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</si>
  <si>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</si>
  <si>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</si>
  <si>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</si>
  <si>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</si>
  <si>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</si>
  <si>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</si>
  <si>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</si>
  <si>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</si>
  <si>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</si>
  <si>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</si>
  <si>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</si>
  <si>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</si>
  <si>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</si>
  <si>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</si>
  <si>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</si>
  <si>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</si>
  <si>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</si>
  <si>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</si>
  <si>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</si>
  <si>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</si>
  <si>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</si>
  <si>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</si>
  <si>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</si>
  <si>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</si>
  <si>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</si>
  <si>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</si>
  <si>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</si>
  <si>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</si>
  <si>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</si>
  <si>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</si>
  <si>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</si>
  <si>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</si>
  <si>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</si>
  <si>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</si>
  <si>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</si>
  <si>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</si>
  <si>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</si>
  <si>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</si>
  <si>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</si>
  <si>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</si>
  <si>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</si>
  <si>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</si>
  <si>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</si>
  <si>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</si>
  <si>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</si>
  <si>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</si>
  <si>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</si>
  <si>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</si>
  <si>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</si>
  <si>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</si>
  <si>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</si>
  <si>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</si>
  <si>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</si>
  <si>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</si>
  <si>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</si>
  <si>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</si>
  <si>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</si>
  <si>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</si>
  <si>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</si>
  <si>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</si>
  <si>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</si>
  <si>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</si>
  <si>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</si>
  <si>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</si>
  <si>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</si>
  <si>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</si>
  <si>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</si>
  <si>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</si>
  <si>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</si>
  <si>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</si>
  <si>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</si>
  <si>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</si>
  <si>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</si>
  <si>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</si>
  <si>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</si>
  <si>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</si>
  <si>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</si>
  <si>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</si>
  <si>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</si>
  <si>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</si>
  <si>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</si>
  <si>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</si>
  <si>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</si>
  <si>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</si>
  <si>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</si>
  <si>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</si>
  <si>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</si>
  <si>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</si>
  <si>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</si>
  <si>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</si>
  <si>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</si>
  <si>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</si>
  <si>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</si>
  <si>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</si>
  <si>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</si>
  <si>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</si>
  <si>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</si>
  <si>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</si>
  <si>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</si>
  <si>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</si>
  <si>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</si>
  <si>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</si>
  <si>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</si>
  <si>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</si>
  <si>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</si>
  <si>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</si>
  <si>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</si>
  <si>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</si>
  <si>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</si>
  <si>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</si>
  <si>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</si>
  <si>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</si>
  <si>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</si>
  <si>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</si>
  <si>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</si>
  <si>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</si>
  <si>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</si>
  <si>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</si>
  <si>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</si>
  <si>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</si>
  <si>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</si>
  <si>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</si>
  <si>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</si>
  <si>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</si>
  <si>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</si>
  <si>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</si>
  <si>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</si>
  <si>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</si>
  <si>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</si>
  <si>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</si>
  <si>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</si>
  <si>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</si>
  <si>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</si>
  <si>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</si>
  <si>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</si>
  <si>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</si>
  <si>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</si>
  <si>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</si>
  <si>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</si>
  <si>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</si>
  <si>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</si>
  <si>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</si>
  <si>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</si>
  <si>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</si>
  <si>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</si>
  <si>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</si>
  <si>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</si>
  <si>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</si>
  <si>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</si>
  <si>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</si>
  <si>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</si>
  <si>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</si>
  <si>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</si>
  <si>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</si>
  <si>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</si>
  <si>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</si>
  <si>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</si>
  <si>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</si>
  <si>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</si>
  <si>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</si>
  <si>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</si>
  <si>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</si>
  <si>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</si>
  <si>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</si>
  <si>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</si>
  <si>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</si>
  <si>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</si>
  <si>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</si>
  <si>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</si>
  <si>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</si>
  <si>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</si>
  <si>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</si>
  <si>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</si>
  <si>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</si>
  <si>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</si>
  <si>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</si>
  <si>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</si>
  <si>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</si>
  <si>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</si>
  <si>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</si>
  <si>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</si>
  <si>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</si>
  <si>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</si>
  <si>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</si>
  <si>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</si>
  <si>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</si>
  <si>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</si>
  <si>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</si>
  <si>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</si>
  <si>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</si>
  <si>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</si>
  <si>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</si>
  <si>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</si>
  <si>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</si>
  <si>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</si>
  <si>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</si>
  <si>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</si>
  <si>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</si>
  <si>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</si>
  <si>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</si>
  <si>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</si>
  <si>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</si>
  <si>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</si>
  <si>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</si>
  <si>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</si>
  <si>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</si>
  <si>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</si>
  <si>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</si>
  <si>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</si>
  <si>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</si>
  <si>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</si>
  <si>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</si>
  <si>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</si>
  <si>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</si>
  <si>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</si>
  <si>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</si>
  <si>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</si>
  <si>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</si>
  <si>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</si>
  <si>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</si>
  <si>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</si>
  <si>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</si>
  <si>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</si>
  <si>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</si>
  <si>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</si>
  <si>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</si>
  <si>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</si>
  <si>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</si>
  <si>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</si>
  <si>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</si>
  <si>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</si>
  <si>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</si>
  <si>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</si>
  <si>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</si>
  <si>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</si>
  <si>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</si>
  <si>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</si>
  <si>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</si>
  <si>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</si>
  <si>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</si>
  <si>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</si>
  <si>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</si>
  <si>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</si>
  <si>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</si>
  <si>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</si>
  <si>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</si>
  <si>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</si>
  <si>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</si>
  <si>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</si>
  <si>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</si>
  <si>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</si>
  <si>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</si>
  <si>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</si>
  <si>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</si>
  <si>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</si>
  <si>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</si>
  <si>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</si>
  <si>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</si>
  <si>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</si>
  <si>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</si>
  <si>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</si>
  <si>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</si>
  <si>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</si>
  <si>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</si>
  <si>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</si>
  <si>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</si>
  <si>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</si>
  <si>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</si>
  <si>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</si>
  <si>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</si>
  <si>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</si>
  <si>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</si>
  <si>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</si>
  <si>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</si>
  <si>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</si>
  <si>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</si>
  <si>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</si>
  <si>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</si>
  <si>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</si>
  <si>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</si>
  <si>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</si>
  <si>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</si>
  <si>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</si>
  <si>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</si>
  <si>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</si>
  <si>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</si>
  <si>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</si>
  <si>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</si>
  <si>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</si>
  <si>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</si>
  <si>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</si>
  <si>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</si>
  <si>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</si>
  <si>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</si>
  <si>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</si>
  <si>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</si>
  <si>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</si>
  <si>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</si>
  <si>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</si>
  <si>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</si>
  <si>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</si>
  <si>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</si>
  <si>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</si>
  <si>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</si>
  <si>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</si>
  <si>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</si>
  <si>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</si>
  <si>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</si>
  <si>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</si>
  <si>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</si>
  <si>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</si>
  <si>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</si>
  <si>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</si>
  <si>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</si>
  <si>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</si>
  <si>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</si>
  <si>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</si>
  <si>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</si>
  <si>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</si>
  <si>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</si>
  <si>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</si>
  <si>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</si>
  <si>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</si>
  <si>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</si>
  <si>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</si>
  <si>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</si>
  <si>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</si>
  <si>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</si>
  <si>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</si>
  <si>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</si>
  <si>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</si>
  <si>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</si>
  <si>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</si>
  <si>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</si>
  <si>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</si>
  <si>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</si>
  <si>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</si>
  <si>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</si>
  <si>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</si>
  <si>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</si>
  <si>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</si>
  <si>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</si>
  <si>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</si>
  <si>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</si>
  <si>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</si>
  <si>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</si>
  <si>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</si>
  <si>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</si>
  <si>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</si>
  <si>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</si>
  <si>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</si>
  <si>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</si>
  <si>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</si>
  <si>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</si>
  <si>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</si>
  <si>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</si>
  <si>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</si>
  <si>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</si>
  <si>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</si>
  <si>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</si>
  <si>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</si>
  <si>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</si>
  <si>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</si>
  <si>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</si>
  <si>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</si>
  <si>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</si>
  <si>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</si>
  <si>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</si>
  <si>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</si>
  <si>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</si>
  <si>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</si>
  <si>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</si>
  <si>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</si>
  <si>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</si>
  <si>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</si>
  <si>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</si>
  <si>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</si>
  <si>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</si>
  <si>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</si>
  <si>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</si>
  <si>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</si>
  <si>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</si>
  <si>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</si>
  <si>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</si>
  <si>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</si>
  <si>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</si>
  <si>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</si>
  <si>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</si>
  <si>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</si>
  <si>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</si>
  <si>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</si>
  <si>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</si>
  <si>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</si>
  <si>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</si>
  <si>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</si>
  <si>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</si>
  <si>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</si>
  <si>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</si>
  <si>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</si>
  <si>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</si>
  <si>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</si>
  <si>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</si>
  <si>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</si>
  <si>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</si>
  <si>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</si>
  <si>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</si>
  <si>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</si>
  <si>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</si>
  <si>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</si>
  <si>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</si>
  <si>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</si>
  <si>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</si>
  <si>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</si>
  <si>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</si>
  <si>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</si>
  <si>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</si>
  <si>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</si>
  <si>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</si>
  <si>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</si>
  <si>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</si>
  <si>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</si>
  <si>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</si>
  <si>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</si>
  <si>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</si>
  <si>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</si>
  <si>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</si>
  <si>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</si>
  <si>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</si>
  <si>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</si>
  <si>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</si>
  <si>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</si>
  <si>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</si>
  <si>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</si>
  <si>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</si>
  <si>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</si>
  <si>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</si>
  <si>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</si>
  <si>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</si>
  <si>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</si>
  <si>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</si>
  <si>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</si>
  <si>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</si>
  <si>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</si>
  <si>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</si>
  <si>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</si>
  <si>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</si>
  <si>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</si>
  <si>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</si>
  <si>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</si>
  <si>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</si>
  <si>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</si>
  <si>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</si>
  <si>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</si>
  <si>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</si>
  <si>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</si>
  <si>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</si>
  <si>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</si>
  <si>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</si>
  <si>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</si>
  <si>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</si>
  <si>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</si>
  <si>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</si>
  <si>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</si>
  <si>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</si>
  <si>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</si>
  <si>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</si>
  <si>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</si>
  <si>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</si>
  <si>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</si>
  <si>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</si>
  <si>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</si>
  <si>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</si>
  <si>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</si>
  <si>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</si>
  <si>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</si>
  <si>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</si>
  <si>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</si>
  <si>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</si>
  <si>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</si>
  <si>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</si>
  <si>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</si>
  <si>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</si>
  <si>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</si>
  <si>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</si>
  <si>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</si>
  <si>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</si>
  <si>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</si>
  <si>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</si>
  <si>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</si>
  <si>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</si>
  <si>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</si>
  <si>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</si>
  <si>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</si>
  <si>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</si>
  <si>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</si>
  <si>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</si>
  <si>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</si>
  <si>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</si>
  <si>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</si>
  <si>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</si>
  <si>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</si>
  <si>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</si>
  <si>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</si>
  <si>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</si>
  <si>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</si>
  <si>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</si>
  <si>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</si>
  <si>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</si>
  <si>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</si>
  <si>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</si>
  <si>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</si>
  <si>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</si>
  <si>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</si>
  <si>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</si>
  <si>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</si>
  <si>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</si>
  <si>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</si>
  <si>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</si>
  <si>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</si>
  <si>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</si>
  <si>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</si>
  <si>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</si>
  <si>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</si>
  <si>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</si>
  <si>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</si>
  <si>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</si>
  <si>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</si>
  <si>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</si>
  <si>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</si>
  <si>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</si>
  <si>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</si>
  <si>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</si>
  <si>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</si>
  <si>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</si>
  <si>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</si>
  <si>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</si>
  <si>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</si>
  <si>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</si>
  <si>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</si>
  <si>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</si>
  <si>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</si>
  <si>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</si>
  <si>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</si>
  <si>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</si>
  <si>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</si>
  <si>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</si>
  <si>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</si>
  <si>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</si>
  <si>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</si>
  <si>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</si>
  <si>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</si>
  <si>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</si>
  <si>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</si>
  <si>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</si>
  <si>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</si>
  <si>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</si>
  <si>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</si>
  <si>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</si>
  <si>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</si>
  <si>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</si>
  <si>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</si>
  <si>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</si>
  <si>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</si>
  <si>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</si>
  <si>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</si>
  <si>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</si>
  <si>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</si>
  <si>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</si>
  <si>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</si>
  <si>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</si>
  <si>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</si>
  <si>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</si>
  <si>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</si>
  <si>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</si>
  <si>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</si>
  <si>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</si>
  <si>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</si>
  <si>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</si>
  <si>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</si>
  <si>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</si>
  <si>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</si>
  <si>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</si>
  <si>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</si>
  <si>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</si>
  <si>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</si>
  <si>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</si>
  <si>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</si>
  <si>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</si>
  <si>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</si>
  <si>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</si>
  <si>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</si>
  <si>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</si>
  <si>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</si>
  <si>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</si>
  <si>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</si>
  <si>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</si>
  <si>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</si>
  <si>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</si>
  <si>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</si>
  <si>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</si>
  <si>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</si>
  <si>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</si>
  <si>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</si>
  <si>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</si>
  <si>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</si>
  <si>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</si>
  <si>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</si>
  <si>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</si>
  <si>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</si>
  <si>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</si>
  <si>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</si>
  <si>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</si>
  <si>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</si>
  <si>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</si>
  <si>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</si>
  <si>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</si>
  <si>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</si>
  <si>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</si>
  <si>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</si>
  <si>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</si>
  <si>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</si>
  <si>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</si>
  <si>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</si>
  <si>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</si>
  <si>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</si>
  <si>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</si>
  <si>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</si>
  <si>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</si>
  <si>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</si>
  <si>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</si>
  <si>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</si>
  <si>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</si>
  <si>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</si>
  <si>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</si>
  <si>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</si>
  <si>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</si>
  <si>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</si>
  <si>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</si>
  <si>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</si>
  <si>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</si>
  <si>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</si>
  <si>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</si>
  <si>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</si>
  <si>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</si>
  <si>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</si>
  <si>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</si>
  <si>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</si>
  <si>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</si>
  <si>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</si>
  <si>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</si>
  <si>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</si>
  <si>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</si>
  <si>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</si>
  <si>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</si>
  <si>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</si>
  <si>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</si>
  <si>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</si>
  <si>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</si>
  <si>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</si>
  <si>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</si>
  <si>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</si>
  <si>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</si>
  <si>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</si>
  <si>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</si>
  <si>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</si>
  <si>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</si>
  <si>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</si>
  <si>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</si>
  <si>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</si>
  <si>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</si>
  <si>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</si>
  <si>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</si>
  <si>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</si>
  <si>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</si>
  <si>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</si>
  <si>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</si>
  <si>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</si>
  <si>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</si>
  <si>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</si>
  <si>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</si>
  <si>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</si>
  <si>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</si>
  <si>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</si>
  <si>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</si>
  <si>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</si>
  <si>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</si>
  <si>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</si>
  <si>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</si>
  <si>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</si>
  <si>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</si>
  <si>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</si>
  <si>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</si>
  <si>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</si>
  <si>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</si>
  <si>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</si>
  <si>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</si>
  <si>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</si>
  <si>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</si>
  <si>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</si>
  <si>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</si>
  <si>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</si>
  <si>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</si>
  <si>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</si>
  <si>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</si>
  <si>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</si>
  <si>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</si>
  <si>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</si>
  <si>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</si>
  <si>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</si>
  <si>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</si>
  <si>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</si>
  <si>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</si>
  <si>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</si>
  <si>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</si>
  <si>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</si>
  <si>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</si>
  <si>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</si>
  <si>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</si>
  <si>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</si>
  <si>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</si>
  <si>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</si>
  <si>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</si>
  <si>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</si>
  <si>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</si>
  <si>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</si>
  <si>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</si>
  <si>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</si>
  <si>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</si>
  <si>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</si>
  <si>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</si>
  <si>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</si>
  <si>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</si>
  <si>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</si>
  <si>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</si>
  <si>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</si>
  <si>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</si>
  <si>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</si>
  <si>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</si>
  <si>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</si>
  <si>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</si>
  <si>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</si>
  <si>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</si>
  <si>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</si>
  <si>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</si>
  <si>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</si>
  <si>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</si>
  <si>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</si>
  <si>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</si>
  <si>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</si>
  <si>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</si>
  <si>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</si>
  <si>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</si>
  <si>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</si>
  <si>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</si>
  <si>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</si>
  <si>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</si>
  <si>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</si>
  <si>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</si>
  <si>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</si>
  <si>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</si>
  <si>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</si>
  <si>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</si>
  <si>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</si>
  <si>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</si>
  <si>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</si>
  <si>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</si>
  <si>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</si>
  <si>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</si>
  <si>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</si>
  <si>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</si>
  <si>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</si>
  <si>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</si>
  <si>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</si>
  <si>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</si>
  <si>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</si>
  <si>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</si>
  <si>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</si>
  <si>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</si>
  <si>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</si>
  <si>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</si>
  <si>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</si>
  <si>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</si>
  <si>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</si>
  <si>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</si>
  <si>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</si>
  <si>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</si>
  <si>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</si>
  <si>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</si>
  <si>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</si>
  <si>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</si>
  <si>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</si>
  <si>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</si>
  <si>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</si>
  <si>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</si>
  <si>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</si>
  <si>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</si>
  <si>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</si>
  <si>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</si>
  <si>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</si>
  <si>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</si>
  <si>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</si>
  <si>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</si>
  <si>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</si>
  <si>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</si>
  <si>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</si>
  <si>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</si>
  <si>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</si>
  <si>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</si>
  <si>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</si>
  <si>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</si>
  <si>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</si>
  <si>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</si>
  <si>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</si>
  <si>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</si>
  <si>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</si>
  <si>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</si>
  <si>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</si>
  <si>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</si>
  <si>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</si>
  <si>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</si>
  <si>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</si>
  <si>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</si>
  <si>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</si>
  <si>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</si>
  <si>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</si>
  <si>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</si>
  <si>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</si>
  <si>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</si>
  <si>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</si>
  <si>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</si>
  <si>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</si>
  <si>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</si>
  <si>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</si>
  <si>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</si>
  <si>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</si>
  <si>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</si>
  <si>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</si>
  <si>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</si>
  <si>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</si>
  <si>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</si>
  <si>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</si>
  <si>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</si>
  <si>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</si>
  <si>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</si>
  <si>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</si>
  <si>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</si>
  <si>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</si>
  <si>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</si>
  <si>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</si>
  <si>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</si>
  <si>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</si>
  <si>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</si>
  <si>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</si>
  <si>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</si>
  <si>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</si>
  <si>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</si>
  <si>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</si>
  <si>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</si>
  <si>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</si>
  <si>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</si>
  <si>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</si>
  <si>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</si>
  <si>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</si>
  <si>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</si>
  <si>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</si>
  <si>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</si>
  <si>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</si>
  <si>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</si>
  <si>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</si>
  <si>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</si>
  <si>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</si>
  <si>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</si>
  <si>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</si>
  <si>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</si>
  <si>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</si>
  <si>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</si>
  <si>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</si>
  <si>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</si>
  <si>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</si>
  <si>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</si>
  <si>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</si>
  <si>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</si>
  <si>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</si>
  <si>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</si>
  <si>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</si>
  <si>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</si>
  <si>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</si>
  <si>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</si>
  <si>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</si>
  <si>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</si>
  <si>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</si>
  <si>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</si>
  <si>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</si>
  <si>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</si>
  <si>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</si>
  <si>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</si>
  <si>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</si>
  <si>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</si>
  <si>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</si>
  <si>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</si>
  <si>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</si>
  <si>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</si>
  <si>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</si>
  <si>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</si>
  <si>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</si>
  <si>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</si>
  <si>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</si>
  <si>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</si>
  <si>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</si>
  <si>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</si>
  <si>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</si>
  <si>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</si>
  <si>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</si>
  <si>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</si>
  <si>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</si>
  <si>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</si>
  <si>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</si>
  <si>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</si>
  <si>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</si>
  <si>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</si>
  <si>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</si>
  <si>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</si>
  <si>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</si>
  <si>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</si>
  <si>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</si>
  <si>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</si>
  <si>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</si>
  <si>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</si>
  <si>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</si>
  <si>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</si>
  <si>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</si>
  <si>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</si>
  <si>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</si>
  <si>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</si>
  <si>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</si>
  <si>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</si>
  <si>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</si>
  <si>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</si>
  <si>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</si>
  <si>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</si>
  <si>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</si>
  <si>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</si>
  <si>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</si>
  <si>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</si>
  <si>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</si>
  <si>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</si>
  <si>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</si>
  <si>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</si>
  <si>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</si>
  <si>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</si>
  <si>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</si>
  <si>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</si>
  <si>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</si>
  <si>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</si>
  <si>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</si>
  <si>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</si>
  <si>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</si>
  <si>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</si>
  <si>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</si>
  <si>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</si>
  <si>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</si>
  <si>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</si>
  <si>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</si>
  <si>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</si>
  <si>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</si>
  <si>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</si>
  <si>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</si>
  <si>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</si>
  <si>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</si>
  <si>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</si>
  <si>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</si>
  <si>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</si>
  <si>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</si>
  <si>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</si>
  <si>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</si>
  <si>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</si>
  <si>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</si>
  <si>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</si>
  <si>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</si>
  <si>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</si>
  <si>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</si>
  <si>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</si>
  <si>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</si>
  <si>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</si>
  <si>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</si>
  <si>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</si>
  <si>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</si>
  <si>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</si>
  <si>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</si>
  <si>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</si>
  <si>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</si>
  <si>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</si>
  <si>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</si>
  <si>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</si>
  <si>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</si>
  <si>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</si>
  <si>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</si>
  <si>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</si>
  <si>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</si>
  <si>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</si>
  <si>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</si>
  <si>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</si>
  <si>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</si>
  <si>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</si>
  <si>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</si>
  <si>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</si>
  <si>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</si>
  <si>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</si>
  <si>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</si>
  <si>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</si>
  <si>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</si>
  <si>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</si>
  <si>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</si>
  <si>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</si>
  <si>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</si>
  <si>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</si>
  <si>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</si>
  <si>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</si>
  <si>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</si>
  <si>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</si>
  <si>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</si>
  <si>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</si>
  <si>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</si>
  <si>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</si>
  <si>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</si>
  <si>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</si>
  <si>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</si>
  <si>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</si>
  <si>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</si>
  <si>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</si>
  <si>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</si>
  <si>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</si>
  <si>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</si>
  <si>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</si>
  <si>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</si>
  <si>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</si>
  <si>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</si>
  <si>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</si>
  <si>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</si>
  <si>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</si>
  <si>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</si>
  <si>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</si>
  <si>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</si>
  <si>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</si>
  <si>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</si>
  <si>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</si>
  <si>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</si>
  <si>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</si>
  <si>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</si>
  <si>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</si>
  <si>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</si>
  <si>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</si>
  <si>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</si>
  <si>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</si>
  <si>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</si>
  <si>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</si>
  <si>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</si>
  <si>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</si>
  <si>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</si>
  <si>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</si>
  <si>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</si>
  <si>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</si>
  <si>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</si>
  <si>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</si>
  <si>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</si>
  <si>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</si>
  <si>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</si>
  <si>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</si>
  <si>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</si>
  <si>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</si>
  <si>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</si>
  <si>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</si>
  <si>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</si>
  <si>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</si>
  <si>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</si>
  <si>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</si>
  <si>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</si>
  <si>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</si>
  <si>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</si>
  <si>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</si>
  <si>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</si>
  <si>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</si>
  <si>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</si>
  <si>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</si>
  <si>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</si>
  <si>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</si>
  <si>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</si>
  <si>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</si>
  <si>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</si>
  <si>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</si>
  <si>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</si>
  <si>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</si>
  <si>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</si>
  <si>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</si>
  <si>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</si>
  <si>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</si>
  <si>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</si>
  <si>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</si>
  <si>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</si>
  <si>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</si>
  <si>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</si>
  <si>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</si>
  <si>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</si>
  <si>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</si>
  <si>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</si>
  <si>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</si>
  <si>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</si>
  <si>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</si>
  <si>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</si>
  <si>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</si>
  <si>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</si>
  <si>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</si>
  <si>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</si>
  <si>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</si>
  <si>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</si>
  <si>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</si>
  <si>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</si>
  <si>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</si>
  <si>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</si>
  <si>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</si>
  <si>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</si>
  <si>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</si>
  <si>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</si>
  <si>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</si>
  <si>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</si>
  <si>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</si>
  <si>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</si>
  <si>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</si>
  <si>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</si>
  <si>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</si>
  <si>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</si>
  <si>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</si>
  <si>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</si>
  <si>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</si>
  <si>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</si>
  <si>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</si>
  <si>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</si>
  <si>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</si>
  <si>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</si>
  <si>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</si>
  <si>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</si>
  <si>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</si>
  <si>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</si>
  <si>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</si>
  <si>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</si>
  <si>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</si>
  <si>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</si>
  <si>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</si>
  <si>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</si>
  <si>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</si>
  <si>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</si>
  <si>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</si>
  <si>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</si>
  <si>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</si>
  <si>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</si>
  <si>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</si>
  <si>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</si>
  <si>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</si>
  <si>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</si>
  <si>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</si>
  <si>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</si>
  <si>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</si>
  <si>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</si>
  <si>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</si>
  <si>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</si>
  <si>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</si>
  <si>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</si>
  <si>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</si>
  <si>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</si>
  <si>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</si>
  <si>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</si>
  <si>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</si>
  <si>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</si>
  <si>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</si>
  <si>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</si>
  <si>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</si>
  <si>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</si>
  <si>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</si>
  <si>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</si>
  <si>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</si>
  <si>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</si>
  <si>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</si>
  <si>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</si>
  <si>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</si>
  <si>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</si>
  <si>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</si>
  <si>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</si>
  <si>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</si>
  <si>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</si>
  <si>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</si>
  <si>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</si>
  <si>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</si>
  <si>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</si>
  <si>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</si>
  <si>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</si>
  <si>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</si>
  <si>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</si>
  <si>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</si>
  <si>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</si>
  <si>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</si>
  <si>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</si>
  <si>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</si>
  <si>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</si>
  <si>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</si>
  <si>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</si>
  <si>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</si>
  <si>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</si>
  <si>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</si>
  <si>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</si>
  <si>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</si>
  <si>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</si>
  <si>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</si>
  <si>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</si>
  <si>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</si>
  <si>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</si>
  <si>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</si>
  <si>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</si>
  <si>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</si>
  <si>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</si>
  <si>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</si>
  <si>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</si>
  <si>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</si>
  <si>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</si>
  <si>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</si>
  <si>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</si>
  <si>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</si>
  <si>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</si>
  <si>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</si>
  <si>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</si>
  <si>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</si>
  <si>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</si>
  <si>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</si>
  <si>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</si>
  <si>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</si>
  <si>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</si>
  <si>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</si>
  <si>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</si>
  <si>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</si>
  <si>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</si>
  <si>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</si>
  <si>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</si>
  <si>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</si>
  <si>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</si>
  <si>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</si>
  <si>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</si>
  <si>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</si>
  <si>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</si>
  <si>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</si>
  <si>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</si>
  <si>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</si>
  <si>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</si>
  <si>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</si>
  <si>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</si>
  <si>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</si>
  <si>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</si>
  <si>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</si>
  <si>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</si>
  <si>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</si>
  <si>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</si>
  <si>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</si>
  <si>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</si>
  <si>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</si>
  <si>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</si>
  <si>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</si>
  <si>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</si>
  <si>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</si>
  <si>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</si>
  <si>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</si>
  <si>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</si>
  <si>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</si>
  <si>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</si>
  <si>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</si>
  <si>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</si>
  <si>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</si>
  <si>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</si>
  <si>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</si>
  <si>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</si>
  <si>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</si>
  <si>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</si>
  <si>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</si>
  <si>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</si>
  <si>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</si>
  <si>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</si>
  <si>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</si>
  <si>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</si>
  <si>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</si>
  <si>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</si>
  <si>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</si>
  <si>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</si>
  <si>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</si>
  <si>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</si>
  <si>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</si>
  <si>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</si>
  <si>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</si>
  <si>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</si>
  <si>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</si>
  <si>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</si>
  <si>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</si>
  <si>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</si>
  <si>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</si>
  <si>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</si>
  <si>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</si>
  <si>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</si>
  <si>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</si>
  <si>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</si>
  <si>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</si>
  <si>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</si>
  <si>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</si>
  <si>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</si>
  <si>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</si>
  <si>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</si>
  <si>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</si>
  <si>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</si>
  <si>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</si>
  <si>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</si>
  <si>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</si>
  <si>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</si>
  <si>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</si>
  <si>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</si>
  <si>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</si>
  <si>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</si>
  <si>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</si>
  <si>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</si>
  <si>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</si>
  <si>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</si>
  <si>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</si>
  <si>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</si>
  <si>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</si>
  <si>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</si>
  <si>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</si>
  <si>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</si>
  <si>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</si>
  <si>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</si>
  <si>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</si>
  <si>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</si>
  <si>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</si>
  <si>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</si>
  <si>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</si>
  <si>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</si>
  <si>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</si>
  <si>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</si>
  <si>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</si>
  <si>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</si>
  <si>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</si>
  <si>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</si>
  <si>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</si>
  <si>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</si>
  <si>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</si>
  <si>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</si>
  <si>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</si>
  <si>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</si>
  <si>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</si>
  <si>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</si>
  <si>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</si>
  <si>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</si>
  <si>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</si>
  <si>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</si>
  <si>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</si>
  <si>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</si>
  <si>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</si>
  <si>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</si>
  <si>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</si>
  <si>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</si>
  <si>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</si>
  <si>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</si>
  <si>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</si>
  <si>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</si>
  <si>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</si>
  <si>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</si>
  <si>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</si>
  <si>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</si>
  <si>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</si>
  <si>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</si>
  <si>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</si>
  <si>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</si>
  <si>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</si>
  <si>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</si>
  <si>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</si>
  <si>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</si>
  <si>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</si>
  <si>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</si>
  <si>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</si>
  <si>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</si>
  <si>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</si>
  <si>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</si>
  <si>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</si>
  <si>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</si>
  <si>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</si>
  <si>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</si>
  <si>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</si>
  <si>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</si>
  <si>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</si>
  <si>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</si>
  <si>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</si>
  <si>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</si>
  <si>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</si>
  <si>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</si>
  <si>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</si>
  <si>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</si>
  <si>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</si>
  <si>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</si>
  <si>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</si>
  <si>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</si>
  <si>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</si>
  <si>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</si>
  <si>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</si>
  <si>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</si>
  <si>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</si>
  <si>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</si>
  <si>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</si>
  <si>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</si>
  <si>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</si>
  <si>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</si>
  <si>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</si>
  <si>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</si>
  <si>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</si>
  <si>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</si>
  <si>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</si>
  <si>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</si>
  <si>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</si>
  <si>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</si>
  <si>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</si>
  <si>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</si>
  <si>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</si>
  <si>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</si>
  <si>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</si>
  <si>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</si>
  <si>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</si>
  <si>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</si>
  <si>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</si>
  <si>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</si>
  <si>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</si>
  <si>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</si>
  <si>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</si>
  <si>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</si>
  <si>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</si>
  <si>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</si>
  <si>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</si>
  <si>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</si>
  <si>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</si>
  <si>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</si>
  <si>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</si>
  <si>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</si>
  <si>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</si>
  <si>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</si>
  <si>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</si>
  <si>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</si>
  <si>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</si>
  <si>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</si>
  <si>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</si>
  <si>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</si>
  <si>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</si>
  <si>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</si>
  <si>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</si>
  <si>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</si>
  <si>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</si>
  <si>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</si>
  <si>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</si>
  <si>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</si>
  <si>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</si>
  <si>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</si>
  <si>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</si>
  <si>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</si>
  <si>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</si>
  <si>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</si>
  <si>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</si>
  <si>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</si>
  <si>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</si>
  <si>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</si>
  <si>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</si>
  <si>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</si>
  <si>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</si>
  <si>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</si>
  <si>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</si>
  <si>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</si>
  <si>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</si>
  <si>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</si>
  <si>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</si>
  <si>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</si>
  <si>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</si>
  <si>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</si>
  <si>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</si>
  <si>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</si>
  <si>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</si>
  <si>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</si>
  <si>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</si>
  <si>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</si>
  <si>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</si>
  <si>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</si>
  <si>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</si>
  <si>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</si>
  <si>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</si>
  <si>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</si>
  <si>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</si>
  <si>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</si>
  <si>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</si>
  <si>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</si>
  <si>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</si>
  <si>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</si>
  <si>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</si>
  <si>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</si>
  <si>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</si>
  <si>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</si>
  <si>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</si>
  <si>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</si>
  <si>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</si>
  <si>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</si>
  <si>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</si>
  <si>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</si>
  <si>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</si>
  <si>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</si>
  <si>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</si>
  <si>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</si>
  <si>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</si>
  <si>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</si>
  <si>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</si>
  <si>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</si>
  <si>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</si>
  <si>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</si>
  <si>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</si>
  <si>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</si>
  <si>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</si>
  <si>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</si>
  <si>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</si>
  <si>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</si>
  <si>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</si>
  <si>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</si>
  <si>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</si>
  <si>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</si>
  <si>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</si>
  <si>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</si>
  <si>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</si>
  <si>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</si>
  <si>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</si>
  <si>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</si>
  <si>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</si>
  <si>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</si>
  <si>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</si>
  <si>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</si>
  <si>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</si>
  <si>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</si>
  <si>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</si>
  <si>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</si>
  <si>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</si>
  <si>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</si>
  <si>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</si>
  <si>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</si>
  <si>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</si>
  <si>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</si>
  <si>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</si>
  <si>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</si>
  <si>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</si>
  <si>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</si>
  <si>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</si>
  <si>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</si>
  <si>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</si>
  <si>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</si>
  <si>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</si>
  <si>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</si>
  <si>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</si>
  <si>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</si>
  <si>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</si>
  <si>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</si>
  <si>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</si>
  <si>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</si>
  <si>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</si>
  <si>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</si>
  <si>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</si>
  <si>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</si>
  <si>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</si>
  <si>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</si>
  <si>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</si>
  <si>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</si>
  <si>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</si>
  <si>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</si>
  <si>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</si>
  <si>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</si>
  <si>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</si>
  <si>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</si>
  <si>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</si>
  <si>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</si>
  <si>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</si>
  <si>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</si>
  <si>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</si>
  <si>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</si>
  <si>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</si>
  <si>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</si>
  <si>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</si>
  <si>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</si>
  <si>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</si>
  <si>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</si>
  <si>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</si>
  <si>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</si>
  <si>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</si>
  <si>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</si>
  <si>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</si>
  <si>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</si>
  <si>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</si>
  <si>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</si>
  <si>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</si>
  <si>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</si>
  <si>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</si>
  <si>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</si>
  <si>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</si>
  <si>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</si>
  <si>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</si>
  <si>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</si>
  <si>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</si>
  <si>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</si>
  <si>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</si>
  <si>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</si>
  <si>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</si>
  <si>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</si>
  <si>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</si>
  <si>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</si>
  <si>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</si>
  <si>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</si>
  <si>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</si>
  <si>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</si>
  <si>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</si>
  <si>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</si>
  <si>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</si>
  <si>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</si>
  <si>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</si>
  <si>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</si>
  <si>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</si>
  <si>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</si>
  <si>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</si>
  <si>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</si>
  <si>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</si>
  <si>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</si>
  <si>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</si>
  <si>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</si>
  <si>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</si>
  <si>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</si>
  <si>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</si>
  <si>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</si>
  <si>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</si>
  <si>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</si>
  <si>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</si>
  <si>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</si>
  <si>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</si>
  <si>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</si>
  <si>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</si>
  <si>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</si>
  <si>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</si>
  <si>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</si>
  <si>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</si>
  <si>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</si>
  <si>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</si>
  <si>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</si>
  <si>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</si>
  <si>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</si>
  <si>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</si>
  <si>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</si>
  <si>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</si>
  <si>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</si>
  <si>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</si>
  <si>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</si>
  <si>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</si>
  <si>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</si>
  <si>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</si>
  <si>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</si>
  <si>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</si>
  <si>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</si>
  <si>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</si>
  <si>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</si>
  <si>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</si>
  <si>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</si>
  <si>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</si>
  <si>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</si>
  <si>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</si>
  <si>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</si>
  <si>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</si>
  <si>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</si>
  <si>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</si>
  <si>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</si>
  <si>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</si>
  <si>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</si>
  <si>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</si>
  <si>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</si>
  <si>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</si>
  <si>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</si>
  <si>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</si>
  <si>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</si>
  <si>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</si>
  <si>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</si>
  <si>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</si>
  <si>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</si>
  <si>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</si>
  <si>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</si>
  <si>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</si>
  <si>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</si>
  <si>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</si>
  <si>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</si>
  <si>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</si>
  <si>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</si>
  <si>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</si>
  <si>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</si>
  <si>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</si>
  <si>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</si>
  <si>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</si>
  <si>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</si>
  <si>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</si>
  <si>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</si>
  <si>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</si>
  <si>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</si>
  <si>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</si>
  <si>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</si>
  <si>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</si>
  <si>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</si>
  <si>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</si>
  <si>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</si>
  <si>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</si>
  <si>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</si>
  <si>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</si>
  <si>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</si>
  <si>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</si>
  <si>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</si>
  <si>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</si>
  <si>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</si>
  <si>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</si>
  <si>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</si>
  <si>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</si>
  <si>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</si>
  <si>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</si>
  <si>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</si>
  <si>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</si>
  <si>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</si>
  <si>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</si>
  <si>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</si>
  <si>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</si>
  <si>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</si>
  <si>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</si>
  <si>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</si>
  <si>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</si>
  <si>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</si>
  <si>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</si>
  <si>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</si>
  <si>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</si>
  <si>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</si>
  <si>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</si>
  <si>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</si>
  <si>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</si>
  <si>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</si>
  <si>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</si>
  <si>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</si>
  <si>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</si>
  <si>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</si>
  <si>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</si>
  <si>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</si>
  <si>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</si>
  <si>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</si>
  <si>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</si>
  <si>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</si>
  <si>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</si>
  <si>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</si>
  <si>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</si>
  <si>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</si>
  <si>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</si>
  <si>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</si>
  <si>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</si>
  <si>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</si>
  <si>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</si>
  <si>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</si>
  <si>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</si>
  <si>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</si>
  <si>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</si>
  <si>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</si>
  <si>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</si>
  <si>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</si>
  <si>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</si>
  <si>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</si>
  <si>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</si>
  <si>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</si>
  <si>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</si>
  <si>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</si>
  <si>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</si>
  <si>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</si>
  <si>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</si>
  <si>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</si>
  <si>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</si>
  <si>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</si>
  <si>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</si>
  <si>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</si>
  <si>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</si>
  <si>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</si>
  <si>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</si>
  <si>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</si>
  <si>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</si>
  <si>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</si>
  <si>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</si>
  <si>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</si>
  <si>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</si>
  <si>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</si>
  <si>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</si>
  <si>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</si>
  <si>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</si>
  <si>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</si>
  <si>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</si>
  <si>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</si>
  <si>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</si>
  <si>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</si>
  <si>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</si>
  <si>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</si>
  <si>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</si>
  <si>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</si>
  <si>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</si>
  <si>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</si>
  <si>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</si>
  <si>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</si>
  <si>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</si>
  <si>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</si>
  <si>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</si>
  <si>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</si>
  <si>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</si>
  <si>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</si>
  <si>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</si>
  <si>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</si>
  <si>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</si>
  <si>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</si>
  <si>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</si>
  <si>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</si>
  <si>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</si>
  <si>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</si>
  <si>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</si>
  <si>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</si>
  <si>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</si>
  <si>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</si>
  <si>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</si>
  <si>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</si>
  <si>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</si>
  <si>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</si>
  <si>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</si>
  <si>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</si>
  <si>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</si>
  <si>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</si>
  <si>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</si>
  <si>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</si>
  <si>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</si>
  <si>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</si>
  <si>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</si>
  <si>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</si>
  <si>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</si>
  <si>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</si>
  <si>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</si>
  <si>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</si>
  <si>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</si>
  <si>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</si>
  <si>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</si>
  <si>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</si>
  <si>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</si>
  <si>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</si>
  <si>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</si>
  <si>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</si>
  <si>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</si>
  <si>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</si>
  <si>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</si>
  <si>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</si>
  <si>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</si>
  <si>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</si>
  <si>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</si>
  <si>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</si>
  <si>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</si>
  <si>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</si>
  <si>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</si>
  <si>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</si>
  <si>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</si>
  <si>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</si>
  <si>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</si>
  <si>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</si>
  <si>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</si>
  <si>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</si>
  <si>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</si>
  <si>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</si>
  <si>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</si>
  <si>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</si>
  <si>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</si>
  <si>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</si>
  <si>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</si>
  <si>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</si>
  <si>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</si>
  <si>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</si>
  <si>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</si>
  <si>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</si>
  <si>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</si>
  <si>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</si>
  <si>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</si>
  <si>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</si>
  <si>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</si>
  <si>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</si>
  <si>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</si>
  <si>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</si>
  <si>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</si>
  <si>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</si>
  <si>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</si>
  <si>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</si>
  <si>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</si>
  <si>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</si>
  <si>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</si>
  <si>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</si>
  <si>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</si>
  <si>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</si>
  <si>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</si>
  <si>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</si>
  <si>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</si>
  <si>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</si>
  <si>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</si>
  <si>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</si>
  <si>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</si>
  <si>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</si>
  <si>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</si>
  <si>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</si>
  <si>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</si>
  <si>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</si>
  <si>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</si>
  <si>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</si>
  <si>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</si>
  <si>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</si>
  <si>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</si>
  <si>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</si>
  <si>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</si>
  <si>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</si>
  <si>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</si>
  <si>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</si>
  <si>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</si>
  <si>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</si>
  <si>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</si>
  <si>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</si>
  <si>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</si>
  <si>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</si>
  <si>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</si>
  <si>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</si>
  <si>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</si>
  <si>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</si>
  <si>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</si>
  <si>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</si>
  <si>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</si>
  <si>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</si>
  <si>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</si>
  <si>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</si>
  <si>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</si>
  <si>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</si>
  <si>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</si>
  <si>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</si>
  <si>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</si>
  <si>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</si>
  <si>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</si>
  <si>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</si>
  <si>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</si>
  <si>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</si>
  <si>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</si>
  <si>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</si>
  <si>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</si>
  <si>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</si>
  <si>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</si>
  <si>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</si>
  <si>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</si>
  <si>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</si>
  <si>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</si>
  <si>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</si>
  <si>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</si>
  <si>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</si>
  <si>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</si>
  <si>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</si>
  <si>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</si>
  <si>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</si>
  <si>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</si>
  <si>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</si>
  <si>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</si>
  <si>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</si>
  <si>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</si>
  <si>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</si>
  <si>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</si>
  <si>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</si>
  <si>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</si>
  <si>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</si>
  <si>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</si>
  <si>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</si>
  <si>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</si>
  <si>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</si>
  <si>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</si>
  <si>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</si>
  <si>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</si>
  <si>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</si>
  <si>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</si>
  <si>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</si>
  <si>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</si>
  <si>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</si>
  <si>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</si>
  <si>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</si>
  <si>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</si>
  <si>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</si>
  <si>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</si>
  <si>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</si>
  <si>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</si>
  <si>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</si>
  <si>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</si>
  <si>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</si>
  <si>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</si>
  <si>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</si>
  <si>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</si>
  <si>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</si>
  <si>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</si>
  <si>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</si>
  <si>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</si>
  <si>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</si>
  <si>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</si>
  <si>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</si>
  <si>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</si>
  <si>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</si>
  <si>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</si>
  <si>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</si>
  <si>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</si>
  <si>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</si>
  <si>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</si>
  <si>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</si>
  <si>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</si>
  <si>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</si>
  <si>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</si>
  <si>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</si>
  <si>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</si>
  <si>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</si>
  <si>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</si>
  <si>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</si>
  <si>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</si>
  <si>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</si>
  <si>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</si>
  <si>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</si>
  <si>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</si>
  <si>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</si>
  <si>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</si>
  <si>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</si>
  <si>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</si>
  <si>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</si>
  <si>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</si>
  <si>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</si>
  <si>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</si>
  <si>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</si>
  <si>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</si>
  <si>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</si>
  <si>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</si>
  <si>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</si>
  <si>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</si>
  <si>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</si>
  <si>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</si>
  <si>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</si>
  <si>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</si>
  <si>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</si>
  <si>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</si>
  <si>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</si>
  <si>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</si>
  <si>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</si>
  <si>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</si>
  <si>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</si>
  <si>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</si>
  <si>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</si>
  <si>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</si>
  <si>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</si>
  <si>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</si>
  <si>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</si>
  <si>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</si>
  <si>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</si>
  <si>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</si>
  <si>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</si>
  <si>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</si>
  <si>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</si>
  <si>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</si>
  <si>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</si>
  <si>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</si>
  <si>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</si>
  <si>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</si>
  <si>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</si>
  <si>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</si>
  <si>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</si>
  <si>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</si>
  <si>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</si>
  <si>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</si>
  <si>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</si>
  <si>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</si>
  <si>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</si>
  <si>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</si>
  <si>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</si>
  <si>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</si>
  <si>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</si>
  <si>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</si>
  <si>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</si>
  <si>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</si>
  <si>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</si>
  <si>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</si>
  <si>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</si>
  <si>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</si>
  <si>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</si>
  <si>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</si>
  <si>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</si>
  <si>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</si>
  <si>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</si>
  <si>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</si>
  <si>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</si>
  <si>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</si>
  <si>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</si>
  <si>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</si>
  <si>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</si>
  <si>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</si>
  <si>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</si>
  <si>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</si>
  <si>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</si>
  <si>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</si>
  <si>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</si>
  <si>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</si>
  <si>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</si>
  <si>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</si>
  <si>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</si>
  <si>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</si>
  <si>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</si>
  <si>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</si>
  <si>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</si>
  <si>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</si>
  <si>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</si>
  <si>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</si>
  <si>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</si>
  <si>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</si>
  <si>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</si>
  <si>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</si>
  <si>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</si>
  <si>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</si>
  <si>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</si>
  <si>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</si>
  <si>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</si>
  <si>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</si>
  <si>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</si>
  <si>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</si>
  <si>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</si>
  <si>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</si>
  <si>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</si>
  <si>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</si>
  <si>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</si>
  <si>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</si>
  <si>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</si>
  <si>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</si>
  <si>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</si>
  <si>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</si>
  <si>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</si>
  <si>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</si>
  <si>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</si>
  <si>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</si>
  <si>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</si>
  <si>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</si>
  <si>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</si>
  <si>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</si>
  <si>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</si>
  <si>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</si>
  <si>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</si>
  <si>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</si>
  <si>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</si>
  <si>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</si>
  <si>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</si>
  <si>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</si>
  <si>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</si>
  <si>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</si>
  <si>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</si>
  <si>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</si>
  <si>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</si>
  <si>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</si>
  <si>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</si>
  <si>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</si>
  <si>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</si>
  <si>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</si>
  <si>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</si>
  <si>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</si>
  <si>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</si>
  <si>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</si>
  <si>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</si>
  <si>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</si>
  <si>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</si>
  <si>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</si>
  <si>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</si>
  <si>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</si>
  <si>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</si>
  <si>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</si>
  <si>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</si>
  <si>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</si>
  <si>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</si>
  <si>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</si>
  <si>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</si>
  <si>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</si>
  <si>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</si>
  <si>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</si>
  <si>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</si>
  <si>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</si>
  <si>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</si>
  <si>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</si>
  <si>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</si>
  <si>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</si>
  <si>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</si>
  <si>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</si>
  <si>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</si>
  <si>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</si>
  <si>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</si>
  <si>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</si>
  <si>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</si>
  <si>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</si>
  <si>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</si>
  <si>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</si>
  <si>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</si>
  <si>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</si>
  <si>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</si>
  <si>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</si>
  <si>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</si>
  <si>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</si>
  <si>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</si>
  <si>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</si>
  <si>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</si>
  <si>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</si>
  <si>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</si>
  <si>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</si>
  <si>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</si>
  <si>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</si>
  <si>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</si>
  <si>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</si>
  <si>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</si>
  <si>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</si>
  <si>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</si>
  <si>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</si>
  <si>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</si>
  <si>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</si>
  <si>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</si>
  <si>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</si>
  <si>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</si>
  <si>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</si>
  <si>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</si>
  <si>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</si>
  <si>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</si>
  <si>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</si>
  <si>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</si>
  <si>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</si>
  <si>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</si>
  <si>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</si>
  <si>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</si>
  <si>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</si>
  <si>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</si>
  <si>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</si>
  <si>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</si>
  <si>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</si>
  <si>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</si>
  <si>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</si>
  <si>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</si>
  <si>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</si>
  <si>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</si>
  <si>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</si>
  <si>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</si>
  <si>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</si>
  <si>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</si>
  <si>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</si>
  <si>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</si>
  <si>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</si>
  <si>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</si>
  <si>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</si>
  <si>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</si>
  <si>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</si>
  <si>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</si>
  <si>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</si>
  <si>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</si>
  <si>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</si>
  <si>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</si>
  <si>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</si>
  <si>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</si>
  <si>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</si>
  <si>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</si>
  <si>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</si>
  <si>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</si>
  <si>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</si>
  <si>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</si>
  <si>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</si>
  <si>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</si>
  <si>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</si>
  <si>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</si>
  <si>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</si>
  <si>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</si>
  <si>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</si>
  <si>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</si>
  <si>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</si>
  <si>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</si>
  <si>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</si>
  <si>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</si>
  <si>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</si>
  <si>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</si>
  <si>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</si>
  <si>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</si>
  <si>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</si>
  <si>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</si>
  <si>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</si>
  <si>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</si>
  <si>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</si>
  <si>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</si>
  <si>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</si>
  <si>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</si>
  <si>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</si>
  <si>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</si>
  <si>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</si>
  <si>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</si>
  <si>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</si>
  <si>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</si>
  <si>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</si>
  <si>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</si>
  <si>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</si>
  <si>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</si>
  <si>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</si>
  <si>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</si>
  <si>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</si>
  <si>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</si>
  <si>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</si>
  <si>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</si>
  <si>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</si>
  <si>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</si>
  <si>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</si>
  <si>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</si>
  <si>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</si>
  <si>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</si>
  <si>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</si>
  <si>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</si>
  <si>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</si>
  <si>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</si>
  <si>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</si>
  <si>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</si>
  <si>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</si>
  <si>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</si>
  <si>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</si>
  <si>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</si>
  <si>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</si>
  <si>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</si>
  <si>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</si>
  <si>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</si>
  <si>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</si>
  <si>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</si>
  <si>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</si>
  <si>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</si>
  <si>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</si>
  <si>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</si>
  <si>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</si>
  <si>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</si>
  <si>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</si>
  <si>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</si>
  <si>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</si>
  <si>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</si>
  <si>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</si>
  <si>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</si>
  <si>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</si>
  <si>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</si>
  <si>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</si>
  <si>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</si>
  <si>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</si>
  <si>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</si>
  <si>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</si>
  <si>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</si>
  <si>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</si>
  <si>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</si>
  <si>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</si>
  <si>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</si>
  <si>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</si>
  <si>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</si>
  <si>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</si>
  <si>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</si>
  <si>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</si>
  <si>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</si>
  <si>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</si>
  <si>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</si>
  <si>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</si>
  <si>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</si>
  <si>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</si>
  <si>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</si>
  <si>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</si>
  <si>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</si>
  <si>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</si>
  <si>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</si>
  <si>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</si>
  <si>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</si>
  <si>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</si>
  <si>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</si>
  <si>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</si>
  <si>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</si>
  <si>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</si>
  <si>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</si>
  <si>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</si>
  <si>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</si>
  <si>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</si>
  <si>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</si>
  <si>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</si>
  <si>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</si>
  <si>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</si>
  <si>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</si>
  <si>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</si>
  <si>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</si>
  <si>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</si>
  <si>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</si>
  <si>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</si>
  <si>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</si>
  <si>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</si>
  <si>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</si>
  <si>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</si>
  <si>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</si>
  <si>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</si>
  <si>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</si>
  <si>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</si>
  <si>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</si>
  <si>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</si>
  <si>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</si>
  <si>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</si>
  <si>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</si>
  <si>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</si>
  <si>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</si>
  <si>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</si>
  <si>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</si>
  <si>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</si>
  <si>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</si>
  <si>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</si>
  <si>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</si>
  <si>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</si>
  <si>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</si>
  <si>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</si>
  <si>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</si>
  <si>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</si>
  <si>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</si>
  <si>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</si>
  <si>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</si>
  <si>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</si>
  <si>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</si>
  <si>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</si>
  <si>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</si>
  <si>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</si>
  <si>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</si>
  <si>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</si>
  <si>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</si>
  <si>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</si>
  <si>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</si>
  <si>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</si>
  <si>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</si>
  <si>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</si>
  <si>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</si>
  <si>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</si>
  <si>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</si>
  <si>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</si>
  <si>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</si>
  <si>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</si>
  <si>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</si>
  <si>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</si>
  <si>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</si>
  <si>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</si>
  <si>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</si>
  <si>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</si>
  <si>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</si>
  <si>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</si>
  <si>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</si>
  <si>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</si>
  <si>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</si>
  <si>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</si>
  <si>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</si>
  <si>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</si>
  <si>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</si>
  <si>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</si>
  <si>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</si>
  <si>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</si>
  <si>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</si>
  <si>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</si>
  <si>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</si>
  <si>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</si>
  <si>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</si>
  <si>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</si>
  <si>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</si>
  <si>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</si>
  <si>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</si>
  <si>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</si>
  <si>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</si>
  <si>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</si>
  <si>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</si>
  <si>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</si>
  <si>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</si>
  <si>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</si>
  <si>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</si>
  <si>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</si>
  <si>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</si>
  <si>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</si>
  <si>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</si>
  <si>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</si>
  <si>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</si>
  <si>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</si>
  <si>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</si>
  <si>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</si>
  <si>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</si>
  <si>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</si>
  <si>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</si>
  <si>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</si>
  <si>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</si>
  <si>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</si>
  <si>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</si>
  <si>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</si>
  <si>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</si>
  <si>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</si>
  <si>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</si>
  <si>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</si>
  <si>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</si>
  <si>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</si>
  <si>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</si>
  <si>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</si>
  <si>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</si>
  <si>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</si>
  <si>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</si>
  <si>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</si>
  <si>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</si>
  <si>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</si>
  <si>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</si>
  <si>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</si>
  <si>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</si>
  <si>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</si>
  <si>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</si>
  <si>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</si>
  <si>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</si>
  <si>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</si>
  <si>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</si>
  <si>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</si>
  <si>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</si>
  <si>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</si>
  <si>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</si>
  <si>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</si>
  <si>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</si>
  <si>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</si>
  <si>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</si>
  <si>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</si>
  <si>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</si>
  <si>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</si>
  <si>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</si>
  <si>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</si>
  <si>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</si>
  <si>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</si>
  <si>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</si>
  <si>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</si>
  <si>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</si>
  <si>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</si>
  <si>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</si>
  <si>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</si>
  <si>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</si>
  <si>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</si>
  <si>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</si>
  <si>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</si>
  <si>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</si>
  <si>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</si>
  <si>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</si>
  <si>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</si>
  <si>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</si>
  <si>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</si>
  <si>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</si>
  <si>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</si>
  <si>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</si>
  <si>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</si>
  <si>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</si>
  <si>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</si>
  <si>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</si>
  <si>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</si>
  <si>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</si>
  <si>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</si>
  <si>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</si>
  <si>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</si>
  <si>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</si>
  <si>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</si>
  <si>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</si>
  <si>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</si>
  <si>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</si>
  <si>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</si>
  <si>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</si>
  <si>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</si>
  <si>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</si>
  <si>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</si>
  <si>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</si>
  <si>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</si>
  <si>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</si>
  <si>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</si>
  <si>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</si>
  <si>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</si>
  <si>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</si>
  <si>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</si>
  <si>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</si>
  <si>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</si>
  <si>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</si>
  <si>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</si>
  <si>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</si>
  <si>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</si>
  <si>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</si>
  <si>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</si>
  <si>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</si>
  <si>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</si>
  <si>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</si>
  <si>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</si>
  <si>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</si>
  <si>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</si>
  <si>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</si>
  <si>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</si>
  <si>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</si>
  <si>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</si>
  <si>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</si>
  <si>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</si>
  <si>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</si>
  <si>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</si>
  <si>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</si>
  <si>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</si>
  <si>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</si>
  <si>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</si>
  <si>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</si>
  <si>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</si>
  <si>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</si>
  <si>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</si>
  <si>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</si>
  <si>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</si>
  <si>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</si>
  <si>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</si>
  <si>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</si>
  <si>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</si>
  <si>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</si>
  <si>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</si>
  <si>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</si>
  <si>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</si>
  <si>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</si>
  <si>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</si>
  <si>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</si>
  <si>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</si>
  <si>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</si>
  <si>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</si>
  <si>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</si>
  <si>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</si>
  <si>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</si>
  <si>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</si>
  <si>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</si>
  <si>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</si>
  <si>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</si>
  <si>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</si>
  <si>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</si>
  <si>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</si>
  <si>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</si>
  <si>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</si>
  <si>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</si>
  <si>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</si>
  <si>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</si>
  <si>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</si>
  <si>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</si>
  <si>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</si>
  <si>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</si>
  <si>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</si>
  <si>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</si>
  <si>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</si>
  <si>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</si>
  <si>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</si>
  <si>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</si>
  <si>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</si>
  <si>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</si>
  <si>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</si>
  <si>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</si>
  <si>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</si>
  <si>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</si>
  <si>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</si>
  <si>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</si>
  <si>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</si>
  <si>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</si>
  <si>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</si>
  <si>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</si>
  <si>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</si>
  <si>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</si>
  <si>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</si>
  <si>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</si>
  <si>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</si>
  <si>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</si>
  <si>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</si>
  <si>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</si>
  <si>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</si>
  <si>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</si>
  <si>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</si>
  <si>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</si>
  <si>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</si>
  <si>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</si>
  <si>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</si>
  <si>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</si>
  <si>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</si>
  <si>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</si>
  <si>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</si>
  <si>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</si>
  <si>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</si>
  <si>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</si>
  <si>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</si>
  <si>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</si>
  <si>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</si>
  <si>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</si>
  <si>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</si>
  <si>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</si>
  <si>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</si>
  <si>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</si>
  <si>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</si>
  <si>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</si>
  <si>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</si>
  <si>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</si>
  <si>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</si>
  <si>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</si>
  <si>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</si>
  <si>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</si>
  <si>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</si>
  <si>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</si>
  <si>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</si>
  <si>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</si>
  <si>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</si>
  <si>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</si>
  <si>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</si>
  <si>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</si>
  <si>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</si>
  <si>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</si>
  <si>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</si>
  <si>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</si>
  <si>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</si>
  <si>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</si>
  <si>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</si>
  <si>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</si>
  <si>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</si>
  <si>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</si>
  <si>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</si>
  <si>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</si>
  <si>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</si>
  <si>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</si>
  <si>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</si>
  <si>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</si>
  <si>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</si>
  <si>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</si>
  <si>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</si>
  <si>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</si>
  <si>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</si>
  <si>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</si>
  <si>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</si>
  <si>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</si>
  <si>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</si>
  <si>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</si>
  <si>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</si>
  <si>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</si>
  <si>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</si>
  <si>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</si>
  <si>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</si>
  <si>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</si>
  <si>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</si>
  <si>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</si>
  <si>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</si>
  <si>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</si>
  <si>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</si>
  <si>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</si>
  <si>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</si>
  <si>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</si>
  <si>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</si>
  <si>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</si>
  <si>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</si>
  <si>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</si>
  <si>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</si>
  <si>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</si>
  <si>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</si>
  <si>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</si>
  <si>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</si>
  <si>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</si>
  <si>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</si>
  <si>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</si>
  <si>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</si>
  <si>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</si>
  <si>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</si>
  <si>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</si>
  <si>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</si>
  <si>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</si>
  <si>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</si>
  <si>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</si>
  <si>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</si>
  <si>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</si>
  <si>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</si>
  <si>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</si>
  <si>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</si>
  <si>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</si>
  <si>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</si>
  <si>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</si>
  <si>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</si>
  <si>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</si>
  <si>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</si>
  <si>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</si>
  <si>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</si>
  <si>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</si>
  <si>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</si>
  <si>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</si>
  <si>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</si>
  <si>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</si>
  <si>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</si>
  <si>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</si>
  <si>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</si>
  <si>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</si>
  <si>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</si>
  <si>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</si>
  <si>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</si>
  <si>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</si>
  <si>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</si>
  <si>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</si>
  <si>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</si>
  <si>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</si>
  <si>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</si>
  <si>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</si>
  <si>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</si>
  <si>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</si>
  <si>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</si>
  <si>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</si>
  <si>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</si>
  <si>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</si>
  <si>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</si>
  <si>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</si>
  <si>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</si>
  <si>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</si>
  <si>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</si>
  <si>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</si>
  <si>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</si>
  <si>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</si>
  <si>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</si>
  <si>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</si>
  <si>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</si>
  <si>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</si>
  <si>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</si>
  <si>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</si>
  <si>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</si>
  <si>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</si>
  <si>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</si>
  <si>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</si>
  <si>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</si>
  <si>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</si>
  <si>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</si>
  <si>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</si>
  <si>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</si>
  <si>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</si>
  <si>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</si>
  <si>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</si>
  <si>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</si>
  <si>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</si>
  <si>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</si>
  <si>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</si>
  <si>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</si>
  <si>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</si>
  <si>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</si>
  <si>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</si>
  <si>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</si>
  <si>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</si>
  <si>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</si>
  <si>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</si>
  <si>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</si>
  <si>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</si>
  <si>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</si>
  <si>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</si>
  <si>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</si>
  <si>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</si>
  <si>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</si>
  <si>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</si>
  <si>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</si>
  <si>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</si>
  <si>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</si>
  <si>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</si>
  <si>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</si>
  <si>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</si>
  <si>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</si>
  <si>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</si>
  <si>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</si>
  <si>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</si>
  <si>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</si>
  <si>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</si>
  <si>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</si>
  <si>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</si>
  <si>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</si>
  <si>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</si>
  <si>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</si>
  <si>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</si>
  <si>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</si>
  <si>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</si>
  <si>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</si>
  <si>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</si>
  <si>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</si>
  <si>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</si>
  <si>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</si>
  <si>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</si>
  <si>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</si>
  <si>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</si>
  <si>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</si>
  <si>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</si>
  <si>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</si>
  <si>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</si>
  <si>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</si>
  <si>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</si>
  <si>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</si>
  <si>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</si>
  <si>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</si>
  <si>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</si>
  <si>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</si>
  <si>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</si>
  <si>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</si>
  <si>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</si>
  <si>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</si>
  <si>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</si>
  <si>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</si>
  <si>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</si>
  <si>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</si>
  <si>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</si>
  <si>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</si>
  <si>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</si>
  <si>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</si>
  <si>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</si>
  <si>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</si>
  <si>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</si>
  <si>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</si>
  <si>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</si>
  <si>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</si>
  <si>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</si>
  <si>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</si>
  <si>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</si>
  <si>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</si>
  <si>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</si>
  <si>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</si>
  <si>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</si>
  <si>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</si>
  <si>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</si>
  <si>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</si>
  <si>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</si>
  <si>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</si>
  <si>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</si>
  <si>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</si>
  <si>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</si>
  <si>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</si>
  <si>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</si>
  <si>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</si>
  <si>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</si>
  <si>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</si>
  <si>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</si>
  <si>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</si>
  <si>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</si>
  <si>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</si>
  <si>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</si>
  <si>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</si>
  <si>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</si>
  <si>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</si>
  <si>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</si>
  <si>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</si>
  <si>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</si>
  <si>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</si>
  <si>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</si>
  <si>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</si>
  <si>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</si>
  <si>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</si>
  <si>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</si>
  <si>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</si>
  <si>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</si>
  <si>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</si>
  <si>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</si>
  <si>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</si>
  <si>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</si>
  <si>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</si>
  <si>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</si>
  <si>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</si>
  <si>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</si>
  <si>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</si>
  <si>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</si>
  <si>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</si>
  <si>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</si>
  <si>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</si>
  <si>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</si>
  <si>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</si>
  <si>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</si>
  <si>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</si>
  <si>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</si>
  <si>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</si>
  <si>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</si>
  <si>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</si>
  <si>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</si>
  <si>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</si>
  <si>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</si>
  <si>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</si>
  <si>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</si>
  <si>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</si>
  <si>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</si>
  <si>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</si>
  <si>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</si>
  <si>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</si>
  <si>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</si>
  <si>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</si>
  <si>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</si>
  <si>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</si>
  <si>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</si>
  <si>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</si>
  <si>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</si>
  <si>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</si>
  <si>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</si>
  <si>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</si>
  <si>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</si>
  <si>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</si>
  <si>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</si>
  <si>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</si>
  <si>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</si>
  <si>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</si>
  <si>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</si>
  <si>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</si>
  <si>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</si>
  <si>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</si>
  <si>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</si>
  <si>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</si>
  <si>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</si>
  <si>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</si>
  <si>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</si>
  <si>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</si>
  <si>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</si>
  <si>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</si>
  <si>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</si>
  <si>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</si>
  <si>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</si>
  <si>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</si>
  <si>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</si>
  <si>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</si>
  <si>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</si>
  <si>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</si>
  <si>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</si>
  <si>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</si>
  <si>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</si>
  <si>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</si>
  <si>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</si>
  <si>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</si>
  <si>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</si>
  <si>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</si>
  <si>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</si>
  <si>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</si>
  <si>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</si>
  <si>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</si>
  <si>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</si>
  <si>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</si>
  <si>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</si>
  <si>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</si>
  <si>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</si>
  <si>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</si>
  <si>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</si>
  <si>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</si>
  <si>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</si>
  <si>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</si>
  <si>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</si>
  <si>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</si>
  <si>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</si>
  <si>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</si>
  <si>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</si>
  <si>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</si>
  <si>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</si>
  <si>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</si>
  <si>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</si>
  <si>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</si>
  <si>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</si>
  <si>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</si>
  <si>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</si>
  <si>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</si>
  <si>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</si>
  <si>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</si>
  <si>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</si>
  <si>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</si>
  <si>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</si>
  <si>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</si>
  <si>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</si>
  <si>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</si>
  <si>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</si>
  <si>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</si>
  <si>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</si>
  <si>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</si>
  <si>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</si>
  <si>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</si>
  <si>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</si>
  <si>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</si>
  <si>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</si>
  <si>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</si>
  <si>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</si>
  <si>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</si>
  <si>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</si>
  <si>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</si>
  <si>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</si>
  <si>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</si>
  <si>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</si>
  <si>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</si>
  <si>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</si>
  <si>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</si>
  <si>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</si>
  <si>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</si>
  <si>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</si>
  <si>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</si>
  <si>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</si>
  <si>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</si>
  <si>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</si>
  <si>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</si>
  <si>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</si>
  <si>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</si>
  <si>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</si>
  <si>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</si>
  <si>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</si>
  <si>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</si>
  <si>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</si>
  <si>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</si>
  <si>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</si>
  <si>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</si>
  <si>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</si>
  <si>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</si>
  <si>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</si>
  <si>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</si>
  <si>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</si>
  <si>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</si>
  <si>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</si>
  <si>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</si>
  <si>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</si>
  <si>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</si>
  <si>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</si>
  <si>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</si>
  <si>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</si>
  <si>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</si>
  <si>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</si>
  <si>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</si>
  <si>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</si>
  <si>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</si>
  <si>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</si>
  <si>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</si>
  <si>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</si>
  <si>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</si>
  <si>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</si>
  <si>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</si>
  <si>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</si>
  <si>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</si>
  <si>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</si>
  <si>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</si>
  <si>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</si>
  <si>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</si>
  <si>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</si>
  <si>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</si>
  <si>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</si>
  <si>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</si>
  <si>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</si>
  <si>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</si>
  <si>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</si>
  <si>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</si>
  <si>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</si>
  <si>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</si>
  <si>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</si>
  <si>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</si>
  <si>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</si>
  <si>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</si>
  <si>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</si>
  <si>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</si>
  <si>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</si>
  <si>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</si>
  <si>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</si>
  <si>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</si>
  <si>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</si>
  <si>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</si>
  <si>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</si>
  <si>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</si>
  <si>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</si>
  <si>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</si>
  <si>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</si>
  <si>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</si>
  <si>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</si>
  <si>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</si>
  <si>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</si>
  <si>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</si>
  <si>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</si>
  <si>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</si>
  <si>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</si>
  <si>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</si>
  <si>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</si>
  <si>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</si>
  <si>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</si>
  <si>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</si>
  <si>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</si>
  <si>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</si>
  <si>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</si>
  <si>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</si>
  <si>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</si>
  <si>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</si>
  <si>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</si>
  <si>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</si>
  <si>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</si>
  <si>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</si>
  <si>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</si>
  <si>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</si>
  <si>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</si>
  <si>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</si>
  <si>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</si>
  <si>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</si>
  <si>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</si>
  <si>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</si>
  <si>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</si>
  <si>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</si>
  <si>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</si>
  <si>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</si>
  <si>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</si>
  <si>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</si>
  <si>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</si>
  <si>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</si>
  <si>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</si>
  <si>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</si>
  <si>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</si>
  <si>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</si>
  <si>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</si>
  <si>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</si>
  <si>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</si>
  <si>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</si>
  <si>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</si>
  <si>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</si>
  <si>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</si>
  <si>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</si>
  <si>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</si>
  <si>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</si>
  <si>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</si>
  <si>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</si>
  <si>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</si>
  <si>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</si>
  <si>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</si>
  <si>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</si>
  <si>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</si>
  <si>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</si>
  <si>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</si>
  <si>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</si>
  <si>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</si>
  <si>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</si>
  <si>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</si>
  <si>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</si>
  <si>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</si>
  <si>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</si>
  <si>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</si>
  <si>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</si>
  <si>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</si>
  <si>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</si>
  <si>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</si>
  <si>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</si>
  <si>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</si>
  <si>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</si>
  <si>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</si>
  <si>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</si>
  <si>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</si>
  <si>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</si>
  <si>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</si>
  <si>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</si>
  <si>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</si>
  <si>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</si>
  <si>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</si>
  <si>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</si>
  <si>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</si>
  <si>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</si>
  <si>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</si>
  <si>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</si>
  <si>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</si>
  <si>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</si>
  <si>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</si>
  <si>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</si>
  <si>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</si>
  <si>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</si>
  <si>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</si>
  <si>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</si>
  <si>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</si>
  <si>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</si>
  <si>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</si>
  <si>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</si>
  <si>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</si>
  <si>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</si>
  <si>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</si>
  <si>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</si>
  <si>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</si>
  <si>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</si>
  <si>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</si>
  <si>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</si>
  <si>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</si>
  <si>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</si>
  <si>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</si>
  <si>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</si>
  <si>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</si>
  <si>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</si>
  <si>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</si>
  <si>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</si>
  <si>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</si>
  <si>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</si>
  <si>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</si>
  <si>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</si>
  <si>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</si>
  <si>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</si>
  <si>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</si>
  <si>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</si>
  <si>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</si>
  <si>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</si>
  <si>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</si>
  <si>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</si>
  <si>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</si>
  <si>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</si>
  <si>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</si>
  <si>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</si>
  <si>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</si>
  <si>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</si>
  <si>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</si>
  <si>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</si>
  <si>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</si>
  <si>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</si>
  <si>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</si>
  <si>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</si>
  <si>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</si>
  <si>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</si>
  <si>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</si>
  <si>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</si>
  <si>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</si>
  <si>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</si>
  <si>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</si>
  <si>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</si>
  <si>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</si>
  <si>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</si>
  <si>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</si>
  <si>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</si>
  <si>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</si>
  <si>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</si>
  <si>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</si>
  <si>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</si>
  <si>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</si>
  <si>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</si>
  <si>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</si>
  <si>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</si>
  <si>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</si>
  <si>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</si>
  <si>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</si>
  <si>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</si>
  <si>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</si>
  <si>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</si>
  <si>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</si>
  <si>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</si>
  <si>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</si>
  <si>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</si>
  <si>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</si>
  <si>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</si>
  <si>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</si>
  <si>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</si>
  <si>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</si>
  <si>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</si>
  <si>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</si>
  <si>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</si>
  <si>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</si>
  <si>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</si>
  <si>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</si>
  <si>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</si>
  <si>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</si>
  <si>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</si>
  <si>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</si>
  <si>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</si>
  <si>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</si>
  <si>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</si>
  <si>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</si>
  <si>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</si>
  <si>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</si>
  <si>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</si>
  <si>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</si>
  <si>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</si>
  <si>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</si>
  <si>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</si>
  <si>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</si>
  <si>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</si>
  <si>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</si>
  <si>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</si>
  <si>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</si>
  <si>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</si>
  <si>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</si>
  <si>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</si>
  <si>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</si>
  <si>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</si>
  <si>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</si>
  <si>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</si>
  <si>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</si>
  <si>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</si>
  <si>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</si>
  <si>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</si>
  <si>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</si>
  <si>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</si>
  <si>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</si>
  <si>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</si>
  <si>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</si>
  <si>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</si>
  <si>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</si>
  <si>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</si>
  <si>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</si>
  <si>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</si>
  <si>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</si>
  <si>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</si>
  <si>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</si>
  <si>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</si>
  <si>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</si>
  <si>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</si>
  <si>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</si>
  <si>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</si>
  <si>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</si>
  <si>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</si>
  <si>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</si>
  <si>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</si>
  <si>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</si>
  <si>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</si>
  <si>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</si>
  <si>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</si>
  <si>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</si>
  <si>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</si>
  <si>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</si>
  <si>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</si>
  <si>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</si>
  <si>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</si>
  <si>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</si>
  <si>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</si>
  <si>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</si>
  <si>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</si>
  <si>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</si>
  <si>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</si>
  <si>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</si>
  <si>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</si>
  <si>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</si>
  <si>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</si>
  <si>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</si>
  <si>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</si>
  <si>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</si>
  <si>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</si>
  <si>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</si>
  <si>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</si>
  <si>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</si>
  <si>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</si>
  <si>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</si>
  <si>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</si>
  <si>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</si>
  <si>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</si>
  <si>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</si>
  <si>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</si>
  <si>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</si>
  <si>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</si>
  <si>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</si>
  <si>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</si>
  <si>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</si>
  <si>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</si>
  <si>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</si>
  <si>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</si>
  <si>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</si>
  <si>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</si>
  <si>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</si>
  <si>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</si>
  <si>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</si>
  <si>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</si>
  <si>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</si>
  <si>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</si>
  <si>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</si>
  <si>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</si>
  <si>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</si>
  <si>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</si>
  <si>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</si>
  <si>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</si>
  <si>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</si>
  <si>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</si>
  <si>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</si>
  <si>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</si>
  <si>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</si>
  <si>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</si>
  <si>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</si>
  <si>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</si>
  <si>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</si>
  <si>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</si>
  <si>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</si>
  <si>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</si>
  <si>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</si>
  <si>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</si>
  <si>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</si>
  <si>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</si>
  <si>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</si>
  <si>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</si>
  <si>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</si>
  <si>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</si>
  <si>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</si>
  <si>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</si>
  <si>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</si>
  <si>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</si>
  <si>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</si>
  <si>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</si>
  <si>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</si>
  <si>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</si>
  <si>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</si>
  <si>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</si>
  <si>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</si>
  <si>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</si>
  <si>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</si>
  <si>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</si>
  <si>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</si>
  <si>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</si>
  <si>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</si>
  <si>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</si>
  <si>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</si>
  <si>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</si>
  <si>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</si>
  <si>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</si>
  <si>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</si>
  <si>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</si>
  <si>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</si>
  <si>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</si>
  <si>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</si>
  <si>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</si>
  <si>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</si>
  <si>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</si>
  <si>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</si>
  <si>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</si>
  <si>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</si>
  <si>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</si>
  <si>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</si>
  <si>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</si>
  <si>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</si>
  <si>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</si>
  <si>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</si>
  <si>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</si>
  <si>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</si>
  <si>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</si>
  <si>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</si>
  <si>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</si>
  <si>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</si>
  <si>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</si>
  <si>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</si>
  <si>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</si>
  <si>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</si>
  <si>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</si>
  <si>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</si>
  <si>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</si>
  <si>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</si>
  <si>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</si>
  <si>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</si>
  <si>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</si>
  <si>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</si>
  <si>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</si>
  <si>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</si>
  <si>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</si>
  <si>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</si>
  <si>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</si>
  <si>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</si>
  <si>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</si>
  <si>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</si>
  <si>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</si>
  <si>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</si>
  <si>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</si>
  <si>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</si>
  <si>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</si>
  <si>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</si>
  <si>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</si>
  <si>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</si>
  <si>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</si>
  <si>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</si>
  <si>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</si>
  <si>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</si>
  <si>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</si>
  <si>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</si>
  <si>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</si>
  <si>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</si>
  <si>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</si>
  <si>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</si>
  <si>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</si>
  <si>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</si>
  <si>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</si>
  <si>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</si>
  <si>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</si>
  <si>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</si>
  <si>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</si>
  <si>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</si>
  <si>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</si>
  <si>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</si>
  <si>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</si>
  <si>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</si>
  <si>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</si>
  <si>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</si>
  <si>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</si>
  <si>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</si>
  <si>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</si>
  <si>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</si>
  <si>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</si>
  <si>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</si>
  <si>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</si>
  <si>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</si>
  <si>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</si>
  <si>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</si>
  <si>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</si>
  <si>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</si>
  <si>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</si>
  <si>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</si>
  <si>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</si>
  <si>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</si>
  <si>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</si>
  <si>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</si>
  <si>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</si>
  <si>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</si>
  <si>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</si>
  <si>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</si>
  <si>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</si>
  <si>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</si>
  <si>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</si>
  <si>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</si>
  <si>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</si>
  <si>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</si>
  <si>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</si>
  <si>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</si>
  <si>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</si>
  <si>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</si>
  <si>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</si>
  <si>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</si>
  <si>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</si>
  <si>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</si>
  <si>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</si>
  <si>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</si>
  <si>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</si>
  <si>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</si>
  <si>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</si>
  <si>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</si>
  <si>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</si>
  <si>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</si>
  <si>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</si>
  <si>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</si>
  <si>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</si>
  <si>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</si>
  <si>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</si>
  <si>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</si>
  <si>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</si>
  <si>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</si>
  <si>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</si>
  <si>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</si>
  <si>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</si>
  <si>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</si>
  <si>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</si>
  <si>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</si>
  <si>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</si>
  <si>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</si>
  <si>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</si>
  <si>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</si>
  <si>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</si>
  <si>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</si>
  <si>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</si>
  <si>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</si>
  <si>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</si>
  <si>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</si>
  <si>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</si>
  <si>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</si>
  <si>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</si>
  <si>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</si>
  <si>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</si>
  <si>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</si>
  <si>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</si>
  <si>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</si>
  <si>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</si>
  <si>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</si>
  <si>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</si>
  <si>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</si>
  <si>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</si>
  <si>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</si>
  <si>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</si>
  <si>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</si>
  <si>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</si>
  <si>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</si>
  <si>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</si>
  <si>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</si>
  <si>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</si>
  <si>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</si>
  <si>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</si>
  <si>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</si>
  <si>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</si>
  <si>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</si>
  <si>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</si>
  <si>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</si>
  <si>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</si>
  <si>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</si>
  <si>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</si>
  <si>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</si>
  <si>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</si>
  <si>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</si>
  <si>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</si>
  <si>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</si>
  <si>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</si>
  <si>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</si>
  <si>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</si>
  <si>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</si>
  <si>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</si>
  <si>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</si>
  <si>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</si>
  <si>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</si>
  <si>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</si>
  <si>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</si>
  <si>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</si>
  <si>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</si>
  <si>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</si>
  <si>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</si>
  <si>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</si>
  <si>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</si>
  <si>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</si>
  <si>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</si>
  <si>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</si>
  <si>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</si>
  <si>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</si>
  <si>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</si>
  <si>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</si>
  <si>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</si>
  <si>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</si>
  <si>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</si>
  <si>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</si>
  <si>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</si>
  <si>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</si>
  <si>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</si>
  <si>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</si>
  <si>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</si>
  <si>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</si>
  <si>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</si>
  <si>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</si>
  <si>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</si>
  <si>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</si>
  <si>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</si>
  <si>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</si>
  <si>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</si>
  <si>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</si>
  <si>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</si>
  <si>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</si>
  <si>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</si>
  <si>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</si>
  <si>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</si>
  <si>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</si>
  <si>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</si>
  <si>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</si>
  <si>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</si>
  <si>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</si>
  <si>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</si>
  <si>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</si>
  <si>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</si>
  <si>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</si>
  <si>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</si>
  <si>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</si>
  <si>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</si>
  <si>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</si>
  <si>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</si>
  <si>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</si>
  <si>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</si>
  <si>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</si>
  <si>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</si>
  <si>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</si>
  <si>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</si>
  <si>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</si>
  <si>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</si>
  <si>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</si>
  <si>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</si>
  <si>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</si>
  <si>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</si>
  <si>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</si>
  <si>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</si>
  <si>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</si>
  <si>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</si>
  <si>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</si>
  <si>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</si>
  <si>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</si>
  <si>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</si>
  <si>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</si>
  <si>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</si>
  <si>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</si>
  <si>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</si>
  <si>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</si>
  <si>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</si>
  <si>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</si>
  <si>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</si>
  <si>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</si>
  <si>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</si>
  <si>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</si>
  <si>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</si>
  <si>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</si>
  <si>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</si>
  <si>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</si>
  <si>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</si>
  <si>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</si>
  <si>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</si>
  <si>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</si>
  <si>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</si>
  <si>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</si>
  <si>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</si>
  <si>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</si>
  <si>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</si>
  <si>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</si>
  <si>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</si>
  <si>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</si>
  <si>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</si>
  <si>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</si>
  <si>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</si>
  <si>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</si>
  <si>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</si>
  <si>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</si>
  <si>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</si>
  <si>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</si>
  <si>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</si>
  <si>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</si>
  <si>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</si>
  <si>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</si>
  <si>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</si>
  <si>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</si>
  <si>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</si>
  <si>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</si>
  <si>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</si>
  <si>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</si>
  <si>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</si>
  <si>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</si>
  <si>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</si>
  <si>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</si>
  <si>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</si>
  <si>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</si>
  <si>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</si>
  <si>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</si>
  <si>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</si>
  <si>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</si>
  <si>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</si>
  <si>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</si>
  <si>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</si>
  <si>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</si>
  <si>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</si>
  <si>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</si>
  <si>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</si>
  <si>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</si>
  <si>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</si>
  <si>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</si>
  <si>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</si>
  <si>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</si>
  <si>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</si>
  <si>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</si>
  <si>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</si>
  <si>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</si>
  <si>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</si>
  <si>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</si>
  <si>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</si>
  <si>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</si>
  <si>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</si>
  <si>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</si>
  <si>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</si>
  <si>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</si>
  <si>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</si>
  <si>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</si>
  <si>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</si>
  <si>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</si>
  <si>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</si>
  <si>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</si>
  <si>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</si>
  <si>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</si>
  <si>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</si>
  <si>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</si>
  <si>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</si>
  <si>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</si>
  <si>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</si>
  <si>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</si>
  <si>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</si>
  <si>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</si>
  <si>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</si>
  <si>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</si>
  <si>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</si>
  <si>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</si>
  <si>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</si>
  <si>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</si>
  <si>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</si>
  <si>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</si>
  <si>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</si>
  <si>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</si>
  <si>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</si>
  <si>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</si>
  <si>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</si>
  <si>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</si>
  <si>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</si>
  <si>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</si>
  <si>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</si>
  <si>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</si>
  <si>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</si>
  <si>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</si>
  <si>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</si>
  <si>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</si>
  <si>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</si>
  <si>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</si>
  <si>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</si>
  <si>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</si>
  <si>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</si>
  <si>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</si>
  <si>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</si>
  <si>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</si>
  <si>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</si>
  <si>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</si>
  <si>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</si>
  <si>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</si>
  <si>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</si>
  <si>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</si>
  <si>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</si>
  <si>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</si>
  <si>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</si>
  <si>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</si>
  <si>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</si>
  <si>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</si>
  <si>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</si>
  <si>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</si>
  <si>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</si>
  <si>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</si>
  <si>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</si>
  <si>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</si>
  <si>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</si>
  <si>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</si>
  <si>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</si>
  <si>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</si>
  <si>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</si>
  <si>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</si>
  <si>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</si>
  <si>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</si>
  <si>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</si>
  <si>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</si>
  <si>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</si>
  <si>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</si>
  <si>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</si>
  <si>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</si>
  <si>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</si>
  <si>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</si>
  <si>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</si>
  <si>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</si>
  <si>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</si>
  <si>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</si>
  <si>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</si>
  <si>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</si>
  <si>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</si>
  <si>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</si>
  <si>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</si>
  <si>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</si>
  <si>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</si>
  <si>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</si>
  <si>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</si>
  <si>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</si>
  <si>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</si>
  <si>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</si>
  <si>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</si>
  <si>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</si>
  <si>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</si>
  <si>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</si>
  <si>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</si>
  <si>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</si>
  <si>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</si>
  <si>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</si>
  <si>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</si>
  <si>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</si>
  <si>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</si>
  <si>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</si>
  <si>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</si>
  <si>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</si>
  <si>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</si>
  <si>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</si>
  <si>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</si>
  <si>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</si>
  <si>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</si>
  <si>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</si>
  <si>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</si>
  <si>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</si>
  <si>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</si>
  <si>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</si>
  <si>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</si>
  <si>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</si>
  <si>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</si>
  <si>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</si>
  <si>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</si>
  <si>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</si>
  <si>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</si>
  <si>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</si>
  <si>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</si>
  <si>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</si>
  <si>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</si>
  <si>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</si>
  <si>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</si>
  <si>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</si>
  <si>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</si>
  <si>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</si>
  <si>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</si>
  <si>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</si>
  <si>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</si>
  <si>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</si>
  <si>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</si>
  <si>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</si>
  <si>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</si>
  <si>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</si>
  <si>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</si>
  <si>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</si>
  <si>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</si>
  <si>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</si>
  <si>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</si>
  <si>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</si>
  <si>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</si>
  <si>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</si>
  <si>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</si>
  <si>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</si>
  <si>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</si>
  <si>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</si>
  <si>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</si>
  <si>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</si>
  <si>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</si>
  <si>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</si>
  <si>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</si>
  <si>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</si>
  <si>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</si>
  <si>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</si>
  <si>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</si>
  <si>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</si>
  <si>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</si>
  <si>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</si>
  <si>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</si>
  <si>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</si>
  <si>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</si>
  <si>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</si>
  <si>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</si>
  <si>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</si>
  <si>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</si>
  <si>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</si>
  <si>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</si>
  <si>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</si>
  <si>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</si>
  <si>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</si>
  <si>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</si>
  <si>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</si>
  <si>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</si>
  <si>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</si>
  <si>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</si>
  <si>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</si>
  <si>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</si>
  <si>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</si>
  <si>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</si>
  <si>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</si>
  <si>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</si>
  <si>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</si>
  <si>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</si>
  <si>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</si>
  <si>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</si>
  <si>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</si>
  <si>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</si>
  <si>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</si>
  <si>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</si>
  <si>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</si>
  <si>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</si>
  <si>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</si>
  <si>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</si>
  <si>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</si>
  <si>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</si>
  <si>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</si>
  <si>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</si>
  <si>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</si>
  <si>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</si>
  <si>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</si>
  <si>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</si>
  <si>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</si>
  <si>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</si>
  <si>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</si>
  <si>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</si>
  <si>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</si>
  <si>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</si>
  <si>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</si>
  <si>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</si>
  <si>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</si>
  <si>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</si>
  <si>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</si>
  <si>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</si>
  <si>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</si>
  <si>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</si>
  <si>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</si>
  <si>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</si>
  <si>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</si>
  <si>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</si>
  <si>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</si>
  <si>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</si>
  <si>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</si>
  <si>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</si>
  <si>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</si>
  <si>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</si>
  <si>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</si>
  <si>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</si>
  <si>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</si>
  <si>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</si>
  <si>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</si>
  <si>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</si>
  <si>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</si>
  <si>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</si>
  <si>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</si>
  <si>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</si>
  <si>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</si>
  <si>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</si>
  <si>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</si>
  <si>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</si>
  <si>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</si>
  <si>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</si>
  <si>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</si>
  <si>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</si>
  <si>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</si>
  <si>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</si>
  <si>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</si>
  <si>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</si>
  <si>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</si>
  <si>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</si>
  <si>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</si>
  <si>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</si>
  <si>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</si>
  <si>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</si>
  <si>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</si>
  <si>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</si>
  <si>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</si>
  <si>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</si>
  <si>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</si>
  <si>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</si>
  <si>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</si>
  <si>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</si>
  <si>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</si>
  <si>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</si>
  <si>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</si>
  <si>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</si>
  <si>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</si>
  <si>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</si>
  <si>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</si>
  <si>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</si>
  <si>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</si>
  <si>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</si>
  <si>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</si>
  <si>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</si>
  <si>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</si>
  <si>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</si>
  <si>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</si>
  <si>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</si>
  <si>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</si>
  <si>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</si>
  <si>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</si>
  <si>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</si>
  <si>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</si>
  <si>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</si>
  <si>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</si>
  <si>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</si>
  <si>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</si>
  <si>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</si>
  <si>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</si>
  <si>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</si>
  <si>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</si>
  <si>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</si>
  <si>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</si>
  <si>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</si>
  <si>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</si>
  <si>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</si>
  <si>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</si>
  <si>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</si>
  <si>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</si>
  <si>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</si>
  <si>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</si>
  <si>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</si>
  <si>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</si>
  <si>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</si>
  <si>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</si>
  <si>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</si>
  <si>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</si>
  <si>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</si>
  <si>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</si>
  <si>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</si>
  <si>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</si>
  <si>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</si>
  <si>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</si>
  <si>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</si>
  <si>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</si>
  <si>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</si>
  <si>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</si>
  <si>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</si>
  <si>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</si>
  <si>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</si>
  <si>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</si>
  <si>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</si>
  <si>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</si>
  <si>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</si>
  <si>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</si>
  <si>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</si>
  <si>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</si>
  <si>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</si>
  <si>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</si>
  <si>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</si>
  <si>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</si>
  <si>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</si>
  <si>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</si>
  <si>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</si>
  <si>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</si>
  <si>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</si>
  <si>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</si>
  <si>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</si>
  <si>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</si>
  <si>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</si>
  <si>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</si>
  <si>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</si>
  <si>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</si>
  <si>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</si>
  <si>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</si>
  <si>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</si>
  <si>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</si>
  <si>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</si>
  <si>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</si>
  <si>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</si>
  <si>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</si>
  <si>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</si>
  <si>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</si>
  <si>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</si>
  <si>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</si>
  <si>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</si>
  <si>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</si>
  <si>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</si>
  <si>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</si>
  <si>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</si>
  <si>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</si>
  <si>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</si>
  <si>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</si>
  <si>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</si>
  <si>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</si>
  <si>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</si>
  <si>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</si>
  <si>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</si>
  <si>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</si>
  <si>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</si>
  <si>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</si>
  <si>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</si>
  <si>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</si>
  <si>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</si>
  <si>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</si>
  <si>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</si>
  <si>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</si>
  <si>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</si>
  <si>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</si>
  <si>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</si>
  <si>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</si>
  <si>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</si>
  <si>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</si>
  <si>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</si>
  <si>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</si>
  <si>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</si>
  <si>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</si>
  <si>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</si>
  <si>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</si>
  <si>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</si>
  <si>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</si>
  <si>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</si>
  <si>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</si>
  <si>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</si>
  <si>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</si>
  <si>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</si>
  <si>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</si>
  <si>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</si>
  <si>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</si>
  <si>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</si>
  <si>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</si>
  <si>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</si>
  <si>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</si>
  <si>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</si>
  <si>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</si>
  <si>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</si>
  <si>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</si>
  <si>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</si>
  <si>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</si>
  <si>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</si>
  <si>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</si>
  <si>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</si>
  <si>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</si>
  <si>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</si>
  <si>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</si>
  <si>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</si>
  <si>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</si>
  <si>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</si>
  <si>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</si>
  <si>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</si>
  <si>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</si>
  <si>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</si>
  <si>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</si>
  <si>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</si>
  <si>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</si>
  <si>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</si>
  <si>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</si>
  <si>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</si>
  <si>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</si>
  <si>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</si>
  <si>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</si>
  <si>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</si>
  <si>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</si>
  <si>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</si>
  <si>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</si>
  <si>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</si>
  <si>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</si>
  <si>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</si>
  <si>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</si>
  <si>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</si>
  <si>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</si>
  <si>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</si>
  <si>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</si>
  <si>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</si>
  <si>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</si>
  <si>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</si>
  <si>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</si>
  <si>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</si>
  <si>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</si>
  <si>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</si>
  <si>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</si>
  <si>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</si>
  <si>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</si>
  <si>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</si>
  <si>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</si>
  <si>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</si>
  <si>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</si>
  <si>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</si>
  <si>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</si>
  <si>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</si>
  <si>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</si>
  <si>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</si>
  <si>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</si>
  <si>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</si>
  <si>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</si>
  <si>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</si>
  <si>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</si>
  <si>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</si>
  <si>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</si>
  <si>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</si>
  <si>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</si>
  <si>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</si>
  <si>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</si>
  <si>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</si>
  <si>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</si>
  <si>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</si>
  <si>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</si>
  <si>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</si>
  <si>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</si>
  <si>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</si>
  <si>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</si>
  <si>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</si>
  <si>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</si>
  <si>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</si>
  <si>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</si>
  <si>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</si>
  <si>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</si>
  <si>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</si>
  <si>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</si>
  <si>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</si>
  <si>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</si>
  <si>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</si>
  <si>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</si>
  <si>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</si>
  <si>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</si>
  <si>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</si>
  <si>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</si>
  <si>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</si>
  <si>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</si>
  <si>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</si>
  <si>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</si>
  <si>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</si>
  <si>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</si>
  <si>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</si>
  <si>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</si>
  <si>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</si>
  <si>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</si>
  <si>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</si>
  <si>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</si>
  <si>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</si>
  <si>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</si>
  <si>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</si>
  <si>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</si>
  <si>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</si>
  <si>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</si>
  <si>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</si>
  <si>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</si>
  <si>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</si>
  <si>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</si>
  <si>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</si>
  <si>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</si>
  <si>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</si>
  <si>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</si>
  <si>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</si>
  <si>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</si>
  <si>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</si>
  <si>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</si>
  <si>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</si>
  <si>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</si>
  <si>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</si>
  <si>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</si>
  <si>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</si>
  <si>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</si>
  <si>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</si>
  <si>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</si>
  <si>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</si>
  <si>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</si>
  <si>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</si>
  <si>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</si>
  <si>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</si>
  <si>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</si>
  <si>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</si>
  <si>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</si>
  <si>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</si>
  <si>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</si>
  <si>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</si>
  <si>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</si>
  <si>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</si>
  <si>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</si>
  <si>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</si>
  <si>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</si>
  <si>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</si>
  <si>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</si>
  <si>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</si>
  <si>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</si>
  <si>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</si>
  <si>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</si>
  <si>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</si>
  <si>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</si>
  <si>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</si>
  <si>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</si>
  <si>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</si>
  <si>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</si>
  <si>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</si>
  <si>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</si>
  <si>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</si>
  <si>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</si>
  <si>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</si>
  <si>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</si>
  <si>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</si>
  <si>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</si>
  <si>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</si>
  <si>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</si>
  <si>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</si>
  <si>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</si>
  <si>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</si>
  <si>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</si>
  <si>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</si>
  <si>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</si>
  <si>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</si>
  <si>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</si>
  <si>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</si>
  <si>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</si>
  <si>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</si>
  <si>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</si>
  <si>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</si>
  <si>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</si>
  <si>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</si>
  <si>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</si>
  <si>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</si>
  <si>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</si>
  <si>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</si>
  <si>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</si>
  <si>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</si>
  <si>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</si>
  <si>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</si>
  <si>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</si>
  <si>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</si>
  <si>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</si>
  <si>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</si>
  <si>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</si>
  <si>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</si>
  <si>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</si>
  <si>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</si>
  <si>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</si>
  <si>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</si>
  <si>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</si>
  <si>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</si>
  <si>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</si>
  <si>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</si>
  <si>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</si>
  <si>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</si>
  <si>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</si>
  <si>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</si>
  <si>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</si>
  <si>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</si>
  <si>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</si>
  <si>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</si>
  <si>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</si>
  <si>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</si>
  <si>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</si>
  <si>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</si>
  <si>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</si>
  <si>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</si>
  <si>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</si>
  <si>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</si>
  <si>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</si>
  <si>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</si>
  <si>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</si>
  <si>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</si>
  <si>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</si>
  <si>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</si>
  <si>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</si>
  <si>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</si>
  <si>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</si>
  <si>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</si>
  <si>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</si>
  <si>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</si>
  <si>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</si>
  <si>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</si>
  <si>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</si>
  <si>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</si>
  <si>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</si>
  <si>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</si>
  <si>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</si>
  <si>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</si>
  <si>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</si>
  <si>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</si>
  <si>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</si>
  <si>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</si>
  <si>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</si>
  <si>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</si>
  <si>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</si>
  <si>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</si>
  <si>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</si>
  <si>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</si>
  <si>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</si>
  <si>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</si>
  <si>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</si>
  <si>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</si>
  <si>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</si>
  <si>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</si>
  <si>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</si>
  <si>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</si>
  <si>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</si>
  <si>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</si>
  <si>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</si>
  <si>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</si>
  <si>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</si>
  <si>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</si>
  <si>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</si>
  <si>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</si>
  <si>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</si>
  <si>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</si>
  <si>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</si>
  <si>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</si>
  <si>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</si>
  <si>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</si>
  <si>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</si>
  <si>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</si>
  <si>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</si>
  <si>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</si>
  <si>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</si>
  <si>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</si>
  <si>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</si>
  <si>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</si>
  <si>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</si>
  <si>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</si>
  <si>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</si>
  <si>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</si>
  <si>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</si>
  <si>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</si>
  <si>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</si>
  <si>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</si>
  <si>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</si>
  <si>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</si>
  <si>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</si>
  <si>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</si>
  <si>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</si>
  <si>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</si>
  <si>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</si>
  <si>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</si>
  <si>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</si>
  <si>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</si>
  <si>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</si>
  <si>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</si>
  <si>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</si>
  <si>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</si>
  <si>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</si>
  <si>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</si>
  <si>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</si>
  <si>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</si>
  <si>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</si>
  <si>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</si>
  <si>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</si>
  <si>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</si>
  <si>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</si>
  <si>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</si>
  <si>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</si>
  <si>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</si>
  <si>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</si>
  <si>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</si>
  <si>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</si>
  <si>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</si>
  <si>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</si>
  <si>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</si>
  <si>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</si>
  <si>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</si>
  <si>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</si>
  <si>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</si>
  <si>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</si>
  <si>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</si>
  <si>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</si>
  <si>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</si>
  <si>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</si>
  <si>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</si>
  <si>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</si>
  <si>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</si>
  <si>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</si>
  <si>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</si>
  <si>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</si>
  <si>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</si>
  <si>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</si>
  <si>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</si>
  <si>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</si>
  <si>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</si>
  <si>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</si>
  <si>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</si>
  <si>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</si>
  <si>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</si>
  <si>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</si>
  <si>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</si>
  <si>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</si>
  <si>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</si>
  <si>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</si>
  <si>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</si>
  <si>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</si>
  <si>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</si>
  <si>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</si>
  <si>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</si>
  <si>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</si>
  <si>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</si>
  <si>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</si>
  <si>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</si>
  <si>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</si>
  <si>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</si>
  <si>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</si>
  <si>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</si>
  <si>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</si>
  <si>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</si>
  <si>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</si>
  <si>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</si>
  <si>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</si>
  <si>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</si>
  <si>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</si>
  <si>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</si>
  <si>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</si>
  <si>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</si>
  <si>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</si>
  <si>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</si>
  <si>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</si>
  <si>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</si>
  <si>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</si>
  <si>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</si>
  <si>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</si>
  <si>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</si>
  <si>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</si>
  <si>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</si>
  <si>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</si>
  <si>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</si>
  <si>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</si>
  <si>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</si>
  <si>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</si>
  <si>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</si>
  <si>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</si>
  <si>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</si>
  <si>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</si>
  <si>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</si>
  <si>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</si>
  <si>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</si>
  <si>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</si>
  <si>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</si>
  <si>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</si>
  <si>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</si>
  <si>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</si>
  <si>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</si>
  <si>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</si>
  <si>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</si>
  <si>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</si>
  <si>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</si>
  <si>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</si>
  <si>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</si>
  <si>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</si>
  <si>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</si>
  <si>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</si>
  <si>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</si>
  <si>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</si>
  <si>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</si>
  <si>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</si>
  <si>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</si>
  <si>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</si>
  <si>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</si>
  <si>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</si>
  <si>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</si>
  <si>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</si>
  <si>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</si>
  <si>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</si>
  <si>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</si>
  <si>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</si>
  <si>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</si>
  <si>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</si>
  <si>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</si>
  <si>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</si>
  <si>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</si>
  <si>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</si>
  <si>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</si>
  <si>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</si>
  <si>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</si>
  <si>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</si>
  <si>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</si>
  <si>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</si>
  <si>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</si>
  <si>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</si>
  <si>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</si>
  <si>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</si>
  <si>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</si>
  <si>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</si>
  <si>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</si>
  <si>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</si>
  <si>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</si>
  <si>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</si>
  <si>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</si>
  <si>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</si>
  <si>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</si>
  <si>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</si>
  <si>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</si>
  <si>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</si>
  <si>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</si>
  <si>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</si>
  <si>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</si>
  <si>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</si>
  <si>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</si>
  <si>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</si>
  <si>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</si>
  <si>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</si>
  <si>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</si>
  <si>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</si>
  <si>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</si>
  <si>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</si>
  <si>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</si>
  <si>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</si>
  <si>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</si>
  <si>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</si>
  <si>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</si>
  <si>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</si>
  <si>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</si>
  <si>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</si>
  <si>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</si>
  <si>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</si>
  <si>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</si>
  <si>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</si>
  <si>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</si>
  <si>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</si>
  <si>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</si>
  <si>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</si>
  <si>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</si>
  <si>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</si>
  <si>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</si>
  <si>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</si>
  <si>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</si>
  <si>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</si>
  <si>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</si>
  <si>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</si>
  <si>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</si>
  <si>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</si>
  <si>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</si>
  <si>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</si>
  <si>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</si>
  <si>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</si>
  <si>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</si>
  <si>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</si>
  <si>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</si>
  <si>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</si>
  <si>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</si>
  <si>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</si>
  <si>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</si>
  <si>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</si>
  <si>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</si>
  <si>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</si>
  <si>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</si>
  <si>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</si>
  <si>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</si>
  <si>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</si>
  <si>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</si>
  <si>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</si>
  <si>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</si>
  <si>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</si>
  <si>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</si>
  <si>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</si>
  <si>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</si>
  <si>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</si>
  <si>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</si>
  <si>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</si>
  <si>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</si>
  <si>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</si>
  <si>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</si>
  <si>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</si>
  <si>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</si>
  <si>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</si>
  <si>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</si>
  <si>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</si>
  <si>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</si>
  <si>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</si>
  <si>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</si>
  <si>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</si>
  <si>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</si>
  <si>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</si>
  <si>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</si>
  <si>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</si>
  <si>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</si>
  <si>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</si>
  <si>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</si>
  <si>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</si>
  <si>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</si>
  <si>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</si>
  <si>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</si>
  <si>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</si>
  <si>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</si>
  <si>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</si>
  <si>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</si>
  <si>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</si>
  <si>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</si>
  <si>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</si>
  <si>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</si>
  <si>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</si>
  <si>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</si>
  <si>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</si>
  <si>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</si>
  <si>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</si>
  <si>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</si>
  <si>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</si>
  <si>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</si>
  <si>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</si>
  <si>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</si>
  <si>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</si>
  <si>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</si>
  <si>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</si>
  <si>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</si>
  <si>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</si>
  <si>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</si>
  <si>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</si>
  <si>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</si>
  <si>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</si>
  <si>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</si>
  <si>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</si>
  <si>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</si>
  <si>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</si>
  <si>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</si>
  <si>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</si>
  <si>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</si>
  <si>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</si>
  <si>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</si>
  <si>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</si>
  <si>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</si>
  <si>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</si>
  <si>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</si>
  <si>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</si>
  <si>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</si>
  <si>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</si>
  <si>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</si>
  <si>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</si>
  <si>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</si>
  <si>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</si>
  <si>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</si>
  <si>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</si>
  <si>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</si>
  <si>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</si>
  <si>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</si>
  <si>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</si>
  <si>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</si>
  <si>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</si>
  <si>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</si>
  <si>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</si>
  <si>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</si>
  <si>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</si>
  <si>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</si>
  <si>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</si>
  <si>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</si>
  <si>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</si>
  <si>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</si>
  <si>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</si>
  <si>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</si>
  <si>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</si>
  <si>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</si>
  <si>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</si>
  <si>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</si>
  <si>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</si>
  <si>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</si>
  <si>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</si>
  <si>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</si>
  <si>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</si>
  <si>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</si>
  <si>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</si>
  <si>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</si>
  <si>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</si>
  <si>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</si>
  <si>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</si>
  <si>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</si>
  <si>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</si>
  <si>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</si>
  <si>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</si>
  <si>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</si>
  <si>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</si>
  <si>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</si>
  <si>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</si>
  <si>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</si>
  <si>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</si>
  <si>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</si>
  <si>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</si>
  <si>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</si>
  <si>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</si>
  <si>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</si>
  <si>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</si>
  <si>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</si>
  <si>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</si>
  <si>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</si>
  <si>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</si>
  <si>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</si>
  <si>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</si>
  <si>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</si>
  <si>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</si>
  <si>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</si>
  <si>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</si>
  <si>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</si>
  <si>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</si>
  <si>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</si>
  <si>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</si>
  <si>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</si>
  <si>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</si>
  <si>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</si>
  <si>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</si>
  <si>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</si>
  <si>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</si>
  <si>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</si>
  <si>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</si>
  <si>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</si>
  <si>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</si>
  <si>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</si>
  <si>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</si>
  <si>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</si>
  <si>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</si>
  <si>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</si>
  <si>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</si>
  <si>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</si>
  <si>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</si>
  <si>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</si>
  <si>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</si>
  <si>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</si>
  <si>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</si>
  <si>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</si>
  <si>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</si>
  <si>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</si>
  <si>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</si>
  <si>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</si>
  <si>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</si>
  <si>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</si>
  <si>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</si>
  <si>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</si>
  <si>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</si>
  <si>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</si>
  <si>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</si>
  <si>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</si>
  <si>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</si>
  <si>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</si>
  <si>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</si>
  <si>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</si>
  <si>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</si>
  <si>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</si>
  <si>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</si>
  <si>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</si>
  <si>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</si>
  <si>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</si>
  <si>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</si>
  <si>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</si>
  <si>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</si>
  <si>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</si>
  <si>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</si>
  <si>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</si>
  <si>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</si>
  <si>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</si>
  <si>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</si>
  <si>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</si>
  <si>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</si>
  <si>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</si>
  <si>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</si>
  <si>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</si>
  <si>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</si>
  <si>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</si>
  <si>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</si>
  <si>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</si>
  <si>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</si>
  <si>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</si>
  <si>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</si>
  <si>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</si>
  <si>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</si>
  <si>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</si>
  <si>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</si>
  <si>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</si>
  <si>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</si>
  <si>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</si>
  <si>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</si>
  <si>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</si>
  <si>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</si>
  <si>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</si>
  <si>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</si>
  <si>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</si>
  <si>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</si>
  <si>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</si>
  <si>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</si>
  <si>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</si>
  <si>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</si>
  <si>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</si>
  <si>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</si>
  <si>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</si>
  <si>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</si>
  <si>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</si>
  <si>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</si>
  <si>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</si>
  <si>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</si>
  <si>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</si>
  <si>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</si>
  <si>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</si>
  <si>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</si>
  <si>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</si>
  <si>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</si>
  <si>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</si>
  <si>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</si>
  <si>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</si>
  <si>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</si>
  <si>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</si>
  <si>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</si>
  <si>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</si>
  <si>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</si>
  <si>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</si>
  <si>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</si>
  <si>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</si>
  <si>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</si>
  <si>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</si>
  <si>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</si>
  <si>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</si>
  <si>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</si>
  <si>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</si>
  <si>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</si>
  <si>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</si>
  <si>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</si>
  <si>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</si>
  <si>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</si>
  <si>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</si>
  <si>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</si>
  <si>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</si>
  <si>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</si>
  <si>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</si>
  <si>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</si>
  <si>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</si>
  <si>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</si>
  <si>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</si>
  <si>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</si>
  <si>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</si>
  <si>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</si>
  <si>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</si>
  <si>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</si>
  <si>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</si>
  <si>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</si>
  <si>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</si>
  <si>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</si>
  <si>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</si>
  <si>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</si>
  <si>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</si>
  <si>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</si>
  <si>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</si>
  <si>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</si>
  <si>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</si>
  <si>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</si>
  <si>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</si>
  <si>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</si>
  <si>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</si>
  <si>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</si>
  <si>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</si>
  <si>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</si>
  <si>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</si>
  <si>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</si>
  <si>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</si>
  <si>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</si>
  <si>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</si>
  <si>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</si>
  <si>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</si>
  <si>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</si>
  <si>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</si>
  <si>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</si>
  <si>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</si>
  <si>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</si>
  <si>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</si>
  <si>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</si>
  <si>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</si>
  <si>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</si>
  <si>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</si>
  <si>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</si>
  <si>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</si>
  <si>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</si>
  <si>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</si>
  <si>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</si>
  <si>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</si>
  <si>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</si>
  <si>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</si>
  <si>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</si>
  <si>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</si>
  <si>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</si>
  <si>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</si>
  <si>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</si>
  <si>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</si>
  <si>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</si>
  <si>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</si>
  <si>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</si>
  <si>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</si>
  <si>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</si>
  <si>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</si>
  <si>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</si>
  <si>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</si>
  <si>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</si>
  <si>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</si>
  <si>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</si>
  <si>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</si>
  <si>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</si>
  <si>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</si>
  <si>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</si>
  <si>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</si>
  <si>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</si>
  <si>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</si>
  <si>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</si>
  <si>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</si>
  <si>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</si>
  <si>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</si>
  <si>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</si>
  <si>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</si>
  <si>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</si>
  <si>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</si>
  <si>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</si>
  <si>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</si>
  <si>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</si>
  <si>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</si>
  <si>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</si>
  <si>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</si>
  <si>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</si>
  <si>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</si>
  <si>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</si>
  <si>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</si>
  <si>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</si>
  <si>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</si>
  <si>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</si>
  <si>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</si>
  <si>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</si>
  <si>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</si>
  <si>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</si>
  <si>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</si>
  <si>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</si>
  <si>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</si>
  <si>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</si>
  <si>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</si>
  <si>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</si>
  <si>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</si>
  <si>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</si>
  <si>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</si>
  <si>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</si>
  <si>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</si>
  <si>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</si>
  <si>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</si>
  <si>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</si>
  <si>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</si>
  <si>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</si>
  <si>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</si>
  <si>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</si>
  <si>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</si>
  <si>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</si>
  <si>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</si>
  <si>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</si>
  <si>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</si>
  <si>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</si>
  <si>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</si>
  <si>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</si>
  <si>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</si>
  <si>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</si>
  <si>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</si>
  <si>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</si>
  <si>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</si>
  <si>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</si>
  <si>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</si>
  <si>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</si>
  <si>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</si>
  <si>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</si>
  <si>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</si>
  <si>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</si>
  <si>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</si>
  <si>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</si>
  <si>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</si>
  <si>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</si>
  <si>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</si>
  <si>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</si>
  <si>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</si>
  <si>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</si>
  <si>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</si>
  <si>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</si>
  <si>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</si>
  <si>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</si>
  <si>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</si>
  <si>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</si>
  <si>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</si>
  <si>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</si>
  <si>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</si>
  <si>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</si>
  <si>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</si>
  <si>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</si>
  <si>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</si>
  <si>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</si>
  <si>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</si>
  <si>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</si>
  <si>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</si>
  <si>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</si>
  <si>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</si>
  <si>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</si>
  <si>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</si>
  <si>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</si>
  <si>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</si>
  <si>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</si>
  <si>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</si>
  <si>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</si>
  <si>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</si>
  <si>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</si>
  <si>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</si>
  <si>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</si>
  <si>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</si>
  <si>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</si>
  <si>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</si>
  <si>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</si>
  <si>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</si>
  <si>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</si>
  <si>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</si>
  <si>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</si>
  <si>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</si>
  <si>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</si>
  <si>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</si>
  <si>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</si>
  <si>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</si>
  <si>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</si>
  <si>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</si>
  <si>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</si>
  <si>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</si>
  <si>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</si>
  <si>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</si>
  <si>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</si>
  <si>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</si>
  <si>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</si>
  <si>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</si>
  <si>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</si>
  <si>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</si>
  <si>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</si>
  <si>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</si>
  <si>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</si>
  <si>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</si>
  <si>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</si>
  <si>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</si>
  <si>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</si>
  <si>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</si>
  <si>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</si>
  <si>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</si>
  <si>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</si>
  <si>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</si>
  <si>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</si>
  <si>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</si>
  <si>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</si>
  <si>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</si>
  <si>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</si>
  <si>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</si>
  <si>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</si>
  <si>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</si>
  <si>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</si>
  <si>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</si>
  <si>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</si>
  <si>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</si>
  <si>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</si>
  <si>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</si>
  <si>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</si>
  <si>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</si>
  <si>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</si>
  <si>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</si>
  <si>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</si>
  <si>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</si>
  <si>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</si>
  <si>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</si>
  <si>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</si>
  <si>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</si>
  <si>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</si>
  <si>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</si>
  <si>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</si>
  <si>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</si>
  <si>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</si>
  <si>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</si>
  <si>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</si>
  <si>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</si>
  <si>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</si>
  <si>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</si>
  <si>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</si>
  <si>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</si>
  <si>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</si>
  <si>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</si>
  <si>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</si>
  <si>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</si>
  <si>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</si>
  <si>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</si>
  <si>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</si>
  <si>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</si>
  <si>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</si>
  <si>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</si>
  <si>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</si>
  <si>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</si>
  <si>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</si>
  <si>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</si>
  <si>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</si>
  <si>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</si>
  <si>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</si>
  <si>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</si>
  <si>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</si>
  <si>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</si>
  <si>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</si>
  <si>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</si>
  <si>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</si>
  <si>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</si>
  <si>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</si>
  <si>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</si>
  <si>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</si>
  <si>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</si>
  <si>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</si>
  <si>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</si>
  <si>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</si>
  <si>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</si>
  <si>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</si>
  <si>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</si>
  <si>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</si>
  <si>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</si>
  <si>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</si>
  <si>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</si>
  <si>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</si>
  <si>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</si>
  <si>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</si>
  <si>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</si>
  <si>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</si>
  <si>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</si>
  <si>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</si>
  <si>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</si>
  <si>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</si>
  <si>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</si>
  <si>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</si>
  <si>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</si>
  <si>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</si>
  <si>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</si>
  <si>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</si>
  <si>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</si>
  <si>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</si>
  <si>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</si>
  <si>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</si>
  <si>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</si>
  <si>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</si>
  <si>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</si>
  <si>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</si>
  <si>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</si>
  <si>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</si>
  <si>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</si>
  <si>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</si>
  <si>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</si>
  <si>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</si>
  <si>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</si>
  <si>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</si>
  <si>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</si>
  <si>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</si>
  <si>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</si>
  <si>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</si>
  <si>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</si>
  <si>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</si>
  <si>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</si>
  <si>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</si>
  <si>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</si>
  <si>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</si>
  <si>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</si>
  <si>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</si>
  <si>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</si>
  <si>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</si>
  <si>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</si>
  <si>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</si>
  <si>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</si>
  <si>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</si>
  <si>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</si>
  <si>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</si>
  <si>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</si>
  <si>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</si>
  <si>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</si>
  <si>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</si>
  <si>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</si>
  <si>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</si>
  <si>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</si>
  <si>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</si>
  <si>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</si>
  <si>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</si>
  <si>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</si>
  <si>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</si>
  <si>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</si>
  <si>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</si>
  <si>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</si>
  <si>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</si>
  <si>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</si>
  <si>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</si>
  <si>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</si>
  <si>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</si>
  <si>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</si>
  <si>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</si>
  <si>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</si>
  <si>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</si>
  <si>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</si>
  <si>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</si>
  <si>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</si>
  <si>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</si>
  <si>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</si>
  <si>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</si>
  <si>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</si>
  <si>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</si>
  <si>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</si>
  <si>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</si>
  <si>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</si>
  <si>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</si>
  <si>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</si>
  <si>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</si>
  <si>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</si>
  <si>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</si>
  <si>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</si>
  <si>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</si>
  <si>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</si>
  <si>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</si>
  <si>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</si>
  <si>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</si>
  <si>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</si>
  <si>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</si>
  <si>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</si>
  <si>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</si>
  <si>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</si>
  <si>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</si>
  <si>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</si>
  <si>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</si>
  <si>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</si>
  <si>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</si>
  <si>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</si>
  <si>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</si>
  <si>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</si>
  <si>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</si>
  <si>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</si>
  <si>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</si>
  <si>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</si>
  <si>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</si>
  <si>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</si>
  <si>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</si>
  <si>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</si>
  <si>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</si>
  <si>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</si>
  <si>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</si>
  <si>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</si>
  <si>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</si>
  <si>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</si>
  <si>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</si>
  <si>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</si>
  <si>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</si>
  <si>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</si>
  <si>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</si>
  <si>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</si>
  <si>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</si>
  <si>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</si>
  <si>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</si>
  <si>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</si>
  <si>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</si>
  <si>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</si>
  <si>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</si>
  <si>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</si>
  <si>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</si>
  <si>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</si>
  <si>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</si>
  <si>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</si>
  <si>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</si>
  <si>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</si>
  <si>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</si>
  <si>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</si>
  <si>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</si>
  <si>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</si>
  <si>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</si>
  <si>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</si>
  <si>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</si>
  <si>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</si>
  <si>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</si>
  <si>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</si>
  <si>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</si>
  <si>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</si>
  <si>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</si>
  <si>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</si>
  <si>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</si>
  <si>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</si>
  <si>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</si>
  <si>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</si>
  <si>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</si>
  <si>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</si>
  <si>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</si>
  <si>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</si>
  <si>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</si>
  <si>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</si>
  <si>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</si>
  <si>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</si>
  <si>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</si>
  <si>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</si>
  <si>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</si>
  <si>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</si>
  <si>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</si>
  <si>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</si>
  <si>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</si>
  <si>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</si>
  <si>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</si>
  <si>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</si>
  <si>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</si>
  <si>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</si>
  <si>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</si>
  <si>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</si>
  <si>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</si>
  <si>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</si>
  <si>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</si>
  <si>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</si>
  <si>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</si>
  <si>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</si>
  <si>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</si>
  <si>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</si>
  <si>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</si>
  <si>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</si>
  <si>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</si>
  <si>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</si>
  <si>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</si>
  <si>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</si>
  <si>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</si>
  <si>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</si>
  <si>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</si>
  <si>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</si>
  <si>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</si>
  <si>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</si>
  <si>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</si>
  <si>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</si>
  <si>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</si>
  <si>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</si>
  <si>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</si>
  <si>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</si>
  <si>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</si>
  <si>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</si>
  <si>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</si>
  <si>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</si>
  <si>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</si>
  <si>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</si>
  <si>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</si>
  <si>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</si>
  <si>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</si>
  <si>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</si>
  <si>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</si>
  <si>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</si>
  <si>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</si>
  <si>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</si>
  <si>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</si>
  <si>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</si>
  <si>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</si>
  <si>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</si>
  <si>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</si>
  <si>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</si>
  <si>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</si>
  <si>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</si>
  <si>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</si>
  <si>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</si>
  <si>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</si>
  <si>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</si>
  <si>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</si>
  <si>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</si>
  <si>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</si>
  <si>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</si>
  <si>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</si>
  <si>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</si>
  <si>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</si>
  <si>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</si>
  <si>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</si>
  <si>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</si>
  <si>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</si>
  <si>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</si>
  <si>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</si>
  <si>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</si>
  <si>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</si>
  <si>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</si>
  <si>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</si>
  <si>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</si>
  <si>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</si>
  <si>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</si>
  <si>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</si>
  <si>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</si>
  <si>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</si>
  <si>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</si>
  <si>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</si>
  <si>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</si>
  <si>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</si>
  <si>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</si>
  <si>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</si>
  <si>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</si>
  <si>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</si>
  <si>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</si>
  <si>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</si>
  <si>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</si>
  <si>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</si>
  <si>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</si>
  <si>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</si>
  <si>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</si>
  <si>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</si>
  <si>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</si>
  <si>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</si>
  <si>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</si>
  <si>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</si>
  <si>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</si>
  <si>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</si>
  <si>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</si>
  <si>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</si>
  <si>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</si>
  <si>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</si>
  <si>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</si>
  <si>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</si>
  <si>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</si>
  <si>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</si>
  <si>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</si>
  <si>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</si>
  <si>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</si>
  <si>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</si>
  <si>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</si>
  <si>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</si>
  <si>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</si>
  <si>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</si>
  <si>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</si>
  <si>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</si>
  <si>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</si>
  <si>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</si>
  <si>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</si>
  <si>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</si>
  <si>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</si>
  <si>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</si>
  <si>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</si>
  <si>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</si>
  <si>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</si>
  <si>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</si>
  <si>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</si>
  <si>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</si>
  <si>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</si>
  <si>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</si>
  <si>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</si>
  <si>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</si>
  <si>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</si>
  <si>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</si>
  <si>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</si>
  <si>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</si>
  <si>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</si>
  <si>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</si>
  <si>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</si>
  <si>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</si>
  <si>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</si>
  <si>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</si>
  <si>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</si>
  <si>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</si>
  <si>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</si>
  <si>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</si>
  <si>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</si>
  <si>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</si>
  <si>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</si>
  <si>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</si>
  <si>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</si>
  <si>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</si>
  <si>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</si>
  <si>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</si>
  <si>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</si>
  <si>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</si>
  <si>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</si>
  <si>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</si>
  <si>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</si>
  <si>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</si>
  <si>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</si>
  <si>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</si>
  <si>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</si>
  <si>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</si>
  <si>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</si>
  <si>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</si>
  <si>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</si>
  <si>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</si>
  <si>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</si>
  <si>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</si>
  <si>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</si>
  <si>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</si>
  <si>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</si>
  <si>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</si>
  <si>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</si>
  <si>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</si>
  <si>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</si>
  <si>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</si>
  <si>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</si>
  <si>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</si>
  <si>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</si>
  <si>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</si>
  <si>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</si>
  <si>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</si>
  <si>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</si>
  <si>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</si>
  <si>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</si>
  <si>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</si>
  <si>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</si>
  <si>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</si>
  <si>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</si>
  <si>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</si>
  <si>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</si>
  <si>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</si>
  <si>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</si>
  <si>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</si>
  <si>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</si>
  <si>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</si>
  <si>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</si>
  <si>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</si>
  <si>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</si>
  <si>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</si>
  <si>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</si>
  <si>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</si>
  <si>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</si>
  <si>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</si>
  <si>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</si>
  <si>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</si>
  <si>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</si>
  <si>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</si>
  <si>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</si>
  <si>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</si>
  <si>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</si>
  <si>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</si>
  <si>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</si>
  <si>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</si>
  <si>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</si>
  <si>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</si>
  <si>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</si>
  <si>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</si>
  <si>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</si>
  <si>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</si>
  <si>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</si>
  <si>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</si>
  <si>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</si>
  <si>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</si>
  <si>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</si>
  <si>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</si>
  <si>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</si>
  <si>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</si>
  <si>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</si>
  <si>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</si>
  <si>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</si>
  <si>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</si>
  <si>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</si>
  <si>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</si>
  <si>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</si>
  <si>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</si>
  <si>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</si>
  <si>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</si>
  <si>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</si>
  <si>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</si>
  <si>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</si>
  <si>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</si>
  <si>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</si>
  <si>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</si>
  <si>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</si>
  <si>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</si>
  <si>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</si>
  <si>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</si>
  <si>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</si>
  <si>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</si>
  <si>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</si>
  <si>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</si>
  <si>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</si>
  <si>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</si>
  <si>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</si>
  <si>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</si>
  <si>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</si>
  <si>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</si>
  <si>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</si>
  <si>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</si>
  <si>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</si>
  <si>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</si>
  <si>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</si>
  <si>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</si>
  <si>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</si>
  <si>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</si>
  <si>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</si>
  <si>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</si>
  <si>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</si>
  <si>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</si>
  <si>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</si>
  <si>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</si>
  <si>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</si>
  <si>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</si>
  <si>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</si>
  <si>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</si>
  <si>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</si>
  <si>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</si>
  <si>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</si>
  <si>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</si>
  <si>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</si>
  <si>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</si>
  <si>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</si>
  <si>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</si>
  <si>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</si>
  <si>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</si>
  <si>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</si>
  <si>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</si>
  <si>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</si>
  <si>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</si>
  <si>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</si>
  <si>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</si>
  <si>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</si>
  <si>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</si>
  <si>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</si>
  <si>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</si>
  <si>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</si>
  <si>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</si>
  <si>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</si>
  <si>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</si>
  <si>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</si>
  <si>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</si>
  <si>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</si>
  <si>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</si>
  <si>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</si>
  <si>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</si>
  <si>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</si>
  <si>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</si>
  <si>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</si>
  <si>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</si>
  <si>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</si>
  <si>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</si>
  <si>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</si>
  <si>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</si>
  <si>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</si>
  <si>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</si>
  <si>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</si>
  <si>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</si>
  <si>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</si>
  <si>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</si>
  <si>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</si>
  <si>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</si>
  <si>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</si>
  <si>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</si>
  <si>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</si>
  <si>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</si>
  <si>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</si>
  <si>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</si>
  <si>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</si>
  <si>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</si>
  <si>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</si>
  <si>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</si>
  <si>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</si>
  <si>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</si>
  <si>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</si>
  <si>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</si>
  <si>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</si>
  <si>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</si>
  <si>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</si>
  <si>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</si>
  <si>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</si>
  <si>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</si>
  <si>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</si>
  <si>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</si>
  <si>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</si>
  <si>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</si>
  <si>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</si>
  <si>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</si>
  <si>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</si>
  <si>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</si>
  <si>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</si>
  <si>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</si>
  <si>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</si>
  <si>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</si>
  <si>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</si>
  <si>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</si>
  <si>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</si>
  <si>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</si>
  <si>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</si>
  <si>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</si>
  <si>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</si>
  <si>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</si>
  <si>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</si>
  <si>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</si>
  <si>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</si>
  <si>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</si>
  <si>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</si>
  <si>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</si>
  <si>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</si>
  <si>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</si>
  <si>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</si>
  <si>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</si>
  <si>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</si>
  <si>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</si>
  <si>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</si>
  <si>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</si>
  <si>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</si>
  <si>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</si>
  <si>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</si>
  <si>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</si>
  <si>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</si>
  <si>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</si>
  <si>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</si>
  <si>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</si>
  <si>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</si>
  <si>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</si>
  <si>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</si>
  <si>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</si>
  <si>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</si>
  <si>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</si>
  <si>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</si>
  <si>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</si>
  <si>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</si>
  <si>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</si>
  <si>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</si>
  <si>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</si>
  <si>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</si>
  <si>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</si>
  <si>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</si>
  <si>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</si>
  <si>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</si>
  <si>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</si>
  <si>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</si>
  <si>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</si>
  <si>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</si>
  <si>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</si>
  <si>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</si>
  <si>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</si>
  <si>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</si>
  <si>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</si>
  <si>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</si>
  <si>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</si>
  <si>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</si>
  <si>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</si>
  <si>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</si>
  <si>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</si>
  <si>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</si>
  <si>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</si>
  <si>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</si>
  <si>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</si>
  <si>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</si>
  <si>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</si>
  <si>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</si>
  <si>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</si>
  <si>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</si>
  <si>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</si>
  <si>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</si>
  <si>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</si>
  <si>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</si>
  <si>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</si>
  <si>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</si>
  <si>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</si>
  <si>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</si>
  <si>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</si>
  <si>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</si>
  <si>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</si>
  <si>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</si>
  <si>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</si>
  <si>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</si>
  <si>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</si>
  <si>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</si>
  <si>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</si>
  <si>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</si>
  <si>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</si>
  <si>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</si>
  <si>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</si>
  <si>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</si>
  <si>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</si>
  <si>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</si>
  <si>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</si>
  <si>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</si>
  <si>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</si>
  <si>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</si>
  <si>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</si>
  <si>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</si>
  <si>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</si>
  <si>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</si>
  <si>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</si>
  <si>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</si>
  <si>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</si>
  <si>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</si>
  <si>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</si>
  <si>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</si>
  <si>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</si>
  <si>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</si>
  <si>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</si>
  <si>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</si>
  <si>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</si>
  <si>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</si>
  <si>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</si>
  <si>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</si>
  <si>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</si>
  <si>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</si>
  <si>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</si>
  <si>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</si>
  <si>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</si>
  <si>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</si>
  <si>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</si>
  <si>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</si>
  <si>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</si>
  <si>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</si>
  <si>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</si>
  <si>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</si>
  <si>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</si>
  <si>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</si>
  <si>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</si>
  <si>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</si>
  <si>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</si>
  <si>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</si>
  <si>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</si>
  <si>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</si>
  <si>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</si>
  <si>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</si>
  <si>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</si>
  <si>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</si>
  <si>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</si>
  <si>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</si>
  <si>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</si>
  <si>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</si>
  <si>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</si>
  <si>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</si>
  <si>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</si>
  <si>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</si>
  <si>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</si>
  <si>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</si>
  <si>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</si>
  <si>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</si>
  <si>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</si>
  <si>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</si>
  <si>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</si>
  <si>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</si>
  <si>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</si>
  <si>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</si>
  <si>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</si>
  <si>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</si>
  <si>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</si>
  <si>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</si>
  <si>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</si>
  <si>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</si>
  <si>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</si>
  <si>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</si>
  <si>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</si>
  <si>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</si>
  <si>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</si>
  <si>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</si>
  <si>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</si>
  <si>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</si>
  <si>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</si>
  <si>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</si>
  <si>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</si>
  <si>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</si>
  <si>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</si>
  <si>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</si>
  <si>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</si>
  <si>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</si>
  <si>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</si>
  <si>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</si>
  <si>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</si>
  <si>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</si>
  <si>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</si>
  <si>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</si>
  <si>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</si>
  <si>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</si>
  <si>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</si>
  <si>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</si>
  <si>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</si>
  <si>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</si>
  <si>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</si>
  <si>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</si>
  <si>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</si>
  <si>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</si>
  <si>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</si>
  <si>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</si>
  <si>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</si>
  <si>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</si>
  <si>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</si>
  <si>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</si>
  <si>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</si>
  <si>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</si>
  <si>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</si>
  <si>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</si>
  <si>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</si>
  <si>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</si>
  <si>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</si>
  <si>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</si>
  <si>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</si>
  <si>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</si>
  <si>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</si>
  <si>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</si>
  <si>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</si>
  <si>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</si>
  <si>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</si>
  <si>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</si>
  <si>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</si>
  <si>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</si>
  <si>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</si>
  <si>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</si>
  <si>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</si>
  <si>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</si>
  <si>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</si>
  <si>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</si>
  <si>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</si>
  <si>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</si>
  <si>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</si>
  <si>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</si>
  <si>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</si>
  <si>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</si>
  <si>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</si>
  <si>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</si>
  <si>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</si>
  <si>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</si>
  <si>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</si>
  <si>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</si>
  <si>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</si>
  <si>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</si>
  <si>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</si>
  <si>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</si>
  <si>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</si>
  <si>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</si>
  <si>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</si>
  <si>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</si>
  <si>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</si>
  <si>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</si>
  <si>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</si>
  <si>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</si>
  <si>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</si>
  <si>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</si>
  <si>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</si>
  <si>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</si>
  <si>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</si>
  <si>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</si>
  <si>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</si>
  <si>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</si>
  <si>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</si>
  <si>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</si>
  <si>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</si>
  <si>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</si>
  <si>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</si>
  <si>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</si>
  <si>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</si>
  <si>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</si>
  <si>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</si>
  <si>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</si>
  <si>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</si>
  <si>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</si>
  <si>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</si>
  <si>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</si>
  <si>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</si>
  <si>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</si>
  <si>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</si>
  <si>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</si>
  <si>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</si>
  <si>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</si>
  <si>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</si>
  <si>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</si>
  <si>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</si>
  <si>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</si>
  <si>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</si>
  <si>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</si>
  <si>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</si>
  <si>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</si>
  <si>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</si>
  <si>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</si>
  <si>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</si>
  <si>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</si>
  <si>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</si>
  <si>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</si>
  <si>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</si>
  <si>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</si>
  <si>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</si>
  <si>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</si>
  <si>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</si>
  <si>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</si>
  <si>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</si>
  <si>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</si>
  <si>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</si>
  <si>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</si>
  <si>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</si>
  <si>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</si>
  <si>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</si>
  <si>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</si>
  <si>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</si>
  <si>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</si>
  <si>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</si>
  <si>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</si>
  <si>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</si>
  <si>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</si>
  <si>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</si>
  <si>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</si>
  <si>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</si>
  <si>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</si>
  <si>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</si>
  <si>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</si>
  <si>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</si>
  <si>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</si>
  <si>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</si>
  <si>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</si>
  <si>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</si>
  <si>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</si>
  <si>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</si>
  <si>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</si>
  <si>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</si>
  <si>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</si>
  <si>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</si>
  <si>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</si>
  <si>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</si>
  <si>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</si>
  <si>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</si>
  <si>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</si>
  <si>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</si>
  <si>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</si>
  <si>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</si>
  <si>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</si>
  <si>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</si>
  <si>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</si>
  <si>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</si>
  <si>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</si>
  <si>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</si>
  <si>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</si>
  <si>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</si>
  <si>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</si>
  <si>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</si>
  <si>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</si>
  <si>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</si>
  <si>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</si>
  <si>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</si>
  <si>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</si>
  <si>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</si>
  <si>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</si>
  <si>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</si>
  <si>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</si>
  <si>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</si>
  <si>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</si>
  <si>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</si>
  <si>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</si>
  <si>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</si>
  <si>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</si>
  <si>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</si>
  <si>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</si>
  <si>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</si>
  <si>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</si>
  <si>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</si>
  <si>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</si>
  <si>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</si>
  <si>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</si>
  <si>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</si>
  <si>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</si>
  <si>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</si>
  <si>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</si>
  <si>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</si>
  <si>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</si>
  <si>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</si>
  <si>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</si>
  <si>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</si>
  <si>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</si>
  <si>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</si>
  <si>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</si>
  <si>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</si>
  <si>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</si>
  <si>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</si>
  <si>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</si>
  <si>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</si>
  <si>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</si>
  <si>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</si>
  <si>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</si>
  <si>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</si>
  <si>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</si>
  <si>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</si>
  <si>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</si>
  <si>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</si>
  <si>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</si>
  <si>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</si>
  <si>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</si>
  <si>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</si>
  <si>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</si>
  <si>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</si>
  <si>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</si>
  <si>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</si>
  <si>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</si>
  <si>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</si>
  <si>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</si>
  <si>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</si>
  <si>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</si>
  <si>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</si>
  <si>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</si>
  <si>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</si>
  <si>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</si>
  <si>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</si>
  <si>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</si>
  <si>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</si>
  <si>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</si>
  <si>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</si>
  <si>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</si>
  <si>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</si>
  <si>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</si>
  <si>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</si>
  <si>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</si>
  <si>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</si>
  <si>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</si>
  <si>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</si>
  <si>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</si>
  <si>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</si>
  <si>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</si>
  <si>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</si>
  <si>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</si>
  <si>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</si>
  <si>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</si>
  <si>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</si>
  <si>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</si>
  <si>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</si>
  <si>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</si>
  <si>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</si>
  <si>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</si>
  <si>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</si>
  <si>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</si>
  <si>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</si>
  <si>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</si>
  <si>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</si>
  <si>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</si>
  <si>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</si>
  <si>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</si>
  <si>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</si>
  <si>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</si>
  <si>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</si>
  <si>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</si>
  <si>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</si>
  <si>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</si>
  <si>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</si>
  <si>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</si>
  <si>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</si>
  <si>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</si>
  <si>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</si>
  <si>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</si>
  <si>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</si>
  <si>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</si>
  <si>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</si>
  <si>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</si>
  <si>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</si>
  <si>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</si>
  <si>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</si>
  <si>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</si>
  <si>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</si>
  <si>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</si>
  <si>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</si>
  <si>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</si>
  <si>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</si>
  <si>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</si>
  <si>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</si>
  <si>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</si>
  <si>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</si>
  <si>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</si>
  <si>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</si>
  <si>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</si>
  <si>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</si>
  <si>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</si>
  <si>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</si>
  <si>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</si>
  <si>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</si>
  <si>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</si>
  <si>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</si>
  <si>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</si>
  <si>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</si>
  <si>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</si>
  <si>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</si>
  <si>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</si>
  <si>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</si>
  <si>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</si>
  <si>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</si>
  <si>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</si>
  <si>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</si>
  <si>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</si>
  <si>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</si>
  <si>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</si>
  <si>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</si>
  <si>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</si>
  <si>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</si>
  <si>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</si>
  <si>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</si>
  <si>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</si>
  <si>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</si>
  <si>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</si>
  <si>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</si>
  <si>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</si>
  <si>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</si>
  <si>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</si>
  <si>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</si>
  <si>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</si>
  <si>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</si>
  <si>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</si>
  <si>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</si>
  <si>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</si>
  <si>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</si>
  <si>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</si>
  <si>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</si>
  <si>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</si>
  <si>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</si>
  <si>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</si>
  <si>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</si>
  <si>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</si>
  <si>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</si>
  <si>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</si>
  <si>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</si>
  <si>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</si>
  <si>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</si>
  <si>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</si>
  <si>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</si>
  <si>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</si>
  <si>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</si>
  <si>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</si>
  <si>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</si>
  <si>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</si>
  <si>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</si>
  <si>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</si>
  <si>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</si>
  <si>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</si>
  <si>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</si>
  <si>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</si>
  <si>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</si>
  <si>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</si>
  <si>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</si>
  <si>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</si>
  <si>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</si>
  <si>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</si>
  <si>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</si>
  <si>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</si>
  <si>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</si>
  <si>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</si>
  <si>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</si>
  <si>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</si>
  <si>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</si>
  <si>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</si>
  <si>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</si>
  <si>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</si>
  <si>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</si>
  <si>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</si>
  <si>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</si>
  <si>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</si>
  <si>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</si>
  <si>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</si>
  <si>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</si>
  <si>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</si>
  <si>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</si>
  <si>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</si>
  <si>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</si>
  <si>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</si>
  <si>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</si>
  <si>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</si>
  <si>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</si>
  <si>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</si>
  <si>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</si>
  <si>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</si>
  <si>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</si>
  <si>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</si>
  <si>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</si>
  <si>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</si>
  <si>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</si>
  <si>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</si>
  <si>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</si>
  <si>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</si>
  <si>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</si>
  <si>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</si>
  <si>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</si>
  <si>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</si>
  <si>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</si>
  <si>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</si>
  <si>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</si>
  <si>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</si>
  <si>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</si>
  <si>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</si>
  <si>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</si>
  <si>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</si>
  <si>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</si>
  <si>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</si>
  <si>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</si>
  <si>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</si>
  <si>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</si>
  <si>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</si>
  <si>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</si>
  <si>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</si>
  <si>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</si>
  <si>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</si>
  <si>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</si>
  <si>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</si>
  <si>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</si>
  <si>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</si>
  <si>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</si>
  <si>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</si>
  <si>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</si>
  <si>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</si>
  <si>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</si>
  <si>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</si>
  <si>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</si>
  <si>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</si>
  <si>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</si>
  <si>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</si>
  <si>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</si>
  <si>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</si>
  <si>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</si>
  <si>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</si>
  <si>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</si>
  <si>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</si>
  <si>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</si>
  <si>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</si>
  <si>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</si>
  <si>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</si>
  <si>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</si>
  <si>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</si>
  <si>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</si>
  <si>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</si>
  <si>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</si>
  <si>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</si>
  <si>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</si>
  <si>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</si>
  <si>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</si>
  <si>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</si>
  <si>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</si>
  <si>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</si>
  <si>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</si>
  <si>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</si>
  <si>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</si>
  <si>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</si>
  <si>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</si>
  <si>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</si>
  <si>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</si>
  <si>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</si>
  <si>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</si>
  <si>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</si>
  <si>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</si>
  <si>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</si>
  <si>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</si>
  <si>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</si>
  <si>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</si>
  <si>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</si>
  <si>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</si>
  <si>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</si>
  <si>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</si>
  <si>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</si>
  <si>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</si>
  <si>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</si>
  <si>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</si>
  <si>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</si>
  <si>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</si>
  <si>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</si>
  <si>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</si>
  <si>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</si>
  <si>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</si>
  <si>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</si>
  <si>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</si>
  <si>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</si>
  <si>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</si>
  <si>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</si>
  <si>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</si>
  <si>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</si>
  <si>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</si>
  <si>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</si>
  <si>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</si>
  <si>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</si>
  <si>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</si>
  <si>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</si>
  <si>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</si>
  <si>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</si>
  <si>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</si>
  <si>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</si>
  <si>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</si>
  <si>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</si>
  <si>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</si>
  <si>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</si>
  <si>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</si>
  <si>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</si>
  <si>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</si>
  <si>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</si>
  <si>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</si>
  <si>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</si>
  <si>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</si>
  <si>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</si>
  <si>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</si>
  <si>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</si>
  <si>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</si>
  <si>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</si>
  <si>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</si>
  <si>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</si>
  <si>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</si>
  <si>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</si>
  <si>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</si>
  <si>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</si>
  <si>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</si>
  <si>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</si>
  <si>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</si>
  <si>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</si>
  <si>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</si>
  <si>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</si>
  <si>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</si>
  <si>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</si>
  <si>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</si>
  <si>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</si>
  <si>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</si>
  <si>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</si>
  <si>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</si>
  <si>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</si>
  <si>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</si>
  <si>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</si>
  <si>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</si>
  <si>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</si>
  <si>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</si>
  <si>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</si>
  <si>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</si>
  <si>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</si>
  <si>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</si>
  <si>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</si>
  <si>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</si>
  <si>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</si>
  <si>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</si>
  <si>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</si>
  <si>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</si>
  <si>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</si>
  <si>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</si>
  <si>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</si>
  <si>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</si>
  <si>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</si>
  <si>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</si>
  <si>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</si>
  <si>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</si>
  <si>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</si>
  <si>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</si>
  <si>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</si>
  <si>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</si>
  <si>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</si>
  <si>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</si>
  <si>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</si>
  <si>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</si>
  <si>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</si>
  <si>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</si>
  <si>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</si>
  <si>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</si>
  <si>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</si>
  <si>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</si>
  <si>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</si>
  <si>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</si>
  <si>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</si>
  <si>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</si>
  <si>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</si>
  <si>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</si>
  <si>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</si>
  <si>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</si>
  <si>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</si>
  <si>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</si>
  <si>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</si>
  <si>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</si>
  <si>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</si>
  <si>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</si>
  <si>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</si>
  <si>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</si>
  <si>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</si>
  <si>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</si>
  <si>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</si>
  <si>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</si>
  <si>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</si>
  <si>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</si>
  <si>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</si>
  <si>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</si>
  <si>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</si>
  <si>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</si>
  <si>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</si>
  <si>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</si>
  <si>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</si>
  <si>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</si>
  <si>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</si>
  <si>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</si>
  <si>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</si>
  <si>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</si>
  <si>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</si>
  <si>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</si>
  <si>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</si>
  <si>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</si>
  <si>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</si>
  <si>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</si>
  <si>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</si>
  <si>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</si>
  <si>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</si>
  <si>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</si>
  <si>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</si>
  <si>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</si>
  <si>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</si>
  <si>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</si>
  <si>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</si>
  <si>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</si>
  <si>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</si>
  <si>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</si>
  <si>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</si>
  <si>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</si>
  <si>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</si>
  <si>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</si>
  <si>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</si>
  <si>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</si>
  <si>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</si>
  <si>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</si>
  <si>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</si>
  <si>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</si>
  <si>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</si>
  <si>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</si>
  <si>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</si>
  <si>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</si>
  <si>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</si>
  <si>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</si>
  <si>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</si>
  <si>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</si>
  <si>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</si>
  <si>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</si>
  <si>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</si>
  <si>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</si>
  <si>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</si>
  <si>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</si>
  <si>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</si>
  <si>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</si>
  <si>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</si>
  <si>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</si>
  <si>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</si>
  <si>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</si>
  <si>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</si>
  <si>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</si>
  <si>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</si>
  <si>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</si>
  <si>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</si>
  <si>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</si>
  <si>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</si>
  <si>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</si>
  <si>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</si>
  <si>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</si>
  <si>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</si>
  <si>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</si>
  <si>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</si>
  <si>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</si>
  <si>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</si>
  <si>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</si>
  <si>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</si>
  <si>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</si>
  <si>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</si>
  <si>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</si>
  <si>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</si>
  <si>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</si>
  <si>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</si>
  <si>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</si>
  <si>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</si>
  <si>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</si>
  <si>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</si>
  <si>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</si>
  <si>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</si>
  <si>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</si>
  <si>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</si>
  <si>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</si>
  <si>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</si>
  <si>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</si>
  <si>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</si>
  <si>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</si>
  <si>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</si>
  <si>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</si>
  <si>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</si>
  <si>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</si>
  <si>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</si>
  <si>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</si>
  <si>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</si>
  <si>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</si>
  <si>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</si>
  <si>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</si>
  <si>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</si>
  <si>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</si>
  <si>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</si>
  <si>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</si>
  <si>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</si>
  <si>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</si>
  <si>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</si>
  <si>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</si>
  <si>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</si>
  <si>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</si>
  <si>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</si>
  <si>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</si>
  <si>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</si>
  <si>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</si>
  <si>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</si>
  <si>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</si>
  <si>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</si>
  <si>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</si>
  <si>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</si>
  <si>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</si>
  <si>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</si>
  <si>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</si>
  <si>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</si>
  <si>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</si>
  <si>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</si>
  <si>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</si>
  <si>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</si>
  <si>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</si>
  <si>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</si>
  <si>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</si>
  <si>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</si>
  <si>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</si>
  <si>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</si>
  <si>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</si>
  <si>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</si>
  <si>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</si>
  <si>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</si>
  <si>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</si>
  <si>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</si>
  <si>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</si>
  <si>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</si>
  <si>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</si>
  <si>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</si>
  <si>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</si>
  <si>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</si>
  <si>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</si>
  <si>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</si>
  <si>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</si>
  <si>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</si>
  <si>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</si>
  <si>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</si>
  <si>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</si>
  <si>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</si>
  <si>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</si>
  <si>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</si>
  <si>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</si>
  <si>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</si>
  <si>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</si>
  <si>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</si>
  <si>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</si>
  <si>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</si>
  <si>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</si>
  <si>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</si>
  <si>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</si>
  <si>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</si>
  <si>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</si>
  <si>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</si>
  <si>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</si>
  <si>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</si>
  <si>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</si>
  <si>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</si>
  <si>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</si>
  <si>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</si>
  <si>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</si>
  <si>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</si>
  <si>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</si>
  <si>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</si>
  <si>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</si>
  <si>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</si>
  <si>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</si>
  <si>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</si>
  <si>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</si>
  <si>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</si>
  <si>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</si>
  <si>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</si>
  <si>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</si>
  <si>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</si>
  <si>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</si>
  <si>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</si>
  <si>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</si>
  <si>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</si>
  <si>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</si>
  <si>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</si>
  <si>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</si>
  <si>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</si>
  <si>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</si>
  <si>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</si>
  <si>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</si>
  <si>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</si>
  <si>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</si>
  <si>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</si>
  <si>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</si>
  <si>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</si>
  <si>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</si>
  <si>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</si>
  <si>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</si>
  <si>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</si>
  <si>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</si>
  <si>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</si>
  <si>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</si>
  <si>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</si>
  <si>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</si>
  <si>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</si>
  <si>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</si>
  <si>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</si>
  <si>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</si>
  <si>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</si>
  <si>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</si>
  <si>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</si>
  <si>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</si>
  <si>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</si>
  <si>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</si>
  <si>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</si>
  <si>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</si>
  <si>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</si>
  <si>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</si>
  <si>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</si>
  <si>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</si>
  <si>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</si>
  <si>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</si>
  <si>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</si>
  <si>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</si>
  <si>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</si>
  <si>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</si>
  <si>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</si>
  <si>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</si>
  <si>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</si>
  <si>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</si>
  <si>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</si>
  <si>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</si>
  <si>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</si>
  <si>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</si>
  <si>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</si>
  <si>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</si>
  <si>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</si>
  <si>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</si>
  <si>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</si>
  <si>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</si>
  <si>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</si>
  <si>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</si>
  <si>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</si>
  <si>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</si>
  <si>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</si>
  <si>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</si>
  <si>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</si>
  <si>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</si>
  <si>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</si>
  <si>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</si>
  <si>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</si>
  <si>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</si>
  <si>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</si>
  <si>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</si>
  <si>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</si>
  <si>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</si>
  <si>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</si>
  <si>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</si>
  <si>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</si>
  <si>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</si>
  <si>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</si>
  <si>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</si>
  <si>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</si>
  <si>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</si>
  <si>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</si>
  <si>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</si>
  <si>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</si>
  <si>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</si>
  <si>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</si>
  <si>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</si>
  <si>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</si>
  <si>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</si>
  <si>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</si>
  <si>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</si>
  <si>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</si>
  <si>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</si>
  <si>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</si>
  <si>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</si>
  <si>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</si>
  <si>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</si>
  <si>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</si>
  <si>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</si>
  <si>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</si>
  <si>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</si>
  <si>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</si>
  <si>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</si>
  <si>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</si>
  <si>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</si>
  <si>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</si>
  <si>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</si>
  <si>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</si>
  <si>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</si>
  <si>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</si>
  <si>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</si>
  <si>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</si>
  <si>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</si>
  <si>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</si>
  <si>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</si>
  <si>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</si>
  <si>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</si>
  <si>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</si>
  <si>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</si>
  <si>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</si>
  <si>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</si>
  <si>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</si>
  <si>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</si>
  <si>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</si>
  <si>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</si>
  <si>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</si>
  <si>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</si>
  <si>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</si>
  <si>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</si>
  <si>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</si>
  <si>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</si>
  <si>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</si>
  <si>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</si>
  <si>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</si>
  <si>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</si>
  <si>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</si>
  <si>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</si>
  <si>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</si>
  <si>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</si>
  <si>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</si>
  <si>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</si>
  <si>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</si>
  <si>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</si>
  <si>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</si>
  <si>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</si>
  <si>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</si>
  <si>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</si>
  <si>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</si>
  <si>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</si>
  <si>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</si>
  <si>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</si>
  <si>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</si>
  <si>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</si>
  <si>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</si>
  <si>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</si>
  <si>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</si>
  <si>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</si>
  <si>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</si>
  <si>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</si>
  <si>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</si>
  <si>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</si>
  <si>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</si>
  <si>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</si>
  <si>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</si>
  <si>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</si>
  <si>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</si>
  <si>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</si>
  <si>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</si>
  <si>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</si>
  <si>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</si>
  <si>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</si>
  <si>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</si>
  <si>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</si>
  <si>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</si>
  <si>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</si>
  <si>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</si>
  <si>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</si>
  <si>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</si>
  <si>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</si>
  <si>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</si>
  <si>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</si>
  <si>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</si>
  <si>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</si>
  <si>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</si>
  <si>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</si>
  <si>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</si>
  <si>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</si>
  <si>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</si>
  <si>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</si>
  <si>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</si>
  <si>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</si>
  <si>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</si>
  <si>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</si>
  <si>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</si>
  <si>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</si>
  <si>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</si>
  <si>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</si>
  <si>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</si>
  <si>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</si>
  <si>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</si>
  <si>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</si>
  <si>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</si>
  <si>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</si>
  <si>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</si>
  <si>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</si>
  <si>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</si>
  <si>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</si>
  <si>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</si>
  <si>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</si>
  <si>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</si>
  <si>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</si>
  <si>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</si>
  <si>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</si>
  <si>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</si>
  <si>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</si>
  <si>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</si>
  <si>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</si>
  <si>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</si>
  <si>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</si>
  <si>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</si>
  <si>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</si>
  <si>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</si>
  <si>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</si>
  <si>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</si>
  <si>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</si>
  <si>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</si>
  <si>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</si>
  <si>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</si>
  <si>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</si>
  <si>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</si>
  <si>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</si>
  <si>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</si>
  <si>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</si>
  <si>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</si>
  <si>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</si>
  <si>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</si>
  <si>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</si>
  <si>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</si>
  <si>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</si>
  <si>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</si>
  <si>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</si>
  <si>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</si>
  <si>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</si>
  <si>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</si>
  <si>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</si>
  <si>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</si>
  <si>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</si>
  <si>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</si>
  <si>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</si>
  <si>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</si>
  <si>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</si>
  <si>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</si>
  <si>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</si>
  <si>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</si>
  <si>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</si>
  <si>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</si>
  <si>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</si>
  <si>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</si>
  <si>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</si>
  <si>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</si>
  <si>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</si>
  <si>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</si>
  <si>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</si>
  <si>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</si>
  <si>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</si>
  <si>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</si>
  <si>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</si>
  <si>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</si>
  <si>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</si>
  <si>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</si>
  <si>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</si>
  <si>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</si>
  <si>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</si>
  <si>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</si>
  <si>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</si>
  <si>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</si>
  <si>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</si>
  <si>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</si>
  <si>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</si>
  <si>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</si>
  <si>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</si>
  <si>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</si>
  <si>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</si>
  <si>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</si>
  <si>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</si>
  <si>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</si>
  <si>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</si>
  <si>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</si>
  <si>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</si>
  <si>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</si>
  <si>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</si>
  <si>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</si>
  <si>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</si>
  <si>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</si>
  <si>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</si>
  <si>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</si>
  <si>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</si>
  <si>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</si>
  <si>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</si>
  <si>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</si>
  <si>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</si>
  <si>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</si>
  <si>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</si>
  <si>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</si>
  <si>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</si>
  <si>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</si>
  <si>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</si>
  <si>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</si>
  <si>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</si>
  <si>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</si>
  <si>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</si>
  <si>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</si>
  <si>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</si>
  <si>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</si>
  <si>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</si>
  <si>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</si>
  <si>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</si>
  <si>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</si>
  <si>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</si>
  <si>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</si>
  <si>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</si>
  <si>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</si>
  <si>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</si>
  <si>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</si>
  <si>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</si>
  <si>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</si>
  <si>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</si>
  <si>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</si>
  <si>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</si>
  <si>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</si>
  <si>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</si>
  <si>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</si>
  <si>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</si>
  <si>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</si>
  <si>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</si>
  <si>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</si>
  <si>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</si>
  <si>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</si>
  <si>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</si>
  <si>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</si>
  <si>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</si>
  <si>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</si>
  <si>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</si>
  <si>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</si>
  <si>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</si>
  <si>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</si>
  <si>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</si>
  <si>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</si>
  <si>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</si>
  <si>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</si>
  <si>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</si>
  <si>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</si>
  <si>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</si>
  <si>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</si>
  <si>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</si>
  <si>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</si>
  <si>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</si>
  <si>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</si>
  <si>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</si>
  <si>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</si>
  <si>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</si>
  <si>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</si>
  <si>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</si>
  <si>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</si>
  <si>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</si>
  <si>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</si>
  <si>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</si>
  <si>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</si>
  <si>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</si>
  <si>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</si>
  <si>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</si>
  <si>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</si>
  <si>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</si>
  <si>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</si>
  <si>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</si>
  <si>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</si>
  <si>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</si>
  <si>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</si>
  <si>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</si>
  <si>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</si>
  <si>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</si>
  <si>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</si>
  <si>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</si>
  <si>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</si>
  <si>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</si>
  <si>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</si>
  <si>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</si>
  <si>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</si>
  <si>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</si>
  <si>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</si>
  <si>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</si>
  <si>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</si>
  <si>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</si>
  <si>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</si>
  <si>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</si>
  <si>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</si>
  <si>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</si>
  <si>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</si>
  <si>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</si>
  <si>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</si>
  <si>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</si>
  <si>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</si>
  <si>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</si>
  <si>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</si>
  <si>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</si>
  <si>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</si>
  <si>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</si>
  <si>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</si>
  <si>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</si>
  <si>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</si>
  <si>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</si>
  <si>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</si>
  <si>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</si>
  <si>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</si>
  <si>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</si>
  <si>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</si>
  <si>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</si>
  <si>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</si>
  <si>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</si>
  <si>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</si>
  <si>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</si>
  <si>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</si>
  <si>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</si>
  <si>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</si>
  <si>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</si>
  <si>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</si>
  <si>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</si>
  <si>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</si>
  <si>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</si>
  <si>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</si>
  <si>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</si>
  <si>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</si>
  <si>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</si>
  <si>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</si>
  <si>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</si>
  <si>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</si>
  <si>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</si>
  <si>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</si>
  <si>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</si>
  <si>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</si>
  <si>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</si>
  <si>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</si>
  <si>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</si>
  <si>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</si>
  <si>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</si>
  <si>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</si>
  <si>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</si>
  <si>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</si>
  <si>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</si>
  <si>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</si>
  <si>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</si>
  <si>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</si>
  <si>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</si>
  <si>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</si>
  <si>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</si>
  <si>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</si>
  <si>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</si>
  <si>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</si>
  <si>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</si>
  <si>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</si>
  <si>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</si>
  <si>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</si>
  <si>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</si>
  <si>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</si>
  <si>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</si>
  <si>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</si>
  <si>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</si>
  <si>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</si>
  <si>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</si>
  <si>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</si>
  <si>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</si>
  <si>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</si>
  <si>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</si>
  <si>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</si>
  <si>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</si>
  <si>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</si>
  <si>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</si>
  <si>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</si>
  <si>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</si>
  <si>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</si>
  <si>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</si>
  <si>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</si>
  <si>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</si>
  <si>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</si>
  <si>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</si>
  <si>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</si>
  <si>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</si>
  <si>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</si>
  <si>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</si>
  <si>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</si>
  <si>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</si>
  <si>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</si>
  <si>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</si>
  <si>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</si>
  <si>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</si>
  <si>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</si>
  <si>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</si>
  <si>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</si>
  <si>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</si>
  <si>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</si>
  <si>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</si>
  <si>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</si>
  <si>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</si>
  <si>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</si>
  <si>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</si>
  <si>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</si>
  <si>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</si>
  <si>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</si>
  <si>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</si>
  <si>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</si>
  <si>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</si>
  <si>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</si>
  <si>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</si>
  <si>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</si>
  <si>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</si>
  <si>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</si>
  <si>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</si>
  <si>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</si>
  <si>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</si>
  <si>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</si>
  <si>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</si>
  <si>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</si>
  <si>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</si>
  <si>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</si>
  <si>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</si>
  <si>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</si>
  <si>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</si>
  <si>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</si>
  <si>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</si>
  <si>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</si>
  <si>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</si>
  <si>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</si>
  <si>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</si>
  <si>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</si>
  <si>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</si>
  <si>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</si>
  <si>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</si>
  <si>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</si>
  <si>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</si>
  <si>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</si>
  <si>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</si>
  <si>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</si>
  <si>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</si>
  <si>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</si>
  <si>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</si>
  <si>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</si>
  <si>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</si>
  <si>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</si>
  <si>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</si>
  <si>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</si>
  <si>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</si>
  <si>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</si>
  <si>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</si>
  <si>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</si>
  <si>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</si>
  <si>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</si>
  <si>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</si>
  <si>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</si>
  <si>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</si>
  <si>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</si>
  <si>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</si>
  <si>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</si>
  <si>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</si>
  <si>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</si>
  <si>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</si>
  <si>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</si>
  <si>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</si>
  <si>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</si>
  <si>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</si>
  <si>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</si>
  <si>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</si>
  <si>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</si>
  <si>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</si>
  <si>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</si>
  <si>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</si>
  <si>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</si>
  <si>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</si>
  <si>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</si>
  <si>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</si>
  <si>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</si>
  <si>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</si>
  <si>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</si>
  <si>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</si>
  <si>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</si>
  <si>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</si>
  <si>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</si>
  <si>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</si>
  <si>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</si>
  <si>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</si>
  <si>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</si>
  <si>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</si>
  <si>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</si>
  <si>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</si>
  <si>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</si>
  <si>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</si>
  <si>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</si>
  <si>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</si>
  <si>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</si>
  <si>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</si>
  <si>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</si>
  <si>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</si>
  <si>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</si>
  <si>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</si>
  <si>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</si>
  <si>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</si>
  <si>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</si>
  <si>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</si>
  <si>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</si>
  <si>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</si>
  <si>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</si>
  <si>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</si>
  <si>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</si>
  <si>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</si>
  <si>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</si>
  <si>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</si>
  <si>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</si>
  <si>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</si>
  <si>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</si>
  <si>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</si>
  <si>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</si>
  <si>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</si>
  <si>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</si>
  <si>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</si>
  <si>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</si>
  <si>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</si>
  <si>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</si>
  <si>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</si>
  <si>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</si>
  <si>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</si>
  <si>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</si>
  <si>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</si>
  <si>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</si>
  <si>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</si>
  <si>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</si>
  <si>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</si>
  <si>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</si>
  <si>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</si>
  <si>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</si>
  <si>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</si>
  <si>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</si>
  <si>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</si>
  <si>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</si>
  <si>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</si>
  <si>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</si>
  <si>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</si>
  <si>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</si>
  <si>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</si>
  <si>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</si>
  <si>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</si>
  <si>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</si>
  <si>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</si>
  <si>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</si>
  <si>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</si>
  <si>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</si>
  <si>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</si>
  <si>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</si>
  <si>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</si>
  <si>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</si>
  <si>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</si>
  <si>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</si>
  <si>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</si>
  <si>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</si>
  <si>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</si>
  <si>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</si>
  <si>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</si>
  <si>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</si>
  <si>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</si>
  <si>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</si>
  <si>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</si>
  <si>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</si>
  <si>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</si>
  <si>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</si>
  <si>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</si>
  <si>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</si>
  <si>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</si>
  <si>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</si>
  <si>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</si>
  <si>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</si>
  <si>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</si>
  <si>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</si>
  <si>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</si>
  <si>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</si>
  <si>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</si>
  <si>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</si>
  <si>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</si>
  <si>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</si>
  <si>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</si>
  <si>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</si>
  <si>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</si>
  <si>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</si>
  <si>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</si>
  <si>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</si>
  <si>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</si>
  <si>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</si>
  <si>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</si>
  <si>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</si>
  <si>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</si>
  <si>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</si>
  <si>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</si>
  <si>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</si>
  <si>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</si>
  <si>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</si>
  <si>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</si>
  <si>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</si>
  <si>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</si>
  <si>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</si>
  <si>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</si>
  <si>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</si>
  <si>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</si>
  <si>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</si>
  <si>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</si>
  <si>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</si>
  <si>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</si>
  <si>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</si>
  <si>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</si>
  <si>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</si>
  <si>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</si>
  <si>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</si>
  <si>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</si>
  <si>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</si>
  <si>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</si>
  <si>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</si>
  <si>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</si>
  <si>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</si>
  <si>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</si>
  <si>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</si>
  <si>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</si>
  <si>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</si>
  <si>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</si>
  <si>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</si>
  <si>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</si>
  <si>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</si>
  <si>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</si>
  <si>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</si>
  <si>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</si>
  <si>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</si>
  <si>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</si>
  <si>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</si>
  <si>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</si>
  <si>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</si>
  <si>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</si>
  <si>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</si>
  <si>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</si>
  <si>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</si>
  <si>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</si>
  <si>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</si>
  <si>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</si>
  <si>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</si>
  <si>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</si>
  <si>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</si>
  <si>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</si>
  <si>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</si>
  <si>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</si>
  <si>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</si>
  <si>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</si>
  <si>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</si>
  <si>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</si>
  <si>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</si>
  <si>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</si>
  <si>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</si>
  <si>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</si>
  <si>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</si>
  <si>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</si>
  <si>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</si>
  <si>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</si>
  <si>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</si>
  <si>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</si>
  <si>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</si>
  <si>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</si>
  <si>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</si>
  <si>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</si>
  <si>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</si>
  <si>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</si>
  <si>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</si>
  <si>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</si>
  <si>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</si>
  <si>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</si>
  <si>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</si>
  <si>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</si>
  <si>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</si>
  <si>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</si>
  <si>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</si>
  <si>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</si>
  <si>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</si>
  <si>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</si>
  <si>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</si>
  <si>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</si>
  <si>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</si>
  <si>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</si>
  <si>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</si>
  <si>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</si>
  <si>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</si>
  <si>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</si>
  <si>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</si>
  <si>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</si>
  <si>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</si>
  <si>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</si>
  <si>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</si>
  <si>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</si>
  <si>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</si>
  <si>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</si>
  <si>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</si>
  <si>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</si>
  <si>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</si>
  <si>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</si>
  <si>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</si>
  <si>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</si>
  <si>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</si>
  <si>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</si>
  <si>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</si>
  <si>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</si>
  <si>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</si>
  <si>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</si>
  <si>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</si>
  <si>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</si>
  <si>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</si>
  <si>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</si>
  <si>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</si>
  <si>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</si>
  <si>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</si>
  <si>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</si>
  <si>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</si>
  <si>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</si>
  <si>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</si>
  <si>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</si>
  <si>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</si>
  <si>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</si>
  <si>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</si>
  <si>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</si>
  <si>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</si>
  <si>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</si>
  <si>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</si>
  <si>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</si>
  <si>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</si>
  <si>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</si>
  <si>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</si>
  <si>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</si>
  <si>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</si>
  <si>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</si>
  <si>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</si>
  <si>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</si>
  <si>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</si>
  <si>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</si>
  <si>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</si>
  <si>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</si>
  <si>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</si>
  <si>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</si>
  <si>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</si>
  <si>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</si>
  <si>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</si>
  <si>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</si>
  <si>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</si>
  <si>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</si>
  <si>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</si>
  <si>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</si>
  <si>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</si>
  <si>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</si>
  <si>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</si>
  <si>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</si>
  <si>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</si>
  <si>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</si>
  <si>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</si>
  <si>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</si>
  <si>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</si>
  <si>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</si>
  <si>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</si>
  <si>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</si>
  <si>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</si>
  <si>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</si>
  <si>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</si>
  <si>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</si>
  <si>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</si>
  <si>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</si>
  <si>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</si>
  <si>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</si>
  <si>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</si>
  <si>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</si>
  <si>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</si>
  <si>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</si>
  <si>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</si>
  <si>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</si>
  <si>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</si>
  <si>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</si>
  <si>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</si>
  <si>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</si>
  <si>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</si>
  <si>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</si>
  <si>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</si>
  <si>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</si>
  <si>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</si>
  <si>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</si>
  <si>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</si>
  <si>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</si>
  <si>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</si>
  <si>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</si>
  <si>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</si>
  <si>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</si>
  <si>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</si>
  <si>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</si>
  <si>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</si>
  <si>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</si>
  <si>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</si>
  <si>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</si>
  <si>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</si>
  <si>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</si>
  <si>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</si>
  <si>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</si>
  <si>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</si>
  <si>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</si>
  <si>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</si>
  <si>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</si>
  <si>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</si>
  <si>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</si>
  <si>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</si>
  <si>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</si>
  <si>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</si>
  <si>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</si>
  <si>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</si>
  <si>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</si>
  <si>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</si>
  <si>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</si>
  <si>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</si>
  <si>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</si>
  <si>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</si>
  <si>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</si>
  <si>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</si>
  <si>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</si>
  <si>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</si>
  <si>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</si>
  <si>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</si>
  <si>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</si>
  <si>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</si>
  <si>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</si>
  <si>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</si>
  <si>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</si>
  <si>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</si>
  <si>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</si>
  <si>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</si>
  <si>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</si>
  <si>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</si>
  <si>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</si>
  <si>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</si>
  <si>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</si>
  <si>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</si>
  <si>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</si>
  <si>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</si>
  <si>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</si>
  <si>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</si>
  <si>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</si>
  <si>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</si>
  <si>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</si>
  <si>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</si>
  <si>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</si>
  <si>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</si>
  <si>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</si>
  <si>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</si>
  <si>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</si>
  <si>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</si>
  <si>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</si>
  <si>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</si>
  <si>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</si>
  <si>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</si>
  <si>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</si>
  <si>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</si>
  <si>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</si>
  <si>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</si>
  <si>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</si>
  <si>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</si>
  <si>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</si>
  <si>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</si>
  <si>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</si>
  <si>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</si>
  <si>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</si>
  <si>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</si>
  <si>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</si>
  <si>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</si>
  <si>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</si>
  <si>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</si>
  <si>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</si>
  <si>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</si>
  <si>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</si>
  <si>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</si>
  <si>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</si>
  <si>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</si>
  <si>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</si>
  <si>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</si>
  <si>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</si>
  <si>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</si>
  <si>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</si>
  <si>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</si>
  <si>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</si>
  <si>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</si>
  <si>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</si>
  <si>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</si>
  <si>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</si>
  <si>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</si>
  <si>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</si>
  <si>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</si>
  <si>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</si>
  <si>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</si>
  <si>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</si>
  <si>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</si>
  <si>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</si>
  <si>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</si>
  <si>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</si>
  <si>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</si>
  <si>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</si>
  <si>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</si>
  <si>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</si>
  <si>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</si>
  <si>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</si>
  <si>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</si>
  <si>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</si>
  <si>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</si>
  <si>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</si>
  <si>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</si>
  <si>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</si>
  <si>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</si>
  <si>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</si>
  <si>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</si>
  <si>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</si>
  <si>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</si>
  <si>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</si>
  <si>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</si>
  <si>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</si>
  <si>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</si>
  <si>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</si>
  <si>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</si>
  <si>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</si>
  <si>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</si>
  <si>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</si>
  <si>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</si>
  <si>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</si>
  <si>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</si>
  <si>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</si>
  <si>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</si>
  <si>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</si>
  <si>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</si>
  <si>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</si>
  <si>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</si>
  <si>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</si>
  <si>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</si>
  <si>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</si>
  <si>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</si>
  <si>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</si>
  <si>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</si>
  <si>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</si>
  <si>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</si>
  <si>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</si>
  <si>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</si>
  <si>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</si>
  <si>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</si>
  <si>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</si>
  <si>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</si>
  <si>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</si>
  <si>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</si>
  <si>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</si>
  <si>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</si>
  <si>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</si>
  <si>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</si>
  <si>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</si>
  <si>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</si>
  <si>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</si>
  <si>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</si>
  <si>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</si>
  <si>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</si>
  <si>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</si>
  <si>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</si>
  <si>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</si>
  <si>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</si>
  <si>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</si>
  <si>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</si>
  <si>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</si>
  <si>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</si>
  <si>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</si>
  <si>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</si>
  <si>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</si>
  <si>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</si>
  <si>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</si>
  <si>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</si>
  <si>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</si>
  <si>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</si>
  <si>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</si>
  <si>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</si>
  <si>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</si>
  <si>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</si>
  <si>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</si>
  <si>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</si>
  <si>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</si>
  <si>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</si>
  <si>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</si>
  <si>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</si>
  <si>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</si>
  <si>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</si>
  <si>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</si>
  <si>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</si>
  <si>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</si>
  <si>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</si>
  <si>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</si>
  <si>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</si>
  <si>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</si>
  <si>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</si>
  <si>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</si>
  <si>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</si>
  <si>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</si>
  <si>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</si>
  <si>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</si>
  <si>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</si>
  <si>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</si>
  <si>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</si>
  <si>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</si>
  <si>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</si>
  <si>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</si>
  <si>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</si>
  <si>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</si>
  <si>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</si>
  <si>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</si>
  <si>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</si>
  <si>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</si>
  <si>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</si>
  <si>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</si>
  <si>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</si>
  <si>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</si>
  <si>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</si>
  <si>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</si>
  <si>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</si>
  <si>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</si>
  <si>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</si>
  <si>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</si>
  <si>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</si>
  <si>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</si>
  <si>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</si>
  <si>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</si>
  <si>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</si>
  <si>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</si>
  <si>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</si>
  <si>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</si>
  <si>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</si>
  <si>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</si>
  <si>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</si>
  <si>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</si>
  <si>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</si>
  <si>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</si>
  <si>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</si>
  <si>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</si>
  <si>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</si>
  <si>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</si>
  <si>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</si>
  <si>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</si>
  <si>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</si>
  <si>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</si>
  <si>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</si>
  <si>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</si>
  <si>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</si>
  <si>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</si>
  <si>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</si>
  <si>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</si>
  <si>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</si>
  <si>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</si>
  <si>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</si>
  <si>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</si>
  <si>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</si>
  <si>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</si>
  <si>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</si>
  <si>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</si>
  <si>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</si>
  <si>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</si>
  <si>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</si>
  <si>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</si>
  <si>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</si>
  <si>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</si>
  <si>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</si>
  <si>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</si>
  <si>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</si>
  <si>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</si>
  <si>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</si>
  <si>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</si>
  <si>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</si>
  <si>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</si>
  <si>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</si>
  <si>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</si>
  <si>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</si>
  <si>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</si>
  <si>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</si>
  <si>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</si>
  <si>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</si>
  <si>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</si>
  <si>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</si>
  <si>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</si>
  <si>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</si>
  <si>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</si>
  <si>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</si>
  <si>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</si>
  <si>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</si>
  <si>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</si>
  <si>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</si>
  <si>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</si>
  <si>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</si>
  <si>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</si>
  <si>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</si>
  <si>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</si>
  <si>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</si>
  <si>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</si>
  <si>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</si>
  <si>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</si>
  <si>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</si>
  <si>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</si>
  <si>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</si>
  <si>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</si>
  <si>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</si>
  <si>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</si>
  <si>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</si>
  <si>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</si>
  <si>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</si>
  <si>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</si>
  <si>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</si>
  <si>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</si>
  <si>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</si>
  <si>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</si>
  <si>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</si>
  <si>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</si>
  <si>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</si>
  <si>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</si>
  <si>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</si>
  <si>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</si>
  <si>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</si>
  <si>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</si>
  <si>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</si>
  <si>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</si>
  <si>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</si>
  <si>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</si>
  <si>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</si>
  <si>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</si>
  <si>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</si>
  <si>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</si>
  <si>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</si>
  <si>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</si>
  <si>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</si>
  <si>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</si>
  <si>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</si>
  <si>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</si>
  <si>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</si>
  <si>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</si>
  <si>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</si>
  <si>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</si>
  <si>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</si>
  <si>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</si>
  <si>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</si>
  <si>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</si>
  <si>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</si>
  <si>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</si>
  <si>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</si>
  <si>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</si>
  <si>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</si>
  <si>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</si>
  <si>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</si>
  <si>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</si>
  <si>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</si>
  <si>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</si>
  <si>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</si>
  <si>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</si>
  <si>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</si>
  <si>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</si>
  <si>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</si>
  <si>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</si>
  <si>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</si>
  <si>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</si>
  <si>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</si>
  <si>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</si>
  <si>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</si>
  <si>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</si>
  <si>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</si>
  <si>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</si>
  <si>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</si>
  <si>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</si>
  <si>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</si>
  <si>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</si>
  <si>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</si>
  <si>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</si>
  <si>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</si>
  <si>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</si>
  <si>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</si>
  <si>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</si>
  <si>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</si>
  <si>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</si>
  <si>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</si>
  <si>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</si>
  <si>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</si>
  <si>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</si>
  <si>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</si>
  <si>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</si>
  <si>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</si>
  <si>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</si>
  <si>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</si>
  <si>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</si>
  <si>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</si>
  <si>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</si>
  <si>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</si>
  <si>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</si>
  <si>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</si>
  <si>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</si>
  <si>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</si>
  <si>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</si>
  <si>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</si>
  <si>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</si>
  <si>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</si>
  <si>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</si>
  <si>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</si>
  <si>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</si>
  <si>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</si>
  <si>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</si>
  <si>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</si>
  <si>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</si>
  <si>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</si>
  <si>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</si>
  <si>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</si>
  <si>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</si>
  <si>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</si>
  <si>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</si>
  <si>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</si>
  <si>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</si>
  <si>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</si>
  <si>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</si>
  <si>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</si>
  <si>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</si>
  <si>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</si>
  <si>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</si>
  <si>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</si>
  <si>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</si>
  <si>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</si>
  <si>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</si>
  <si>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</si>
  <si>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</si>
  <si>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</si>
  <si>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</si>
  <si>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</si>
  <si>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</si>
  <si>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</si>
  <si>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</si>
  <si>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</si>
  <si>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</si>
  <si>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</si>
  <si>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</si>
  <si>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</si>
  <si>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</si>
  <si>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</si>
  <si>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</si>
  <si>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</si>
  <si>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</si>
  <si>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</si>
  <si>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</si>
  <si>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</si>
  <si>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</si>
  <si>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</si>
  <si>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</si>
  <si>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</si>
  <si>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</si>
  <si>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</si>
  <si>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</si>
  <si>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</si>
  <si>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</si>
  <si>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</si>
  <si>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</si>
  <si>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</si>
  <si>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</si>
  <si>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</si>
  <si>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</si>
  <si>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</si>
  <si>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</si>
  <si>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</si>
  <si>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</si>
  <si>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</si>
  <si>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</si>
  <si>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</si>
  <si>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</si>
  <si>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</si>
  <si>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</si>
  <si>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</si>
  <si>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</si>
  <si>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</si>
  <si>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</si>
  <si>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</si>
  <si>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</si>
  <si>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</si>
  <si>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</si>
  <si>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</si>
  <si>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</si>
  <si>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</si>
  <si>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</si>
  <si>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</si>
  <si>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</si>
  <si>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</si>
  <si>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</si>
  <si>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</si>
  <si>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</si>
  <si>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</si>
  <si>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</si>
  <si>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</si>
  <si>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</si>
  <si>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</si>
  <si>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</si>
  <si>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</si>
  <si>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</si>
  <si>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</si>
  <si>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</si>
  <si>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</si>
  <si>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</si>
  <si>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</si>
  <si>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</si>
  <si>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</si>
  <si>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</si>
  <si>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</si>
  <si>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</si>
  <si>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</si>
  <si>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</si>
  <si>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</si>
  <si>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</si>
  <si>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</si>
  <si>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</si>
  <si>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</si>
  <si>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</si>
  <si>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</si>
  <si>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</si>
  <si>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</si>
  <si>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</si>
  <si>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</si>
  <si>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</si>
  <si>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</si>
  <si>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</si>
  <si>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</si>
  <si>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</si>
  <si>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</si>
  <si>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</si>
  <si>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</si>
  <si>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</si>
  <si>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</si>
  <si>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</si>
  <si>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</si>
  <si>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</si>
  <si>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</si>
  <si>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</si>
  <si>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</si>
  <si>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</si>
  <si>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</si>
  <si>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</si>
  <si>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</si>
  <si>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</si>
  <si>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</si>
  <si>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</si>
  <si>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</si>
  <si>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</si>
  <si>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</si>
  <si>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</si>
  <si>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</si>
  <si>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</si>
  <si>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</si>
  <si>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</si>
  <si>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</si>
  <si>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</si>
  <si>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</si>
  <si>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</si>
  <si>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</si>
  <si>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</si>
  <si>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</si>
  <si>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</si>
  <si>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</si>
  <si>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</si>
  <si>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</si>
  <si>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</si>
  <si>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</si>
  <si>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</si>
  <si>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</si>
  <si>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</si>
  <si>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</si>
  <si>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</si>
  <si>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</si>
  <si>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</si>
  <si>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</si>
  <si>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</si>
  <si>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</si>
  <si>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</si>
  <si>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</si>
  <si>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</si>
  <si>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</si>
  <si>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</si>
  <si>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</si>
  <si>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</si>
  <si>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</si>
  <si>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</si>
  <si>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</si>
  <si>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</si>
  <si>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</si>
  <si>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</si>
  <si>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</si>
  <si>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</si>
  <si>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</si>
  <si>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</si>
  <si>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</si>
  <si>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</si>
  <si>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</si>
  <si>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</si>
  <si>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</si>
  <si>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</si>
  <si>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</si>
  <si>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</si>
  <si>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</si>
  <si>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</si>
  <si>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</si>
  <si>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</si>
  <si>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</si>
  <si>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</si>
  <si>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</si>
  <si>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</si>
  <si>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</si>
  <si>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</si>
  <si>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</si>
  <si>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</si>
  <si>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</si>
  <si>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</si>
  <si>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</si>
  <si>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</si>
  <si>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</si>
  <si>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</si>
  <si>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</si>
  <si>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</si>
  <si>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</si>
  <si>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</si>
  <si>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</si>
  <si>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</si>
  <si>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</si>
  <si>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</si>
  <si>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</si>
  <si>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</si>
  <si>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</si>
  <si>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</si>
  <si>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</si>
  <si>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</si>
  <si>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</si>
  <si>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</si>
  <si>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</si>
  <si>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</si>
  <si>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</si>
  <si>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</si>
  <si>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</si>
  <si>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</si>
  <si>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</si>
  <si>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</si>
  <si>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</si>
  <si>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</si>
  <si>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</si>
  <si>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</si>
  <si>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</si>
  <si>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</si>
  <si>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</si>
  <si>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</si>
  <si>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</si>
  <si>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</si>
  <si>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</si>
  <si>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</si>
  <si>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</si>
  <si>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</si>
  <si>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</si>
  <si>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</si>
  <si>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</si>
  <si>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</si>
  <si>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</si>
  <si>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</si>
  <si>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</si>
  <si>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</si>
  <si>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</si>
  <si>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</si>
  <si>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</si>
  <si>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</si>
  <si>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</si>
  <si>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</si>
  <si>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</si>
  <si>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</si>
  <si>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</si>
  <si>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</si>
  <si>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</si>
  <si>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</si>
  <si>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</si>
  <si>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</si>
  <si>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</si>
  <si>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</si>
  <si>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</si>
  <si>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</si>
  <si>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</si>
  <si>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</si>
  <si>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</si>
  <si>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</si>
  <si>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</si>
  <si>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</si>
  <si>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</si>
  <si>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</si>
  <si>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</si>
  <si>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</si>
  <si>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</si>
  <si>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</si>
  <si>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</si>
  <si>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</si>
  <si>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</si>
  <si>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</si>
  <si>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</si>
  <si>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</si>
  <si>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</si>
  <si>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</si>
  <si>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</si>
  <si>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</si>
  <si>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</si>
  <si>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</si>
  <si>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</si>
  <si>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</si>
  <si>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</si>
  <si>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</si>
  <si>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</si>
  <si>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</si>
  <si>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</si>
  <si>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</si>
  <si>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</si>
  <si>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</si>
  <si>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</si>
  <si>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</si>
  <si>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</si>
  <si>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</si>
  <si>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</si>
  <si>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</si>
  <si>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</si>
  <si>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</si>
  <si>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</si>
  <si>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</si>
  <si>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</si>
  <si>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</si>
  <si>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</si>
  <si>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</si>
  <si>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</si>
  <si>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</si>
  <si>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</si>
  <si>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</si>
  <si>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</si>
  <si>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</si>
  <si>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</si>
  <si>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</si>
  <si>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</si>
  <si>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</si>
  <si>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</si>
  <si>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</si>
  <si>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</si>
  <si>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</si>
  <si>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</si>
  <si>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</si>
  <si>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</si>
  <si>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</si>
  <si>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</si>
  <si>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</si>
  <si>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</si>
  <si>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</si>
  <si>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</si>
  <si>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</si>
  <si>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</si>
  <si>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</si>
  <si>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</si>
  <si>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</si>
  <si>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</si>
  <si>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</si>
  <si>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</si>
  <si>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</si>
  <si>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</si>
  <si>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</si>
  <si>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</si>
  <si>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</si>
  <si>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</si>
  <si>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</si>
  <si>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</si>
  <si>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</si>
  <si>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</si>
  <si>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</si>
  <si>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</si>
  <si>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</si>
  <si>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</si>
  <si>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</si>
  <si>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</si>
  <si>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</si>
  <si>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</si>
  <si>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</si>
  <si>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</si>
  <si>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</si>
  <si>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</si>
  <si>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</si>
  <si>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</si>
  <si>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</si>
  <si>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</si>
  <si>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</si>
  <si>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</si>
  <si>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</si>
  <si>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</si>
  <si>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</si>
  <si>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</si>
  <si>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</si>
  <si>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</si>
  <si>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</si>
  <si>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</si>
  <si>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</si>
  <si>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</si>
  <si>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</si>
  <si>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</si>
  <si>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</si>
  <si>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</si>
  <si>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</si>
  <si>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</si>
  <si>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</si>
  <si>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</si>
  <si>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</si>
  <si>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</si>
  <si>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</si>
  <si>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</si>
  <si>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</si>
  <si>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</si>
  <si>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</si>
  <si>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</si>
  <si>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</si>
  <si>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</si>
  <si>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</si>
  <si>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</si>
  <si>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</si>
  <si>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</si>
  <si>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</si>
  <si>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</si>
  <si>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</si>
  <si>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</si>
  <si>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</si>
  <si>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</si>
  <si>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</si>
  <si>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</si>
  <si>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</si>
  <si>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</si>
  <si>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</si>
  <si>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</si>
  <si>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</si>
  <si>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</si>
  <si>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</si>
  <si>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</si>
  <si>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</si>
  <si>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</si>
  <si>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</si>
  <si>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</si>
  <si>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</si>
  <si>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</si>
  <si>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</si>
  <si>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</si>
  <si>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</si>
  <si>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</si>
  <si>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</si>
  <si>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</si>
  <si>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</si>
  <si>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</si>
  <si>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</si>
  <si>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</si>
  <si>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</si>
  <si>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</si>
  <si>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</si>
  <si>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</si>
  <si>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</si>
  <si>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</si>
  <si>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</si>
  <si>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</si>
  <si>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</si>
  <si>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</si>
  <si>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</si>
  <si>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</si>
  <si>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</si>
  <si>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</si>
  <si>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</si>
  <si>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</si>
  <si>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</si>
  <si>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</si>
  <si>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</si>
  <si>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</si>
  <si>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</si>
  <si>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</si>
  <si>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</si>
  <si>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</si>
  <si>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</si>
  <si>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</si>
  <si>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</si>
  <si>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</si>
  <si>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</si>
  <si>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</si>
  <si>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</si>
  <si>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</si>
  <si>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</si>
  <si>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</si>
  <si>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</si>
  <si>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</si>
  <si>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</si>
  <si>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</si>
  <si>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</si>
  <si>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</si>
  <si>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</si>
  <si>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</si>
  <si>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</si>
  <si>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</si>
  <si>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</si>
  <si>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</si>
  <si>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</si>
  <si>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</si>
  <si>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</si>
  <si>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</si>
  <si>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</si>
  <si>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</si>
  <si>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</si>
  <si>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</si>
  <si>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</si>
  <si>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</si>
  <si>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</si>
  <si>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</si>
  <si>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</si>
  <si>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</si>
  <si>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</si>
  <si>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</si>
  <si>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</si>
  <si>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</si>
  <si>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</si>
  <si>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</si>
  <si>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</si>
  <si>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</si>
  <si>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</si>
  <si>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</si>
  <si>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</si>
  <si>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</si>
  <si>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</si>
  <si>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</si>
  <si>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</si>
  <si>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</si>
  <si>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</si>
  <si>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</si>
  <si>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</si>
  <si>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</si>
  <si>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</si>
  <si>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</si>
  <si>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</si>
  <si>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</si>
  <si>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</si>
  <si>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</si>
  <si>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</si>
  <si>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</si>
  <si>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</si>
  <si>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</si>
  <si>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</si>
  <si>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</si>
  <si>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</si>
  <si>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</si>
  <si>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</si>
  <si>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</si>
  <si>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</si>
  <si>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</si>
  <si>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</si>
  <si>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</si>
  <si>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</si>
  <si>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</si>
  <si>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</si>
  <si>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</si>
  <si>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</si>
  <si>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</si>
  <si>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</si>
  <si>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</si>
  <si>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</si>
  <si>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</si>
  <si>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</si>
  <si>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</si>
  <si>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</si>
  <si>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</si>
  <si>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</si>
  <si>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</si>
  <si>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</si>
  <si>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</si>
  <si>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</si>
  <si>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</si>
  <si>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</si>
  <si>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</si>
  <si>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</si>
  <si>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</si>
  <si>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</si>
  <si>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</si>
  <si>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</si>
  <si>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</si>
  <si>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</si>
  <si>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</si>
  <si>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</si>
  <si>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</si>
  <si>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</si>
  <si>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</si>
  <si>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</si>
  <si>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</si>
  <si>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</si>
  <si>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</si>
  <si>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</si>
  <si>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</si>
  <si>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</si>
  <si>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</si>
  <si>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</si>
  <si>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</si>
  <si>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</si>
  <si>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</si>
  <si>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</si>
  <si>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</si>
  <si>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</si>
  <si>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</si>
  <si>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</si>
  <si>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</si>
  <si>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</si>
  <si>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</si>
  <si>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</si>
  <si>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</si>
  <si>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</si>
  <si>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</si>
  <si>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</si>
  <si>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</si>
  <si>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</si>
  <si>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</si>
  <si>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</si>
  <si>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</si>
  <si>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</si>
  <si>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</si>
  <si>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</si>
  <si>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</si>
  <si>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</si>
  <si>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</si>
  <si>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</si>
  <si>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</si>
  <si>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</si>
  <si>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</si>
  <si>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</si>
  <si>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</si>
  <si>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</si>
  <si>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</si>
  <si>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</si>
  <si>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</si>
  <si>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</si>
  <si>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</si>
  <si>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</si>
  <si>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</si>
  <si>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</si>
  <si>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</si>
  <si>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</si>
  <si>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</si>
  <si>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</si>
  <si>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</si>
  <si>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</si>
  <si>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</si>
  <si>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</si>
  <si>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</si>
  <si>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</si>
  <si>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</si>
  <si>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</si>
  <si>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</si>
  <si>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</si>
  <si>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</si>
  <si>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</si>
  <si>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</si>
  <si>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</si>
  <si>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</si>
  <si>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</si>
  <si>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</si>
  <si>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</si>
  <si>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</si>
  <si>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</si>
  <si>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</si>
  <si>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</si>
  <si>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</si>
  <si>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</si>
  <si>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</si>
  <si>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</si>
  <si>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</si>
  <si>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</si>
  <si>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</si>
  <si>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</si>
  <si>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</si>
  <si>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</si>
  <si>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</si>
  <si>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</si>
  <si>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</si>
  <si>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</si>
  <si>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</si>
  <si>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</si>
  <si>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</si>
  <si>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</si>
  <si>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</si>
  <si>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</si>
  <si>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</si>
  <si>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</si>
  <si>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</si>
  <si>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</si>
  <si>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</si>
  <si>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</si>
  <si>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</si>
  <si>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</si>
  <si>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</si>
  <si>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</si>
  <si>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</si>
  <si>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</si>
  <si>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</si>
  <si>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</si>
  <si>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</si>
  <si>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</si>
  <si>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</si>
  <si>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</si>
  <si>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</si>
  <si>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</si>
  <si>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</si>
  <si>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</si>
  <si>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</si>
  <si>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</si>
  <si>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</si>
  <si>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</si>
  <si>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</si>
  <si>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</si>
  <si>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</si>
  <si>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</si>
  <si>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</si>
  <si>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</si>
  <si>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</si>
  <si>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</si>
  <si>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</si>
  <si>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</si>
  <si>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</si>
  <si>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</si>
  <si>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</si>
  <si>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</si>
  <si>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</si>
  <si>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</si>
  <si>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</si>
  <si>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</si>
  <si>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</si>
  <si>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</si>
  <si>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</si>
  <si>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</si>
  <si>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</si>
  <si>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</si>
  <si>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</si>
  <si>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</si>
  <si>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</si>
  <si>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</si>
  <si>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</si>
  <si>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</si>
  <si>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</si>
  <si>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</si>
  <si>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</si>
  <si>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</si>
  <si>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</si>
  <si>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</si>
  <si>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</si>
  <si>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</si>
  <si>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</si>
  <si>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</si>
  <si>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</si>
  <si>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</si>
  <si>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</si>
  <si>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</si>
  <si>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</si>
  <si>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</si>
  <si>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</si>
  <si>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</si>
  <si>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</si>
  <si>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</si>
  <si>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</si>
  <si>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</si>
  <si>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</si>
  <si>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</si>
  <si>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</si>
  <si>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</si>
  <si>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</si>
  <si>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</si>
  <si>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</si>
  <si>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</si>
  <si>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</si>
  <si>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</si>
  <si>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</si>
  <si>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</si>
  <si>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</si>
  <si>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</si>
  <si>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</si>
  <si>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</si>
  <si>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</si>
  <si>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</si>
  <si>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</si>
  <si>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</si>
  <si>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</si>
  <si>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</si>
  <si>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</si>
  <si>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</si>
  <si>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</si>
  <si>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</si>
  <si>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</si>
  <si>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</si>
  <si>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</si>
  <si>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</si>
  <si>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</si>
  <si>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</si>
  <si>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</si>
  <si>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</si>
  <si>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</si>
  <si>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</si>
  <si>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</si>
  <si>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</si>
  <si>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</si>
  <si>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</si>
  <si>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</si>
  <si>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</si>
  <si>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</si>
  <si>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</si>
  <si>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</si>
  <si>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</si>
  <si>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</si>
  <si>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</si>
  <si>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</si>
  <si>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</si>
  <si>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</si>
  <si>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</si>
  <si>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</si>
  <si>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</si>
  <si>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</si>
  <si>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</si>
  <si>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</si>
  <si>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</si>
  <si>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</si>
  <si>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</si>
  <si>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</si>
  <si>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</si>
  <si>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</si>
  <si>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</si>
  <si>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</si>
  <si>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</si>
  <si>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</si>
  <si>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</si>
  <si>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</si>
  <si>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</si>
  <si>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</si>
  <si>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</si>
  <si>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</si>
  <si>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</si>
  <si>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</si>
  <si>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</si>
  <si>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</si>
  <si>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</si>
  <si>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</si>
  <si>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</si>
  <si>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</si>
  <si>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</si>
  <si>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</si>
  <si>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</si>
  <si>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</si>
  <si>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</si>
  <si>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</si>
  <si>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</si>
  <si>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</si>
  <si>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</si>
  <si>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</si>
  <si>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</si>
  <si>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</si>
  <si>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</si>
  <si>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</si>
  <si>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</si>
  <si>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</si>
  <si>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</si>
  <si>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</si>
  <si>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</si>
  <si>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</si>
  <si>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</si>
  <si>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</si>
  <si>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</si>
  <si>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</si>
  <si>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</si>
  <si>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</si>
  <si>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</si>
  <si>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</si>
  <si>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</si>
  <si>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</si>
  <si>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</si>
  <si>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</si>
  <si>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</si>
  <si>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</si>
  <si>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</si>
  <si>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</si>
  <si>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</si>
  <si>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</si>
  <si>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</si>
  <si>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</si>
  <si>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</si>
  <si>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</si>
  <si>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</si>
  <si>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</si>
  <si>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</si>
  <si>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</si>
  <si>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</si>
  <si>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</si>
  <si>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</si>
  <si>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</si>
  <si>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</si>
  <si>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</si>
  <si>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</si>
  <si>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</si>
  <si>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</si>
  <si>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</si>
  <si>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</si>
  <si>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</si>
  <si>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</si>
  <si>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</si>
  <si>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</si>
  <si>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</si>
  <si>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</si>
  <si>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</si>
  <si>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</si>
  <si>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</si>
  <si>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</si>
  <si>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</si>
  <si>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</si>
  <si>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</si>
  <si>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</si>
  <si>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</si>
  <si>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</si>
  <si>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</si>
  <si>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</si>
  <si>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</si>
  <si>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</si>
  <si>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</si>
  <si>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</si>
  <si>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</si>
  <si>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</si>
  <si>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</si>
  <si>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</si>
  <si>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</si>
  <si>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</si>
  <si>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</si>
  <si>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</si>
  <si>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</si>
  <si>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</si>
  <si>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</si>
  <si>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</si>
  <si>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</si>
  <si>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</si>
  <si>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</si>
  <si>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</si>
  <si>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</si>
  <si>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</si>
  <si>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</si>
  <si>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</si>
  <si>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</si>
  <si>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</si>
  <si>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</si>
  <si>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</si>
  <si>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</si>
  <si>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</si>
  <si>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</si>
  <si>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</si>
  <si>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</si>
  <si>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</si>
  <si>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</si>
  <si>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</si>
  <si>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</si>
  <si>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</si>
  <si>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</si>
  <si>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</si>
  <si>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</si>
  <si>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</si>
  <si>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</si>
  <si>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</si>
  <si>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</si>
  <si>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</si>
  <si>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</si>
  <si>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</si>
  <si>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</si>
  <si>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</si>
  <si>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</si>
  <si>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</si>
  <si>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</si>
  <si>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</si>
  <si>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</si>
  <si>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</si>
  <si>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</si>
  <si>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</si>
  <si>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</si>
  <si>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</si>
  <si>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</si>
  <si>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</si>
  <si>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</si>
  <si>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</si>
  <si>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</si>
  <si>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</si>
  <si>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</si>
  <si>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</si>
  <si>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</si>
  <si>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</si>
  <si>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</si>
  <si>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</si>
  <si>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</si>
  <si>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</si>
  <si>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</si>
  <si>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</si>
  <si>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</si>
  <si>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</si>
  <si>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</si>
  <si>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</si>
  <si>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</si>
  <si>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</si>
  <si>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</si>
  <si>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</si>
  <si>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</si>
  <si>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</si>
  <si>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</si>
  <si>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</si>
  <si>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</si>
  <si>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</si>
  <si>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</si>
  <si>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</si>
  <si>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</si>
  <si>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</si>
  <si>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</si>
  <si>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</si>
  <si>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</si>
  <si>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</si>
  <si>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</si>
  <si>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</si>
  <si>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</si>
  <si>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</si>
  <si>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</si>
  <si>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</si>
  <si>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</si>
  <si>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</si>
  <si>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</si>
  <si>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</si>
  <si>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</si>
  <si>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</si>
  <si>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</si>
  <si>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</si>
  <si>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</si>
  <si>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</si>
  <si>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</si>
  <si>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</si>
  <si>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</si>
  <si>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</si>
  <si>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</si>
  <si>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</si>
  <si>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</si>
  <si>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</si>
  <si>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</si>
  <si>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</si>
  <si>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</si>
  <si>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</si>
  <si>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</si>
  <si>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</si>
  <si>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</si>
  <si>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</si>
  <si>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</si>
  <si>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</si>
  <si>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</si>
  <si>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</si>
  <si>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</si>
  <si>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</si>
  <si>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</si>
  <si>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</si>
  <si>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</si>
  <si>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</si>
  <si>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</si>
  <si>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</si>
  <si>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</si>
  <si>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</si>
  <si>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</si>
  <si>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</si>
  <si>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</si>
  <si>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</si>
  <si>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</si>
  <si>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</si>
  <si>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</si>
  <si>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</si>
  <si>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</si>
  <si>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</si>
  <si>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</si>
  <si>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</si>
  <si>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</si>
  <si>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</si>
  <si>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</si>
  <si>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</si>
  <si>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</si>
  <si>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</si>
  <si>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</si>
  <si>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</si>
  <si>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</si>
  <si>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</si>
  <si>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</si>
  <si>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</si>
  <si>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</si>
  <si>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</si>
  <si>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</si>
  <si>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</si>
  <si>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</si>
  <si>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</si>
  <si>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</si>
  <si>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</si>
  <si>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</si>
  <si>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</si>
  <si>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</si>
  <si>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</si>
  <si>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</si>
  <si>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</si>
  <si>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</si>
  <si>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</si>
  <si>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</si>
  <si>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</si>
  <si>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</si>
  <si>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</si>
  <si>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</si>
  <si>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</si>
  <si>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</si>
  <si>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</si>
  <si>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</si>
  <si>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</si>
  <si>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</si>
  <si>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</si>
  <si>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</si>
  <si>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</si>
  <si>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</si>
  <si>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</si>
  <si>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</si>
  <si>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</si>
  <si>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</si>
  <si>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</si>
  <si>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</si>
  <si>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</si>
  <si>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</si>
  <si>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</si>
  <si>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</si>
  <si>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</si>
  <si>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</si>
  <si>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</si>
  <si>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</si>
  <si>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</si>
  <si>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</si>
  <si>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</si>
  <si>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</si>
  <si>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</si>
  <si>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</si>
  <si>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</si>
  <si>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</si>
  <si>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</si>
  <si>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</si>
  <si>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</si>
  <si>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</si>
  <si>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</si>
  <si>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</si>
  <si>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</si>
  <si>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</si>
  <si>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</si>
  <si>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</si>
  <si>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</si>
  <si>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</si>
  <si>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</si>
  <si>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</si>
  <si>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</si>
  <si>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</si>
  <si>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</si>
  <si>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</si>
  <si>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</si>
  <si>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</si>
  <si>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</si>
  <si>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</si>
  <si>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</si>
  <si>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</si>
  <si>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</si>
  <si>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</si>
  <si>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</si>
  <si>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</si>
  <si>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</si>
  <si>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</si>
  <si>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</si>
  <si>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</si>
  <si>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</si>
  <si>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</si>
  <si>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</si>
  <si>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</si>
  <si>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</si>
  <si>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</si>
  <si>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</si>
  <si>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</si>
  <si>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</si>
  <si>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</si>
  <si>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</si>
  <si>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</si>
  <si>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</si>
  <si>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</si>
  <si>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</si>
  <si>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</si>
  <si>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</si>
  <si>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</si>
  <si>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</si>
  <si>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</si>
  <si>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</si>
  <si>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</si>
  <si>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</si>
  <si>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</si>
  <si>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</si>
  <si>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</si>
  <si>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</si>
  <si>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</si>
  <si>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</si>
  <si>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</si>
  <si>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</si>
  <si>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</si>
  <si>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</si>
  <si>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</si>
  <si>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</si>
  <si>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</si>
  <si>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</si>
  <si>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</si>
  <si>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</si>
  <si>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</si>
  <si>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</si>
  <si>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</si>
  <si>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</si>
  <si>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</si>
  <si>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</si>
  <si>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</si>
  <si>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</si>
  <si>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</si>
  <si>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</si>
  <si>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</si>
  <si>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</si>
  <si>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</si>
  <si>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</si>
  <si>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</si>
  <si>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</si>
  <si>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</si>
  <si>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</si>
  <si>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</si>
  <si>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</si>
  <si>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</si>
  <si>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</si>
  <si>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</si>
  <si>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</si>
  <si>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</si>
  <si>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</si>
  <si>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</si>
  <si>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</si>
  <si>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</si>
  <si>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</si>
  <si>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</si>
  <si>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</si>
  <si>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</si>
  <si>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</si>
  <si>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</si>
  <si>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</si>
  <si>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</si>
  <si>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</si>
  <si>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</si>
  <si>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</si>
  <si>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</si>
  <si>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</si>
  <si>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</si>
  <si>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</si>
  <si>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</si>
  <si>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</si>
  <si>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</si>
  <si>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</si>
  <si>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</si>
  <si>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</si>
  <si>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</si>
  <si>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</si>
  <si>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</si>
  <si>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</si>
  <si>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</si>
  <si>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</si>
  <si>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</si>
  <si>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</si>
  <si>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</si>
  <si>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</si>
  <si>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</si>
  <si>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</si>
  <si>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</si>
  <si>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</si>
  <si>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</si>
  <si>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</si>
  <si>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</si>
  <si>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</si>
  <si>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</si>
  <si>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</si>
  <si>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</si>
  <si>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</si>
  <si>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</si>
  <si>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</si>
  <si>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</si>
  <si>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</si>
  <si>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</si>
  <si>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</si>
  <si>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</si>
  <si>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</si>
  <si>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</si>
  <si>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</si>
  <si>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</si>
  <si>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</si>
  <si>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</si>
  <si>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</si>
  <si>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</si>
  <si>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</si>
  <si>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</si>
  <si>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</si>
  <si>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</si>
  <si>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</si>
  <si>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</si>
  <si>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</si>
  <si>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</si>
  <si>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</si>
  <si>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</si>
  <si>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</si>
  <si>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</si>
  <si>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</si>
  <si>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</si>
  <si>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</si>
  <si>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</si>
  <si>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</si>
  <si>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</si>
  <si>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</si>
  <si>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</si>
  <si>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</si>
  <si>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</si>
  <si>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</si>
  <si>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</si>
  <si>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</si>
  <si>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</si>
  <si>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</si>
  <si>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</si>
  <si>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</si>
  <si>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</si>
  <si>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</si>
  <si>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</si>
  <si>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</si>
  <si>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</si>
  <si>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</si>
  <si>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</si>
  <si>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</si>
  <si>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</si>
  <si>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</si>
  <si>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</si>
  <si>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</si>
  <si>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</si>
  <si>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</si>
  <si>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</si>
  <si>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</si>
  <si>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</si>
  <si>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</si>
  <si>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</si>
  <si>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</si>
  <si>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</si>
  <si>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</si>
  <si>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</si>
  <si>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</si>
  <si>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</si>
  <si>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</si>
  <si>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</si>
  <si>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</si>
  <si>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</si>
  <si>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</si>
  <si>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</si>
  <si>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</si>
  <si>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</si>
  <si>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</si>
  <si>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</si>
  <si>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</si>
  <si>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</si>
  <si>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</si>
  <si>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</si>
  <si>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</si>
  <si>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</si>
  <si>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</si>
  <si>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</si>
  <si>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</si>
  <si>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</si>
  <si>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</si>
  <si>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</si>
  <si>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</si>
  <si>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</si>
  <si>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</si>
  <si>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</si>
  <si>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</si>
  <si>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</si>
  <si>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</si>
  <si>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</si>
  <si>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</si>
  <si>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</si>
  <si>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</si>
  <si>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</si>
  <si>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</si>
  <si>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</si>
  <si>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</si>
  <si>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</si>
  <si>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</si>
  <si>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</si>
  <si>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</si>
  <si>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</si>
  <si>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</si>
  <si>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</si>
  <si>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</si>
  <si>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</si>
  <si>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</si>
  <si>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</si>
  <si>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</si>
  <si>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</si>
  <si>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</si>
  <si>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</si>
  <si>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</si>
  <si>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</si>
  <si>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</si>
  <si>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</si>
  <si>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</si>
  <si>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</si>
  <si>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</si>
  <si>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</si>
  <si>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</si>
  <si>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</si>
  <si>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</si>
  <si>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</si>
  <si>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</si>
  <si>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</si>
  <si>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</si>
  <si>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</si>
  <si>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</si>
  <si>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</si>
  <si>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</si>
  <si>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</si>
  <si>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</si>
  <si>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</si>
  <si>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</si>
  <si>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</si>
  <si>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</si>
  <si>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</si>
  <si>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</si>
  <si>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</si>
  <si>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</si>
  <si>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</si>
  <si>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</si>
  <si>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</si>
  <si>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</si>
  <si>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</si>
  <si>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</si>
  <si>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</si>
  <si>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</si>
  <si>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</si>
  <si>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</si>
  <si>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</si>
  <si>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</si>
  <si>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</si>
  <si>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</si>
  <si>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</si>
  <si>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</si>
  <si>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</si>
  <si>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</si>
  <si>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</si>
  <si>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</si>
  <si>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</si>
  <si>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</si>
  <si>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</si>
  <si>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</si>
  <si>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</si>
  <si>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</si>
  <si>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</si>
  <si>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</si>
  <si>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</si>
  <si>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</si>
  <si>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</si>
  <si>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</si>
  <si>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</si>
  <si>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</si>
  <si>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</si>
  <si>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</si>
  <si>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</si>
  <si>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</si>
  <si>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</si>
  <si>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</si>
  <si>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</si>
  <si>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</si>
  <si>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</si>
  <si>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</si>
  <si>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</si>
  <si>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</si>
  <si>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</si>
  <si>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</si>
  <si>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</si>
  <si>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</si>
  <si>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</si>
  <si>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</si>
  <si>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</si>
  <si>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</si>
  <si>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</si>
  <si>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</si>
  <si>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</si>
  <si>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</si>
  <si>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</si>
  <si>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</si>
  <si>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</si>
  <si>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</si>
  <si>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</si>
  <si>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</si>
  <si>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</si>
  <si>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</si>
  <si>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</si>
  <si>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</si>
  <si>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</si>
  <si>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</si>
  <si>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</si>
  <si>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</si>
  <si>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</si>
  <si>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</si>
  <si>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</si>
  <si>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</si>
  <si>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</si>
  <si>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</si>
  <si>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</si>
  <si>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</si>
  <si>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</si>
  <si>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</si>
  <si>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</si>
  <si>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</si>
  <si>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</si>
  <si>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</si>
  <si>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</si>
  <si>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</si>
  <si>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</si>
  <si>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</si>
  <si>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</si>
  <si>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</si>
  <si>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</si>
  <si>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</si>
  <si>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</si>
  <si>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</si>
  <si>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</si>
  <si>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</si>
  <si>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</si>
  <si>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</si>
  <si>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</si>
  <si>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</si>
  <si>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</si>
  <si>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</si>
  <si>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</si>
  <si>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</si>
  <si>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</si>
  <si>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</si>
  <si>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</si>
  <si>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</si>
  <si>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</si>
  <si>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</si>
  <si>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</si>
  <si>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</si>
  <si>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</si>
  <si>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</si>
  <si>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</si>
  <si>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</si>
  <si>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</si>
  <si>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</si>
  <si>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</si>
  <si>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</si>
  <si>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</si>
  <si>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</si>
  <si>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</si>
  <si>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</si>
  <si>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</si>
  <si>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</si>
  <si>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</si>
  <si>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</si>
  <si>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</si>
  <si>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</si>
  <si>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</si>
  <si>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</si>
  <si>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</si>
  <si>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</si>
  <si>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</si>
  <si>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</si>
  <si>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</si>
  <si>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</si>
  <si>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</si>
  <si>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</si>
  <si>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</si>
  <si>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</si>
  <si>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</si>
  <si>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</si>
  <si>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</si>
  <si>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</si>
  <si>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</si>
  <si>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</si>
  <si>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</si>
  <si>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</si>
  <si>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</si>
  <si>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</si>
  <si>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</si>
  <si>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</si>
  <si>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</si>
  <si>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</si>
  <si>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</si>
  <si>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</si>
  <si>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</si>
  <si>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</si>
  <si>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</si>
  <si>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</si>
  <si>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</si>
  <si>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</si>
  <si>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</si>
  <si>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</si>
  <si>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</si>
  <si>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</si>
  <si>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</si>
  <si>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</si>
  <si>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</si>
  <si>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</si>
  <si>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</si>
  <si>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</si>
  <si>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</si>
  <si>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</si>
  <si>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</si>
  <si>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</si>
  <si>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</si>
  <si>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</si>
  <si>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</si>
  <si>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</si>
  <si>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</si>
  <si>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</si>
  <si>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</si>
  <si>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</si>
  <si>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</si>
  <si>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</si>
  <si>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</si>
  <si>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</si>
  <si>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</si>
  <si>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</si>
  <si>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</si>
  <si>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</si>
  <si>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</si>
  <si>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</si>
  <si>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</si>
  <si>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</si>
  <si>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</si>
  <si>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</si>
  <si>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</si>
  <si>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</si>
  <si>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</si>
  <si>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</si>
  <si>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</si>
  <si>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</si>
  <si>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</si>
  <si>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</si>
  <si>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</si>
  <si>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</si>
  <si>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</si>
  <si>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</si>
  <si>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</si>
  <si>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</si>
  <si>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</si>
  <si>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</si>
  <si>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</si>
  <si>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</si>
  <si>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</si>
  <si>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</si>
  <si>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</si>
  <si>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</si>
  <si>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</si>
  <si>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</si>
  <si>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</si>
  <si>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</si>
  <si>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</si>
  <si>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</si>
  <si>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</si>
  <si>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</si>
  <si>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</si>
  <si>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</si>
  <si>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</si>
  <si>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</si>
  <si>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</si>
  <si>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</si>
  <si>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</si>
  <si>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</si>
  <si>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</si>
  <si>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</si>
  <si>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</si>
  <si>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</si>
  <si>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</si>
  <si>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</si>
  <si>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</si>
  <si>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</si>
  <si>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</si>
  <si>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</si>
  <si>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</si>
  <si>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</si>
  <si>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</si>
  <si>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</si>
  <si>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</si>
  <si>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</si>
  <si>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</si>
  <si>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</si>
  <si>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</si>
  <si>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</si>
  <si>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</si>
  <si>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</si>
  <si>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</si>
  <si>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</si>
  <si>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</si>
  <si>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</si>
  <si>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</si>
  <si>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</si>
  <si>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</si>
  <si>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</si>
  <si>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</si>
  <si>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</si>
  <si>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</si>
  <si>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</si>
  <si>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</si>
  <si>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</si>
  <si>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</si>
  <si>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</si>
  <si>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</si>
  <si>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</si>
  <si>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</si>
  <si>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</si>
  <si>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</si>
  <si>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</si>
  <si>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</si>
  <si>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</si>
  <si>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</si>
  <si>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</si>
  <si>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</si>
  <si>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</si>
  <si>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</si>
  <si>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</si>
  <si>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</si>
  <si>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</si>
  <si>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</si>
  <si>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</si>
  <si>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</si>
  <si>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</si>
  <si>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</si>
  <si>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</si>
  <si>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</si>
  <si>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</si>
  <si>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</si>
  <si>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</si>
  <si>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</si>
  <si>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</si>
  <si>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</si>
  <si>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</si>
  <si>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</si>
  <si>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</si>
  <si>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</si>
  <si>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</si>
  <si>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</si>
  <si>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</si>
  <si>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</si>
  <si>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</si>
  <si>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</si>
  <si>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</si>
  <si>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</si>
  <si>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</si>
  <si>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</si>
  <si>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</si>
  <si>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</si>
  <si>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</si>
  <si>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</si>
  <si>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</si>
  <si>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</si>
  <si>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</si>
  <si>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</si>
  <si>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</si>
  <si>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</si>
  <si>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</si>
  <si>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</si>
  <si>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</si>
  <si>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</si>
  <si>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</si>
  <si>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</si>
  <si>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</si>
  <si>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</si>
  <si>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</si>
  <si>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</si>
  <si>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</si>
  <si>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</si>
  <si>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</si>
  <si>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</si>
  <si>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</si>
  <si>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</si>
  <si>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</si>
  <si>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</si>
  <si>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</si>
  <si>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</si>
  <si>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</si>
  <si>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</si>
  <si>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</si>
  <si>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</si>
  <si>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</si>
  <si>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</si>
  <si>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</si>
  <si>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</si>
  <si>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</si>
  <si>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</si>
  <si>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</si>
  <si>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</si>
  <si>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</si>
  <si>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</si>
  <si>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</si>
  <si>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</si>
  <si>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</si>
  <si>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</si>
  <si>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</si>
  <si>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</si>
  <si>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</si>
  <si>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</si>
  <si>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</si>
  <si>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</si>
  <si>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</si>
  <si>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</si>
  <si>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</si>
  <si>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</si>
  <si>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</si>
  <si>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</si>
  <si>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</si>
  <si>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</si>
  <si>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</si>
  <si>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</si>
  <si>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</si>
  <si>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</si>
  <si>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</si>
  <si>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</si>
  <si>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</si>
  <si>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</si>
  <si>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</si>
  <si>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</si>
  <si>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</si>
  <si>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</si>
  <si>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</si>
  <si>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</si>
  <si>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</si>
  <si>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</si>
  <si>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</si>
  <si>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</si>
  <si>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</si>
  <si>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</si>
  <si>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</si>
  <si>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</si>
  <si>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</si>
  <si>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</si>
  <si>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</si>
  <si>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</si>
  <si>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</si>
  <si>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</si>
  <si>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</si>
  <si>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</si>
  <si>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</si>
  <si>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</si>
  <si>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</si>
  <si>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</si>
  <si>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</si>
  <si>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</si>
  <si>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</si>
  <si>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</si>
  <si>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</si>
  <si>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</si>
  <si>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</si>
  <si>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</si>
  <si>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</si>
  <si>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</si>
  <si>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</si>
  <si>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</si>
  <si>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</si>
  <si>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</si>
  <si>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</si>
  <si>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</si>
  <si>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</si>
  <si>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</si>
  <si>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</si>
  <si>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</si>
  <si>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</si>
  <si>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</si>
  <si>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</si>
  <si>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</si>
  <si>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</si>
  <si>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</si>
  <si>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</si>
  <si>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</si>
  <si>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</si>
  <si>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</si>
  <si>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</si>
  <si>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</si>
  <si>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</si>
  <si>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</si>
  <si>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</si>
  <si>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</si>
  <si>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</si>
  <si>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</si>
  <si>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</si>
  <si>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</si>
  <si>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</si>
  <si>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</si>
  <si>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</si>
  <si>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</si>
  <si>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</si>
  <si>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</si>
  <si>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</si>
  <si>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</si>
  <si>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</si>
  <si>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</si>
  <si>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</si>
  <si>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</si>
  <si>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</si>
  <si>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</si>
  <si>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</si>
  <si>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</si>
  <si>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</si>
  <si>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</si>
  <si>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</si>
  <si>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</si>
  <si>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</si>
  <si>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</si>
  <si>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</si>
  <si>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</si>
  <si>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</si>
  <si>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</si>
  <si>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</si>
  <si>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</si>
  <si>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</si>
  <si>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</si>
  <si>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</si>
  <si>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</si>
  <si>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</si>
  <si>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</si>
  <si>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</si>
  <si>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</si>
  <si>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</si>
  <si>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</si>
  <si>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</si>
  <si>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</si>
  <si>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</si>
  <si>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</si>
  <si>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</si>
  <si>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</si>
  <si>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</si>
  <si>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</si>
  <si>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</si>
  <si>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</si>
  <si>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</si>
  <si>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</si>
  <si>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</si>
  <si>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</si>
  <si>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</si>
  <si>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</si>
  <si>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</si>
  <si>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</si>
  <si>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</si>
  <si>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</si>
  <si>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</si>
  <si>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</si>
  <si>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</si>
  <si>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</si>
  <si>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</si>
  <si>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</si>
  <si>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</si>
  <si>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</si>
  <si>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</si>
  <si>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</si>
  <si>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</si>
  <si>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</si>
  <si>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</si>
  <si>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</si>
  <si>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</si>
  <si>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</si>
  <si>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</si>
  <si>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</si>
  <si>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</si>
  <si>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</si>
  <si>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</si>
  <si>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</si>
  <si>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</si>
  <si>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</si>
  <si>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</si>
  <si>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</si>
  <si>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</si>
  <si>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</si>
  <si>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</si>
  <si>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</si>
  <si>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</si>
  <si>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</si>
  <si>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</si>
  <si>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</si>
  <si>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</si>
  <si>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</si>
  <si>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</si>
  <si>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</si>
  <si>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</si>
  <si>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</si>
  <si>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</si>
  <si>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</si>
  <si>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</si>
  <si>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</si>
  <si>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</si>
  <si>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</si>
  <si>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</si>
  <si>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</si>
  <si>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</si>
  <si>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</si>
  <si>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</si>
  <si>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</si>
  <si>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</si>
  <si>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</si>
  <si>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</si>
  <si>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</si>
  <si>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</si>
  <si>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</si>
  <si>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</si>
  <si>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</si>
  <si>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</si>
  <si>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</si>
  <si>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</si>
  <si>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</si>
  <si>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</si>
  <si>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</si>
  <si>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</si>
  <si>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</si>
  <si>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</si>
  <si>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</si>
  <si>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</si>
  <si>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</si>
  <si>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</si>
  <si>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</si>
  <si>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</si>
  <si>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</si>
  <si>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</si>
  <si>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</si>
  <si>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</si>
  <si>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</si>
  <si>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</si>
  <si>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</si>
  <si>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</si>
  <si>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</si>
  <si>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</si>
  <si>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</si>
  <si>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</si>
  <si>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</si>
  <si>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</si>
  <si>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</si>
  <si>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</si>
  <si>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</si>
  <si>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</si>
  <si>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</si>
  <si>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</si>
  <si>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</si>
  <si>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</si>
  <si>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</si>
  <si>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</si>
  <si>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</si>
  <si>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</si>
  <si>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</si>
  <si>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</si>
  <si>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</si>
  <si>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</si>
  <si>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</si>
  <si>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</si>
  <si>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</si>
  <si>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</si>
  <si>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</si>
  <si>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</si>
  <si>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</si>
  <si>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</si>
  <si>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</si>
  <si>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</si>
  <si>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</si>
  <si>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</si>
  <si>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</si>
  <si>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</si>
  <si>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</si>
  <si>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</si>
  <si>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</si>
  <si>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</si>
  <si>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</si>
  <si>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</si>
  <si>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</si>
  <si>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</si>
  <si>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</si>
  <si>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</si>
  <si>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</si>
  <si>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</si>
  <si>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</si>
  <si>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</si>
  <si>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</si>
  <si>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</si>
  <si>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</si>
  <si>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</si>
  <si>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</si>
  <si>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</si>
  <si>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</si>
  <si>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</si>
  <si>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</si>
  <si>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</si>
  <si>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</si>
  <si>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</si>
  <si>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</si>
  <si>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</si>
  <si>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</si>
  <si>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</si>
  <si>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</si>
  <si>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</si>
  <si>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</si>
  <si>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</si>
  <si>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</si>
  <si>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</si>
  <si>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</si>
  <si>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</si>
  <si>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</si>
  <si>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</si>
  <si>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</si>
  <si>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</si>
  <si>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</si>
  <si>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</si>
  <si>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</si>
  <si>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</si>
  <si>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</si>
  <si>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</si>
  <si>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</si>
  <si>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</si>
  <si>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</si>
  <si>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</si>
  <si>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</si>
  <si>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</si>
  <si>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</si>
  <si>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</si>
  <si>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</si>
  <si>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</si>
  <si>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</si>
  <si>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</si>
  <si>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</si>
  <si>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</si>
  <si>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</si>
  <si>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</si>
  <si>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</si>
  <si>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</si>
  <si>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</si>
  <si>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</si>
  <si>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</si>
  <si>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</si>
  <si>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</si>
  <si>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</si>
  <si>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</si>
  <si>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</si>
  <si>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</si>
  <si>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</si>
  <si>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</si>
  <si>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</si>
  <si>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</si>
  <si>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</si>
  <si>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</si>
  <si>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</si>
  <si>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</si>
  <si>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</si>
  <si>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</si>
  <si>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</si>
  <si>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</si>
  <si>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</si>
  <si>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</si>
  <si>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</si>
  <si>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</si>
  <si>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</si>
  <si>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</si>
  <si>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</si>
  <si>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</si>
  <si>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</si>
  <si>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</si>
  <si>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</si>
  <si>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</si>
  <si>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</si>
  <si>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</si>
  <si>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</si>
  <si>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</si>
  <si>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</si>
  <si>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</si>
  <si>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</si>
  <si>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</si>
  <si>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</si>
  <si>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</si>
  <si>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</si>
  <si>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</si>
  <si>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</si>
  <si>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</si>
  <si>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</si>
  <si>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</si>
  <si>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</si>
  <si>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</si>
  <si>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</si>
  <si>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</si>
  <si>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</si>
  <si>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</si>
  <si>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</si>
  <si>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</si>
  <si>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</si>
  <si>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</si>
  <si>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</si>
  <si>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</si>
  <si>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</si>
  <si>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</si>
  <si>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</si>
  <si>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</si>
  <si>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</si>
  <si>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</si>
  <si>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</si>
  <si>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</si>
  <si>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</si>
  <si>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</si>
  <si>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</si>
  <si>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</si>
  <si>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</si>
  <si>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</si>
  <si>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</si>
  <si>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</si>
  <si>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</si>
  <si>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</si>
  <si>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</si>
  <si>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</si>
  <si>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</si>
  <si>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</si>
  <si>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</si>
  <si>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</si>
  <si>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</si>
  <si>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</si>
  <si>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</si>
  <si>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</si>
  <si>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</si>
  <si>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</si>
  <si>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</si>
  <si>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</si>
  <si>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</si>
  <si>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</si>
  <si>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</si>
  <si>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</si>
  <si>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</si>
  <si>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</si>
  <si>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</si>
  <si>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</si>
  <si>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</si>
  <si>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</si>
  <si>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</si>
  <si>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</si>
  <si>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</si>
  <si>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</si>
  <si>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</si>
  <si>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</si>
  <si>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</si>
  <si>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</si>
  <si>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</si>
  <si>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</si>
  <si>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</si>
  <si>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</si>
  <si>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</si>
  <si>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</si>
  <si>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</si>
  <si>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</si>
  <si>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</si>
  <si>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</si>
  <si>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</si>
  <si>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</si>
  <si>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</si>
  <si>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</si>
  <si>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</si>
  <si>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</si>
  <si>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</si>
  <si>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</si>
  <si>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</si>
  <si>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</si>
  <si>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</si>
  <si>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</si>
  <si>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</si>
  <si>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</si>
  <si>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</si>
  <si>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</si>
  <si>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</si>
  <si>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</si>
  <si>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</si>
  <si>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</si>
  <si>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</si>
  <si>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</si>
  <si>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</si>
  <si>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</si>
  <si>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</si>
  <si>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</si>
  <si>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</si>
  <si>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</si>
  <si>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</si>
  <si>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</si>
  <si>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</si>
  <si>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</si>
  <si>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</si>
  <si>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</si>
  <si>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</si>
  <si>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</si>
  <si>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</si>
  <si>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</si>
  <si>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</si>
  <si>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</si>
  <si>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</si>
  <si>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</si>
  <si>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</si>
  <si>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</si>
  <si>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</si>
  <si>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</si>
  <si>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</si>
  <si>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</si>
  <si>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</si>
  <si>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</si>
  <si>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</si>
  <si>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</si>
  <si>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</si>
  <si>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</si>
  <si>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</si>
  <si>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</si>
  <si>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</si>
  <si>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</si>
  <si>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</si>
  <si>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</si>
  <si>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</si>
  <si>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</si>
  <si>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</si>
  <si>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</si>
  <si>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</si>
  <si>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</si>
  <si>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</si>
  <si>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</si>
  <si>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</si>
  <si>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</si>
  <si>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</si>
  <si>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</si>
  <si>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</si>
  <si>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</si>
  <si>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</si>
  <si>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</si>
  <si>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</si>
  <si>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</si>
  <si>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</si>
  <si>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</si>
  <si>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</si>
  <si>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</si>
  <si>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</si>
  <si>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</si>
  <si>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</si>
  <si>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</si>
  <si>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</si>
  <si>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</si>
  <si>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</si>
  <si>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</si>
  <si>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</si>
  <si>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</si>
  <si>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</si>
  <si>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</si>
  <si>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</si>
  <si>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</si>
  <si>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</si>
  <si>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</si>
  <si>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</si>
  <si>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</si>
  <si>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</si>
  <si>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</si>
  <si>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</si>
  <si>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</si>
  <si>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</si>
  <si>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</si>
  <si>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</si>
  <si>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</si>
  <si>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</si>
  <si>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</si>
  <si>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</si>
  <si>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</si>
  <si>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</si>
  <si>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</si>
  <si>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</si>
  <si>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</si>
  <si>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</si>
  <si>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</si>
  <si>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</si>
  <si>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</si>
  <si>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</si>
  <si>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</si>
  <si>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</si>
  <si>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</si>
  <si>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</si>
  <si>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</si>
  <si>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</si>
  <si>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</si>
  <si>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</si>
  <si>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</si>
  <si>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</si>
  <si>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</si>
  <si>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</si>
  <si>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</si>
  <si>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</si>
  <si>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</si>
  <si>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</si>
  <si>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</si>
  <si>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</si>
  <si>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</si>
  <si>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</si>
  <si>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</si>
  <si>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</si>
  <si>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</si>
  <si>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</si>
  <si>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</si>
  <si>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</si>
  <si>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</si>
  <si>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</si>
  <si>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</si>
  <si>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</si>
  <si>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</si>
  <si>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</si>
  <si>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</si>
  <si>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</si>
  <si>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</si>
  <si>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</si>
  <si>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</si>
  <si>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</si>
  <si>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</si>
  <si>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</si>
  <si>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</si>
  <si>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</si>
  <si>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</si>
  <si>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</si>
  <si>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</si>
  <si>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</si>
  <si>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</si>
  <si>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</si>
  <si>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</si>
  <si>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</si>
  <si>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</si>
  <si>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</si>
  <si>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</si>
  <si>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</si>
  <si>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</si>
  <si>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</si>
  <si>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</si>
  <si>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</si>
  <si>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</si>
  <si>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</si>
  <si>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</si>
  <si>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</si>
  <si>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</si>
  <si>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</si>
  <si>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</si>
  <si>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</si>
  <si>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</si>
  <si>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</si>
  <si>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</si>
  <si>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</si>
  <si>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</si>
  <si>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</si>
  <si>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</si>
  <si>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</si>
  <si>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</si>
  <si>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</si>
  <si>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</si>
  <si>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</si>
  <si>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</si>
  <si>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</si>
  <si>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</si>
  <si>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</si>
  <si>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</si>
  <si>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</si>
  <si>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</si>
  <si>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</si>
  <si>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</si>
  <si>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</si>
  <si>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</si>
  <si>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</si>
  <si>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</si>
  <si>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</si>
  <si>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</si>
  <si>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</si>
  <si>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</si>
  <si>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</si>
  <si>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</si>
  <si>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</si>
  <si>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</si>
  <si>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</si>
  <si>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</si>
  <si>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</si>
  <si>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</si>
  <si>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</si>
  <si>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</si>
  <si>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</si>
  <si>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</si>
  <si>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</si>
  <si>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</si>
  <si>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</si>
  <si>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</si>
  <si>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</si>
  <si>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</si>
  <si>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</si>
  <si>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</si>
  <si>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</si>
  <si>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</si>
  <si>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</si>
  <si>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</si>
  <si>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</si>
  <si>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</si>
  <si>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</si>
  <si>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</si>
  <si>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</si>
  <si>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</si>
  <si>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</si>
  <si>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</si>
  <si>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</si>
  <si>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</si>
  <si>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</si>
  <si>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</si>
  <si>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</si>
  <si>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</si>
  <si>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</si>
  <si>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</si>
  <si>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</si>
  <si>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</si>
  <si>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</si>
  <si>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</si>
  <si>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</si>
  <si>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</si>
  <si>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</si>
  <si>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</si>
  <si>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</si>
  <si>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</si>
  <si>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</si>
  <si>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</si>
  <si>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</si>
  <si>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</si>
  <si>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</si>
  <si>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</si>
  <si>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</si>
  <si>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</si>
  <si>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</si>
  <si>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</si>
  <si>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</si>
  <si>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</si>
  <si>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</si>
  <si>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</si>
  <si>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</si>
  <si>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</si>
  <si>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</si>
  <si>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</si>
  <si>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</si>
  <si>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</si>
  <si>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</si>
  <si>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</si>
  <si>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</si>
  <si>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</si>
  <si>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</si>
  <si>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</si>
  <si>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</si>
  <si>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</si>
  <si>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</si>
  <si>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</si>
  <si>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</si>
  <si>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</si>
  <si>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</si>
  <si>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</si>
  <si>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</si>
  <si>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</si>
  <si>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</si>
  <si>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</si>
  <si>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</si>
  <si>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</si>
  <si>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</si>
  <si>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</si>
  <si>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</si>
  <si>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</si>
  <si>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</si>
  <si>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</si>
  <si>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</si>
  <si>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</si>
  <si>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</si>
  <si>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</si>
  <si>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</si>
  <si>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</si>
  <si>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</si>
  <si>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</si>
  <si>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</si>
  <si>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</si>
  <si>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</si>
  <si>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</si>
  <si>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</si>
  <si>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</si>
  <si>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</si>
  <si>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</si>
  <si>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</si>
  <si>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</si>
  <si>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</si>
  <si>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</si>
  <si>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</si>
  <si>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</si>
  <si>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</si>
  <si>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</si>
  <si>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</si>
  <si>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</si>
  <si>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</si>
  <si>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</si>
  <si>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</si>
  <si>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</si>
  <si>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</si>
  <si>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</si>
  <si>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</si>
  <si>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</si>
  <si>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</si>
  <si>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</si>
  <si>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</si>
  <si>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</si>
  <si>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</si>
  <si>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</si>
  <si>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</si>
  <si>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</si>
  <si>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</si>
  <si>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</si>
  <si>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</si>
  <si>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</si>
  <si>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</si>
  <si>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</si>
  <si>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</si>
  <si>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</si>
  <si>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</si>
  <si>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</si>
  <si>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</si>
  <si>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</si>
  <si>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</si>
  <si>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</si>
  <si>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</si>
  <si>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</si>
  <si>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</si>
  <si>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</si>
  <si>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</si>
  <si>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</si>
  <si>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</si>
  <si>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</si>
  <si>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</si>
  <si>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</si>
  <si>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</si>
  <si>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</si>
  <si>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</si>
  <si>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</si>
  <si>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</si>
  <si>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</si>
  <si>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</si>
  <si>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</si>
  <si>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</si>
  <si>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</si>
  <si>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</si>
  <si>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</si>
  <si>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</si>
  <si>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</si>
  <si>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</si>
  <si>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</si>
  <si>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</si>
  <si>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</si>
  <si>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</si>
  <si>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</si>
  <si>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</si>
  <si>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</si>
  <si>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</si>
  <si>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</si>
  <si>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</si>
  <si>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</si>
  <si>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</si>
  <si>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</si>
  <si>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</si>
  <si>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</si>
  <si>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</si>
  <si>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</si>
  <si>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</si>
  <si>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</si>
  <si>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</si>
  <si>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</si>
  <si>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</si>
  <si>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</si>
  <si>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</si>
  <si>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</si>
  <si>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</si>
  <si>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</si>
  <si>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</si>
  <si>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</si>
  <si>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</si>
  <si>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</si>
  <si>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</si>
  <si>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</si>
  <si>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</si>
  <si>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</si>
  <si>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</si>
  <si>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</si>
  <si>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</si>
  <si>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</si>
  <si>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</si>
  <si>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</si>
  <si>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</si>
  <si>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</si>
  <si>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</si>
  <si>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</si>
  <si>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</si>
  <si>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</si>
  <si>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</si>
  <si>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</si>
  <si>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</si>
  <si>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</si>
  <si>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</si>
  <si>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</si>
  <si>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</si>
  <si>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</si>
  <si>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</si>
  <si>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</si>
  <si>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</si>
  <si>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</si>
  <si>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</si>
  <si>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</si>
  <si>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</si>
  <si>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</si>
  <si>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</si>
  <si>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</si>
  <si>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</si>
  <si>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</si>
  <si>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</si>
  <si>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</si>
  <si>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</si>
  <si>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</si>
  <si>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</si>
  <si>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</si>
  <si>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</si>
  <si>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</si>
  <si>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</si>
  <si>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</si>
  <si>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</si>
  <si>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</si>
  <si>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</si>
  <si>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</si>
  <si>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</si>
  <si>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</si>
  <si>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</si>
  <si>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</si>
  <si>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</si>
  <si>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</si>
  <si>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</si>
  <si>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</si>
  <si>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</si>
  <si>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</si>
  <si>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</si>
  <si>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</si>
  <si>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</si>
  <si>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</si>
  <si>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</si>
  <si>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</si>
  <si>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</si>
  <si>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</si>
  <si>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</si>
  <si>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</si>
  <si>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</si>
  <si>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</si>
  <si>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</si>
  <si>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</si>
  <si>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</si>
  <si>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</si>
  <si>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</si>
  <si>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</si>
  <si>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</si>
  <si>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</si>
  <si>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</si>
  <si>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</si>
  <si>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</si>
  <si>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</si>
  <si>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</si>
  <si>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</si>
  <si>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</si>
  <si>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</si>
  <si>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</si>
  <si>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</si>
  <si>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</si>
  <si>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</si>
  <si>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</si>
  <si>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</si>
  <si>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</si>
  <si>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</si>
  <si>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</si>
  <si>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</si>
  <si>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</si>
  <si>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</si>
  <si>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</si>
  <si>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</si>
  <si>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</si>
  <si>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</si>
  <si>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</si>
  <si>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</si>
  <si>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</si>
  <si>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</si>
  <si>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</si>
  <si>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</si>
  <si>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</si>
  <si>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</si>
  <si>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</si>
  <si>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</si>
  <si>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</si>
  <si>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</si>
  <si>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</si>
  <si>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</si>
  <si>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</si>
  <si>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</si>
  <si>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</si>
  <si>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</si>
  <si>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</si>
  <si>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</si>
  <si>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</si>
  <si>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</si>
  <si>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</si>
  <si>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</si>
  <si>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</si>
  <si>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</si>
  <si>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</si>
  <si>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</si>
  <si>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</si>
  <si>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</si>
  <si>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</si>
  <si>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</si>
  <si>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</si>
  <si>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</si>
  <si>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</si>
  <si>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</si>
  <si>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</si>
  <si>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</si>
  <si>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</si>
  <si>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</si>
  <si>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</si>
  <si>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</si>
  <si>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</si>
  <si>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</si>
  <si>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</si>
  <si>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</si>
  <si>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</si>
  <si>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</si>
  <si>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</si>
  <si>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</si>
  <si>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</si>
  <si>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</si>
  <si>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</si>
  <si>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</si>
  <si>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</si>
  <si>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</si>
  <si>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</si>
  <si>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</si>
  <si>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</si>
  <si>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</si>
  <si>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</si>
  <si>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</si>
  <si>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</si>
  <si>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</si>
  <si>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</si>
  <si>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</si>
  <si>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</si>
  <si>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</si>
  <si>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</si>
  <si>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</si>
  <si>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</si>
  <si>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</si>
  <si>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</si>
  <si>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</si>
  <si>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</si>
  <si>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</si>
  <si>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</si>
  <si>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</si>
  <si>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</si>
  <si>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</si>
  <si>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</si>
  <si>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</si>
  <si>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</si>
  <si>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</si>
  <si>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</si>
  <si>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</si>
  <si>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</si>
  <si>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</si>
  <si>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</si>
  <si>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</si>
  <si>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</si>
  <si>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</si>
  <si>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</si>
  <si>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</si>
  <si>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</si>
  <si>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</si>
  <si>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</si>
  <si>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</si>
  <si>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</si>
  <si>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</si>
  <si>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</si>
  <si>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</si>
  <si>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</si>
  <si>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</si>
  <si>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</si>
  <si>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</si>
  <si>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</si>
  <si>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</si>
  <si>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</si>
  <si>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</si>
  <si>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</si>
  <si>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</si>
  <si>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</si>
  <si>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</si>
  <si>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</si>
  <si>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</si>
  <si>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</si>
  <si>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</si>
  <si>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</si>
  <si>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</si>
  <si>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</si>
  <si>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</si>
  <si>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</si>
  <si>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</si>
  <si>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</si>
  <si>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</si>
  <si>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</si>
  <si>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</si>
  <si>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</si>
  <si>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</si>
  <si>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</si>
  <si>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</si>
  <si>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</si>
  <si>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</si>
  <si>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</si>
  <si>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</si>
  <si>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</si>
  <si>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</si>
  <si>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</si>
  <si>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</si>
  <si>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</si>
  <si>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</si>
  <si>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</si>
  <si>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</si>
  <si>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</si>
  <si>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</si>
  <si>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</si>
  <si>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</si>
  <si>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</si>
  <si>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</si>
  <si>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</si>
  <si>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</si>
  <si>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</si>
  <si>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</si>
  <si>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</si>
  <si>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</si>
  <si>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</si>
  <si>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</si>
  <si>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</si>
  <si>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</si>
  <si>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</si>
  <si>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</si>
  <si>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</si>
  <si>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</si>
  <si>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</si>
  <si>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</si>
  <si>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</si>
  <si>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</si>
  <si>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</si>
  <si>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</si>
  <si>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</si>
  <si>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</si>
  <si>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</si>
  <si>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</si>
  <si>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</si>
  <si>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</si>
  <si>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</si>
  <si>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</si>
  <si>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</si>
  <si>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</si>
  <si>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</si>
  <si>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</si>
  <si>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</si>
  <si>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</si>
  <si>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</si>
  <si>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</si>
  <si>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</si>
  <si>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</si>
  <si>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</si>
  <si>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</si>
  <si>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</si>
  <si>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</si>
  <si>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</si>
  <si>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</si>
  <si>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</si>
  <si>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</si>
  <si>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</si>
  <si>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</si>
  <si>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</si>
  <si>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</si>
  <si>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</si>
  <si>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</si>
  <si>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</si>
  <si>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</si>
  <si>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</si>
  <si>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</si>
  <si>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</si>
  <si>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</si>
  <si>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</si>
  <si>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</si>
  <si>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</si>
  <si>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</si>
  <si>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</si>
  <si>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</si>
  <si>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</si>
  <si>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</si>
  <si>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</si>
  <si>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</si>
  <si>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</si>
  <si>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</si>
  <si>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</si>
  <si>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</si>
  <si>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</si>
  <si>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</si>
  <si>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</si>
  <si>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</si>
  <si>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</si>
  <si>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</si>
  <si>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</si>
  <si>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</si>
  <si>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</si>
  <si>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</si>
  <si>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</si>
  <si>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</si>
  <si>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</si>
  <si>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</si>
  <si>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</si>
  <si>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</si>
  <si>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</si>
  <si>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</si>
  <si>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</si>
  <si>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</si>
  <si>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</si>
  <si>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</si>
  <si>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</si>
  <si>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</si>
  <si>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</si>
  <si>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</si>
  <si>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</si>
  <si>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</si>
  <si>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</si>
  <si>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</si>
  <si>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</si>
  <si>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</si>
  <si>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</si>
  <si>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</si>
  <si>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</si>
  <si>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</si>
  <si>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</si>
  <si>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</si>
  <si>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</si>
  <si>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</si>
  <si>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</si>
  <si>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</si>
  <si>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</si>
  <si>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</si>
  <si>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</si>
  <si>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</si>
  <si>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</si>
  <si>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</si>
  <si>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</si>
  <si>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</si>
  <si>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</si>
  <si>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</si>
  <si>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</si>
  <si>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</si>
  <si>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</si>
  <si>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</si>
  <si>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</si>
  <si>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</si>
  <si>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</si>
  <si>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</si>
  <si>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</si>
  <si>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</si>
  <si>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</si>
  <si>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</si>
  <si>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</si>
  <si>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</si>
  <si>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</si>
  <si>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</si>
  <si>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</si>
  <si>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</si>
  <si>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</si>
  <si>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</si>
  <si>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</si>
  <si>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</si>
  <si>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</si>
  <si>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</si>
  <si>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</si>
  <si>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</si>
  <si>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</si>
  <si>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</si>
  <si>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</si>
  <si>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</si>
  <si>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</si>
  <si>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</si>
  <si>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</si>
  <si>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</si>
  <si>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</si>
  <si>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</si>
  <si>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</si>
  <si>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</si>
  <si>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</si>
  <si>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</si>
  <si>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</si>
  <si>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</si>
  <si>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</si>
  <si>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</si>
  <si>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</si>
  <si>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</si>
  <si>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</si>
  <si>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</si>
  <si>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</si>
  <si>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</si>
  <si>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</si>
  <si>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</si>
  <si>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</si>
  <si>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</si>
  <si>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</si>
  <si>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</si>
  <si>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</si>
  <si>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</si>
  <si>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</si>
  <si>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</si>
  <si>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</si>
  <si>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</si>
  <si>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</si>
  <si>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</si>
  <si>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</si>
  <si>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</si>
  <si>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</si>
  <si>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</si>
  <si>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</si>
  <si>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</si>
  <si>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</si>
  <si>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</si>
  <si>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</si>
  <si>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</si>
  <si>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</si>
  <si>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</si>
  <si>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</si>
  <si>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</si>
  <si>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</si>
  <si>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</si>
  <si>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</si>
  <si>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</si>
  <si>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</si>
  <si>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</si>
  <si>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</si>
  <si>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</si>
  <si>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</si>
  <si>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</si>
  <si>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</si>
  <si>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</si>
  <si>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</si>
  <si>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</si>
  <si>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</si>
  <si>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</si>
  <si>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</si>
  <si>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</si>
  <si>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</si>
  <si>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</si>
  <si>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</si>
  <si>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</si>
  <si>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</si>
  <si>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</si>
  <si>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</si>
  <si>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</si>
  <si>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</si>
  <si>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</si>
  <si>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</si>
  <si>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</si>
  <si>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</si>
  <si>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</si>
  <si>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</si>
  <si>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</si>
  <si>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</si>
  <si>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</si>
  <si>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</si>
  <si>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</si>
  <si>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</si>
  <si>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</si>
  <si>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</si>
  <si>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</si>
  <si>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</si>
  <si>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</si>
  <si>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</si>
  <si>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</si>
  <si>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</si>
  <si>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</si>
  <si>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</si>
  <si>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</si>
  <si>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</si>
  <si>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</si>
  <si>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</si>
  <si>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</si>
  <si>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</si>
  <si>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</si>
  <si>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</si>
  <si>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</si>
  <si>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</si>
  <si>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</si>
  <si>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</si>
  <si>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</si>
  <si>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</si>
  <si>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</si>
  <si>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</si>
  <si>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</si>
  <si>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</si>
  <si>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</si>
  <si>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</si>
  <si>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</si>
  <si>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</si>
  <si>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</si>
  <si>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</si>
  <si>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</si>
  <si>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</si>
  <si>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</si>
  <si>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</si>
  <si>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</si>
  <si>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</si>
  <si>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</si>
  <si>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</si>
  <si>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</si>
  <si>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</si>
  <si>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</si>
  <si>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</si>
  <si>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</si>
  <si>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</si>
  <si>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</si>
  <si>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</si>
  <si>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</si>
  <si>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</si>
  <si>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</si>
  <si>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</si>
  <si>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</si>
  <si>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</si>
  <si>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</si>
  <si>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</si>
  <si>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</si>
  <si>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</si>
  <si>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</si>
  <si>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</si>
  <si>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</si>
  <si>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</si>
  <si>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</si>
  <si>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</si>
  <si>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</si>
  <si>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</si>
  <si>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</si>
  <si>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</si>
  <si>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</si>
  <si>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</si>
  <si>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</si>
  <si>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</si>
  <si>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</si>
  <si>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</si>
  <si>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</si>
  <si>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</si>
  <si>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</si>
  <si>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</si>
  <si>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</si>
  <si>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</si>
  <si>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</si>
  <si>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</si>
  <si>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</si>
  <si>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</si>
  <si>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</si>
  <si>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</si>
  <si>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</si>
  <si>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</si>
  <si>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</si>
  <si>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</si>
  <si>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</si>
  <si>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</si>
  <si>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</si>
  <si>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</si>
  <si>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</si>
  <si>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</si>
  <si>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</si>
  <si>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</si>
  <si>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</si>
  <si>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</si>
  <si>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</si>
  <si>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</si>
  <si>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</si>
  <si>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</si>
  <si>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</si>
  <si>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</si>
  <si>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</si>
  <si>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</si>
  <si>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</si>
  <si>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</si>
  <si>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</si>
  <si>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</si>
  <si>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</si>
  <si>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</si>
  <si>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</si>
  <si>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</si>
  <si>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</si>
  <si>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</si>
  <si>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</si>
  <si>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</si>
  <si>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</si>
  <si>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</si>
  <si>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</si>
  <si>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</si>
  <si>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</si>
  <si>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</si>
  <si>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</si>
  <si>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</si>
  <si>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</si>
  <si>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</si>
  <si>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</si>
  <si>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</si>
  <si>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</si>
  <si>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</si>
  <si>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</si>
  <si>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</si>
  <si>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</si>
  <si>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</si>
  <si>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</si>
  <si>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</si>
  <si>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</si>
  <si>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</si>
  <si>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</si>
  <si>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</si>
  <si>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</si>
  <si>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</si>
  <si>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</si>
  <si>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</si>
  <si>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</si>
  <si>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</si>
  <si>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</si>
  <si>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</si>
  <si>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</si>
  <si>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</si>
  <si>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</si>
  <si>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</si>
  <si>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</si>
  <si>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</si>
  <si>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</si>
  <si>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</si>
  <si>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</si>
  <si>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</si>
  <si>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</si>
  <si>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</si>
  <si>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</si>
  <si>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</si>
  <si>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</si>
  <si>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</si>
  <si>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</si>
  <si>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</si>
  <si>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</si>
  <si>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</si>
  <si>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</si>
  <si>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</si>
  <si>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</si>
  <si>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</si>
  <si>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</si>
  <si>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</si>
  <si>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</si>
  <si>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</si>
  <si>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</si>
  <si>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</si>
  <si>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</si>
  <si>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</si>
  <si>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</si>
  <si>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</si>
  <si>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</si>
  <si>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</si>
  <si>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</si>
  <si>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</si>
  <si>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</si>
  <si>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</si>
  <si>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</si>
  <si>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</si>
  <si>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</si>
  <si>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</si>
  <si>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</si>
  <si>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</si>
  <si>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</si>
  <si>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</si>
  <si>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</si>
  <si>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</si>
  <si>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</si>
  <si>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</si>
  <si>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</si>
  <si>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</si>
  <si>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</si>
  <si>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</si>
  <si>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</si>
  <si>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</si>
  <si>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</si>
  <si>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</si>
  <si>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</si>
  <si>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</si>
  <si>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</si>
  <si>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</si>
  <si>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</si>
  <si>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</si>
  <si>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</si>
  <si>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</si>
  <si>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</si>
  <si>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</si>
  <si>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</si>
  <si>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</si>
  <si>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</si>
  <si>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</si>
  <si>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</si>
  <si>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</si>
  <si>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</si>
  <si>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</si>
  <si>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</si>
  <si>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</si>
  <si>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</si>
  <si>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</si>
  <si>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</si>
  <si>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</si>
  <si>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</si>
  <si>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</si>
  <si>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</si>
  <si>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</si>
  <si>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</si>
  <si>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</si>
  <si>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</si>
  <si>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</si>
  <si>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</si>
  <si>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</si>
  <si>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</si>
  <si>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</si>
  <si>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</si>
  <si>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</si>
  <si>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</si>
  <si>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</si>
  <si>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</si>
  <si>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</si>
  <si>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</si>
  <si>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</si>
  <si>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</si>
  <si>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</si>
  <si>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</si>
  <si>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</si>
  <si>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</si>
  <si>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</si>
  <si>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</si>
  <si>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</si>
  <si>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</si>
  <si>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</si>
  <si>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</si>
  <si>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</si>
  <si>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</si>
  <si>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</si>
  <si>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</si>
  <si>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</si>
  <si>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</si>
  <si>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</si>
  <si>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</si>
  <si>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</si>
  <si>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</si>
  <si>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</si>
  <si>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</si>
  <si>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</si>
  <si>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</si>
  <si>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</si>
  <si>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</si>
  <si>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</si>
  <si>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</si>
  <si>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</si>
  <si>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</si>
  <si>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</si>
  <si>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</si>
  <si>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</si>
  <si>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</si>
  <si>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</si>
  <si>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</si>
  <si>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</si>
  <si>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</si>
  <si>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</si>
  <si>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</si>
  <si>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</si>
  <si>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</si>
  <si>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</si>
  <si>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</si>
  <si>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</si>
  <si>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</si>
  <si>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</si>
  <si>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</si>
  <si>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</si>
  <si>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</si>
  <si>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</si>
  <si>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</si>
  <si>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</si>
  <si>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</si>
  <si>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</si>
  <si>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</si>
  <si>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</si>
  <si>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</si>
  <si>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</si>
  <si>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</si>
  <si>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</si>
  <si>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</si>
  <si>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</si>
  <si>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</si>
  <si>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</si>
  <si>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</si>
  <si>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</si>
  <si>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</si>
  <si>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</si>
  <si>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</si>
  <si>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</si>
  <si>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</si>
  <si>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</si>
  <si>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</si>
  <si>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</si>
  <si>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</si>
  <si>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</si>
  <si>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</si>
  <si>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</si>
  <si>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</si>
  <si>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</si>
  <si>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</si>
  <si>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</si>
  <si>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</si>
  <si>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</si>
  <si>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</si>
  <si>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</si>
  <si>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</si>
  <si>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</si>
  <si>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</si>
  <si>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</si>
  <si>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</si>
  <si>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</si>
  <si>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</si>
  <si>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</si>
  <si>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</si>
  <si>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</si>
  <si>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</si>
  <si>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</si>
  <si>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</si>
  <si>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</si>
  <si>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</si>
  <si>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</si>
  <si>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</si>
  <si>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</si>
  <si>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</si>
  <si>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</si>
  <si>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</si>
  <si>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</si>
  <si>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</si>
  <si>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</si>
  <si>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</si>
  <si>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</si>
  <si>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</si>
  <si>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</si>
  <si>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</si>
  <si>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</si>
  <si>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</si>
  <si>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</si>
  <si>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</si>
  <si>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</si>
  <si>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</si>
  <si>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</si>
  <si>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</si>
  <si>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</si>
  <si>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</si>
  <si>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</si>
  <si>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</si>
  <si>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</si>
  <si>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</si>
  <si>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</si>
  <si>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</si>
  <si>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</si>
  <si>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</si>
  <si>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</si>
  <si>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</si>
  <si>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</si>
  <si>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</si>
  <si>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</si>
  <si>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</si>
  <si>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</si>
  <si>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</si>
  <si>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</si>
  <si>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</si>
  <si>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</si>
  <si>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</si>
  <si>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</si>
  <si>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</si>
  <si>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</si>
  <si>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</si>
  <si>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</si>
  <si>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</si>
  <si>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</si>
  <si>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</si>
  <si>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</si>
  <si>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</si>
  <si>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</si>
  <si>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</si>
  <si>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</si>
  <si>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</si>
  <si>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</si>
  <si>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</si>
  <si>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</si>
  <si>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</si>
  <si>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</si>
  <si>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</si>
  <si>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</si>
  <si>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</si>
  <si>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</si>
  <si>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</si>
  <si>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</si>
  <si>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</si>
  <si>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</si>
  <si>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</si>
  <si>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</si>
  <si>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</si>
  <si>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</si>
  <si>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</si>
  <si>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</si>
  <si>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</si>
  <si>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</si>
  <si>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</si>
  <si>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</si>
  <si>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</si>
  <si>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</si>
  <si>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</si>
  <si>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</si>
  <si>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</si>
  <si>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</si>
  <si>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</si>
  <si>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</si>
  <si>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</si>
  <si>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</si>
  <si>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</si>
  <si>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</si>
  <si>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</si>
  <si>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</si>
  <si>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</si>
  <si>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</si>
  <si>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</si>
  <si>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</si>
  <si>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</si>
  <si>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</si>
  <si>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</si>
  <si>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</si>
  <si>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</si>
  <si>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</si>
  <si>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</si>
  <si>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</si>
  <si>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</si>
  <si>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</si>
  <si>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</si>
  <si>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</si>
  <si>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</si>
  <si>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</si>
  <si>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</si>
  <si>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</si>
  <si>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</si>
  <si>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</si>
  <si>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</si>
  <si>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</si>
  <si>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</si>
  <si>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</si>
  <si>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</si>
  <si>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</si>
  <si>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</si>
  <si>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</si>
  <si>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</si>
  <si>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</si>
  <si>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</si>
  <si>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</si>
  <si>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</si>
  <si>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</si>
  <si>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</si>
  <si>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</si>
  <si>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</si>
  <si>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</si>
  <si>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</si>
  <si>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</si>
  <si>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</si>
  <si>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</si>
  <si>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</si>
  <si>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</si>
  <si>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</si>
  <si>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</si>
  <si>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</si>
  <si>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</si>
  <si>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</si>
  <si>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</si>
  <si>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</si>
  <si>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</si>
  <si>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</si>
  <si>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</si>
  <si>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</si>
  <si>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</si>
  <si>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</si>
  <si>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</si>
  <si>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</si>
  <si>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</si>
  <si>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</si>
  <si>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</si>
  <si>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</si>
  <si>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</si>
  <si>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</si>
  <si>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</si>
  <si>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</si>
  <si>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</si>
  <si>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</si>
  <si>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</si>
  <si>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</si>
  <si>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</si>
  <si>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</si>
  <si>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</si>
  <si>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</si>
  <si>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</si>
  <si>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</si>
  <si>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</si>
  <si>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</si>
  <si>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</si>
  <si>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</si>
  <si>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</si>
  <si>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</si>
  <si>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</si>
  <si>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</si>
  <si>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</si>
  <si>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</si>
  <si>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</si>
  <si>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</si>
  <si>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</si>
  <si>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</si>
  <si>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</si>
  <si>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</si>
  <si>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</si>
  <si>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</si>
  <si>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</si>
  <si>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</si>
  <si>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</si>
  <si>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</si>
  <si>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</si>
  <si>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</si>
  <si>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</si>
  <si>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</si>
  <si>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</si>
  <si>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</si>
  <si>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</si>
  <si>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</si>
  <si>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</si>
  <si>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</si>
  <si>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</si>
  <si>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</si>
  <si>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</si>
  <si>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</si>
  <si>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</si>
  <si>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</si>
  <si>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</si>
  <si>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</si>
  <si>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</si>
  <si>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</si>
  <si>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</si>
  <si>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</si>
  <si>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</si>
  <si>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</si>
  <si>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</si>
  <si>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</si>
  <si>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</si>
  <si>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</si>
  <si>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</si>
  <si>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</si>
  <si>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</si>
  <si>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</si>
  <si>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</si>
  <si>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</si>
  <si>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</si>
  <si>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</si>
  <si>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</si>
  <si>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</si>
  <si>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</si>
  <si>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</si>
  <si>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</si>
  <si>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</si>
  <si>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</si>
  <si>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</si>
  <si>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</si>
  <si>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</si>
  <si>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</si>
  <si>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</si>
  <si>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</si>
  <si>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</si>
  <si>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</si>
  <si>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</si>
  <si>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</si>
  <si>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</si>
  <si>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</si>
  <si>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</si>
  <si>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</si>
  <si>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</si>
  <si>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</si>
  <si>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</si>
  <si>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</si>
  <si>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</si>
  <si>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</si>
  <si>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</si>
  <si>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</si>
  <si>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</si>
  <si>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</si>
  <si>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</si>
  <si>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</si>
  <si>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</si>
  <si>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</si>
  <si>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</si>
  <si>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</si>
  <si>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</si>
  <si>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</si>
  <si>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</si>
  <si>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</si>
  <si>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</si>
  <si>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</si>
  <si>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</si>
  <si>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</si>
  <si>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</si>
  <si>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</si>
  <si>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</si>
  <si>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</si>
  <si>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</si>
  <si>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</si>
  <si>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</si>
  <si>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</si>
  <si>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</si>
  <si>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</si>
  <si>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</si>
  <si>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</si>
  <si>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</si>
  <si>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</si>
  <si>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</si>
  <si>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</si>
  <si>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</si>
  <si>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</si>
  <si>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</si>
  <si>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</si>
  <si>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</si>
  <si>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</si>
  <si>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</si>
  <si>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</si>
  <si>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</si>
  <si>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</si>
  <si>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</si>
  <si>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</si>
  <si>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</si>
  <si>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</si>
  <si>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</si>
  <si>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</si>
  <si>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</si>
  <si>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</si>
  <si>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</si>
  <si>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</si>
  <si>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</si>
  <si>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</si>
  <si>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</si>
  <si>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</si>
  <si>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</si>
  <si>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</si>
  <si>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</si>
  <si>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</si>
  <si>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</si>
  <si>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</si>
  <si>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</si>
  <si>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</si>
  <si>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</si>
  <si>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</si>
  <si>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</si>
  <si>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</si>
  <si>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</si>
  <si>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</si>
  <si>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</si>
  <si>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</si>
  <si>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</si>
  <si>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</si>
  <si>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</si>
  <si>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</si>
  <si>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</si>
  <si>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</si>
  <si>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</si>
  <si>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</si>
  <si>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</si>
  <si>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</si>
  <si>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</si>
  <si>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</si>
  <si>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</si>
  <si>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</si>
  <si>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</si>
  <si>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</si>
  <si>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</si>
  <si>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</si>
  <si>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</si>
  <si>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</si>
  <si>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</si>
  <si>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</si>
  <si>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</si>
  <si>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</si>
  <si>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</si>
  <si>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</si>
  <si>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</si>
  <si>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</si>
  <si>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</si>
  <si>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</si>
  <si>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</si>
  <si>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</si>
  <si>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</si>
  <si>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</si>
  <si>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</si>
  <si>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</si>
  <si>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</si>
  <si>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</si>
  <si>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</si>
  <si>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</si>
  <si>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</si>
  <si>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</si>
  <si>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</si>
  <si>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</si>
  <si>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</si>
  <si>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</si>
  <si>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</si>
  <si>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</si>
  <si>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</si>
  <si>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</si>
  <si>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</si>
  <si>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</si>
  <si>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</si>
  <si>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</si>
  <si>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</si>
  <si>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</si>
  <si>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</si>
  <si>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</si>
  <si>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</si>
  <si>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</si>
  <si>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</si>
  <si>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</si>
  <si>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</si>
  <si>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</si>
  <si>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</si>
  <si>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</si>
  <si>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</si>
  <si>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</si>
  <si>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</si>
  <si>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</si>
  <si>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</si>
  <si>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</si>
  <si>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</si>
  <si>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</si>
  <si>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</si>
  <si>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</si>
  <si>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</si>
  <si>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</si>
  <si>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</si>
  <si>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</si>
  <si>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</si>
  <si>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</si>
  <si>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</si>
  <si>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</si>
  <si>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</si>
  <si>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</si>
  <si>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</si>
  <si>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</si>
  <si>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</si>
  <si>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</si>
  <si>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</si>
  <si>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</si>
  <si>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</si>
  <si>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</si>
  <si>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</si>
  <si>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</si>
  <si>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</si>
  <si>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</si>
  <si>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</si>
  <si>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</si>
  <si>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</si>
  <si>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</si>
  <si>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</si>
  <si>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</si>
  <si>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</si>
  <si>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</si>
  <si>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</si>
  <si>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</si>
  <si>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</si>
  <si>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</si>
  <si>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</si>
  <si>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</si>
  <si>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</si>
  <si>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</si>
  <si>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</si>
  <si>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</si>
  <si>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</si>
  <si>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</si>
  <si>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</si>
  <si>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</si>
  <si>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</si>
  <si>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</si>
  <si>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</si>
  <si>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</si>
  <si>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</si>
  <si>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</si>
  <si>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</si>
  <si>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</si>
  <si>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</si>
  <si>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</si>
  <si>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</si>
  <si>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</si>
  <si>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</si>
  <si>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</si>
  <si>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</si>
  <si>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</si>
  <si>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</si>
  <si>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</si>
  <si>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</si>
  <si>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</si>
  <si>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</si>
  <si>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</si>
  <si>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</si>
  <si>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</si>
  <si>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</si>
  <si>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</si>
  <si>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</si>
  <si>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</si>
  <si>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</si>
  <si>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</si>
  <si>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</si>
  <si>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</si>
  <si>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</si>
  <si>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</si>
  <si>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</si>
  <si>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</si>
  <si>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</si>
  <si>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</si>
  <si>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</si>
  <si>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</si>
  <si>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</si>
  <si>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</si>
  <si>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</si>
  <si>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</si>
  <si>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</si>
  <si>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</si>
  <si>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</si>
  <si>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</si>
  <si>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</si>
  <si>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</si>
  <si>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</si>
  <si>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</si>
  <si>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</si>
  <si>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</si>
  <si>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</si>
  <si>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</si>
  <si>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</si>
  <si>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</si>
  <si>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</si>
  <si>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</si>
  <si>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</si>
  <si>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</si>
  <si>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</si>
  <si>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</si>
  <si>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</si>
  <si>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</si>
  <si>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</si>
  <si>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</si>
  <si>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</si>
  <si>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</si>
  <si>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</si>
  <si>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</si>
  <si>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</si>
  <si>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</si>
  <si>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</si>
  <si>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</si>
  <si>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</si>
  <si>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</si>
  <si>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</si>
  <si>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</si>
  <si>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</si>
  <si>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</si>
  <si>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</si>
  <si>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</si>
  <si>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</si>
  <si>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</si>
  <si>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</si>
  <si>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</si>
  <si>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</si>
  <si>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</si>
  <si>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</si>
  <si>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</si>
  <si>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</si>
  <si>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</si>
  <si>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</si>
  <si>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</si>
  <si>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</si>
  <si>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</si>
  <si>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</si>
  <si>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</si>
  <si>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</si>
  <si>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</si>
  <si>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</si>
  <si>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</si>
  <si>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</si>
  <si>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</si>
  <si>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</si>
  <si>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</si>
  <si>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</si>
  <si>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</si>
  <si>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</si>
  <si>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</si>
  <si>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</si>
  <si>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</si>
  <si>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</si>
  <si>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</si>
  <si>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</si>
  <si>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</si>
  <si>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</si>
  <si>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</si>
  <si>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</si>
  <si>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</si>
  <si>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</si>
  <si>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</si>
  <si>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</si>
  <si>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</si>
  <si>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</si>
  <si>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</si>
  <si>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</si>
  <si>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</si>
  <si>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</si>
  <si>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</si>
  <si>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</si>
  <si>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</si>
  <si>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</si>
  <si>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</si>
  <si>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</si>
  <si>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</si>
  <si>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</si>
  <si>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</si>
  <si>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</si>
  <si>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</si>
  <si>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</si>
  <si>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</si>
  <si>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</si>
  <si>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</si>
  <si>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</si>
  <si>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</si>
  <si>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</si>
  <si>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</si>
  <si>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</si>
  <si>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</si>
  <si>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</si>
  <si>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</si>
  <si>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</si>
  <si>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</si>
  <si>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</si>
  <si>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</si>
  <si>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</si>
  <si>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</si>
  <si>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</si>
  <si>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</si>
  <si>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</si>
  <si>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</si>
  <si>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</si>
  <si>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</si>
  <si>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</si>
  <si>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</si>
  <si>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</si>
  <si>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</si>
  <si>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</si>
  <si>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</si>
  <si>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</si>
  <si>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</si>
  <si>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</si>
  <si>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</si>
  <si>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</si>
  <si>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</si>
  <si>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</si>
  <si>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</si>
  <si>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</si>
  <si>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</si>
  <si>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</si>
  <si>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</si>
  <si>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</si>
  <si>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</si>
  <si>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</si>
  <si>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</si>
  <si>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</si>
  <si>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</si>
  <si>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</si>
  <si>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</si>
  <si>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</si>
  <si>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</si>
  <si>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</si>
  <si>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</si>
  <si>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</si>
  <si>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</si>
  <si>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</si>
  <si>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</si>
  <si>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</si>
  <si>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</si>
  <si>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</si>
  <si>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</si>
  <si>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</si>
  <si>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</si>
  <si>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</si>
  <si>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</si>
  <si>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</si>
  <si>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</si>
  <si>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</si>
  <si>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</si>
  <si>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</si>
  <si>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</si>
  <si>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</si>
  <si>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</si>
  <si>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</si>
  <si>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</si>
  <si>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</si>
  <si>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</si>
  <si>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</si>
  <si>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</si>
  <si>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</si>
  <si>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</si>
  <si>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</si>
  <si>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</si>
  <si>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</si>
  <si>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</si>
  <si>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</si>
  <si>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</si>
  <si>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</si>
  <si>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</si>
  <si>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</si>
  <si>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</si>
  <si>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</si>
  <si>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</si>
  <si>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</si>
  <si>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</si>
  <si>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</si>
  <si>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</si>
  <si>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</si>
  <si>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</si>
  <si>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</si>
  <si>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</si>
  <si>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</si>
  <si>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</si>
  <si>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</si>
  <si>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</si>
  <si>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</si>
  <si>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</si>
  <si>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</si>
  <si>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</si>
  <si>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</si>
  <si>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</si>
  <si>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</si>
  <si>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</si>
  <si>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</si>
  <si>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</si>
  <si>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</si>
  <si>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</si>
  <si>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</si>
  <si>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</si>
  <si>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</si>
  <si>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</si>
  <si>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</si>
  <si>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</si>
  <si>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</si>
  <si>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</si>
  <si>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</si>
  <si>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</si>
  <si>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</si>
  <si>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</si>
  <si>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</si>
  <si>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</si>
  <si>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</si>
  <si>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</si>
  <si>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</si>
  <si>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</si>
  <si>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</si>
  <si>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</si>
  <si>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</si>
  <si>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</si>
  <si>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</si>
  <si>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</si>
  <si>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</si>
  <si>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</si>
  <si>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</si>
  <si>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</si>
  <si>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</si>
  <si>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</si>
  <si>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</si>
  <si>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</si>
  <si>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</si>
  <si>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</si>
  <si>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</si>
  <si>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</si>
  <si>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</si>
  <si>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</si>
  <si>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</si>
  <si>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</si>
  <si>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</si>
  <si>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</si>
  <si>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</si>
  <si>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</si>
  <si>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</si>
  <si>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</si>
  <si>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</si>
  <si>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</si>
  <si>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</si>
  <si>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</si>
  <si>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</si>
  <si>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</si>
  <si>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</si>
  <si>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</si>
  <si>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</si>
  <si>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</si>
  <si>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</si>
  <si>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</si>
  <si>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</si>
  <si>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</si>
  <si>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</si>
  <si>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</si>
  <si>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</si>
  <si>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</si>
  <si>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</si>
  <si>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</si>
  <si>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</si>
  <si>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</si>
  <si>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</si>
  <si>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</si>
  <si>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</si>
  <si>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</si>
  <si>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</si>
  <si>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</si>
  <si>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</si>
  <si>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</si>
  <si>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</si>
  <si>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</si>
  <si>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</si>
  <si>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</si>
  <si>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</si>
  <si>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</si>
  <si>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</si>
  <si>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</si>
  <si>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</si>
  <si>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</si>
  <si>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</si>
  <si>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</si>
  <si>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</si>
  <si>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</si>
  <si>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</si>
  <si>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</si>
  <si>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</si>
  <si>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</si>
  <si>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</si>
  <si>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</si>
  <si>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</si>
  <si>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</si>
  <si>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</si>
  <si>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</si>
  <si>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</si>
  <si>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</si>
  <si>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</si>
  <si>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</si>
  <si>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</si>
  <si>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</si>
  <si>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</si>
  <si>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</si>
  <si>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</si>
  <si>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</si>
  <si>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</si>
  <si>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</si>
  <si>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</si>
  <si>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</si>
  <si>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</si>
  <si>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</si>
  <si>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</si>
  <si>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</si>
  <si>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</si>
  <si>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</si>
  <si>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</si>
  <si>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</si>
  <si>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</si>
  <si>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</si>
  <si>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</si>
  <si>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</si>
  <si>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</si>
  <si>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</si>
  <si>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</si>
  <si>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</si>
  <si>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</si>
  <si>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</si>
  <si>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</si>
  <si>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</si>
  <si>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</si>
  <si>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</si>
  <si>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</si>
  <si>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</si>
  <si>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</si>
  <si>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</si>
  <si>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</si>
  <si>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</si>
  <si>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</si>
  <si>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</si>
  <si>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</si>
  <si>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</si>
  <si>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</si>
  <si>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</si>
  <si>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</si>
  <si>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</si>
  <si>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</si>
  <si>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</si>
  <si>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</si>
  <si>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</si>
  <si>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</si>
  <si>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</si>
  <si>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</si>
  <si>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</si>
  <si>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</si>
  <si>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</si>
  <si>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</si>
  <si>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</si>
  <si>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</si>
  <si>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</si>
  <si>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</si>
  <si>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</si>
  <si>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</si>
  <si>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</si>
  <si>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</si>
  <si>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</si>
  <si>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</si>
  <si>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</si>
  <si>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</si>
  <si>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</si>
  <si>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</si>
  <si>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</si>
  <si>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</si>
  <si>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</si>
  <si>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</si>
  <si>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</si>
  <si>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</si>
  <si>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</si>
  <si>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</si>
  <si>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</si>
  <si>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</si>
  <si>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</si>
  <si>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</si>
  <si>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</si>
  <si>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</si>
  <si>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</si>
  <si>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</si>
  <si>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</si>
  <si>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</si>
  <si>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</si>
  <si>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</si>
  <si>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</si>
  <si>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</si>
  <si>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</si>
  <si>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</si>
  <si>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</si>
  <si>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</si>
  <si>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</si>
  <si>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</si>
  <si>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</si>
  <si>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</si>
  <si>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</si>
  <si>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</si>
  <si>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</si>
  <si>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</si>
  <si>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</si>
  <si>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</si>
  <si>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</si>
  <si>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</si>
  <si>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</si>
  <si>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</si>
  <si>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</si>
  <si>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</si>
  <si>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</si>
  <si>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</si>
  <si>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</si>
  <si>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</si>
  <si>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</si>
  <si>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</si>
  <si>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</si>
  <si>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</si>
  <si>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</si>
  <si>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</si>
  <si>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</si>
  <si>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</si>
  <si>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</si>
  <si>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</si>
  <si>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</si>
  <si>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</si>
  <si>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</si>
  <si>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</si>
  <si>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</si>
  <si>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</si>
  <si>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</si>
  <si>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</si>
  <si>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</si>
  <si>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</si>
  <si>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</si>
  <si>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</si>
  <si>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</si>
  <si>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</si>
  <si>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</si>
  <si>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</si>
  <si>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</si>
  <si>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</si>
  <si>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</si>
  <si>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</si>
  <si>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</si>
  <si>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</si>
  <si>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</si>
  <si>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</si>
  <si>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</si>
  <si>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</si>
  <si>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</si>
  <si>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</si>
  <si>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</si>
  <si>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</si>
  <si>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</si>
  <si>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</si>
  <si>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</si>
  <si>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</si>
  <si>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</si>
  <si>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</si>
  <si>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</si>
  <si>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</si>
  <si>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</si>
  <si>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</si>
  <si>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</si>
  <si>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</si>
  <si>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</si>
  <si>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</si>
  <si>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</si>
  <si>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</si>
  <si>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</si>
  <si>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</si>
  <si>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</si>
  <si>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</si>
  <si>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</si>
  <si>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</si>
  <si>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</si>
  <si>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</si>
  <si>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</si>
  <si>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</si>
  <si>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</si>
  <si>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</si>
  <si>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</si>
  <si>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</si>
  <si>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</si>
  <si>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</si>
  <si>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</si>
  <si>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</si>
  <si>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</si>
  <si>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</si>
  <si>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</si>
  <si>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</si>
  <si>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</si>
  <si>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</si>
  <si>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</si>
  <si>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</si>
  <si>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</si>
  <si>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</si>
  <si>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</si>
  <si>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</si>
  <si>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</si>
  <si>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</si>
  <si>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</si>
  <si>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</si>
  <si>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</si>
  <si>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</si>
  <si>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</si>
  <si>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</si>
  <si>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</si>
  <si>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</si>
  <si>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</si>
  <si>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</si>
  <si>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</si>
  <si>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</si>
  <si>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</si>
  <si>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</si>
  <si>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</si>
  <si>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</si>
  <si>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</si>
  <si>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</si>
  <si>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</si>
  <si>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</si>
  <si>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</si>
  <si>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</si>
  <si>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</si>
  <si>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</si>
  <si>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</si>
  <si>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</si>
  <si>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</si>
  <si>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</si>
  <si>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</si>
  <si>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</si>
  <si>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</si>
  <si>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</si>
  <si>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</si>
  <si>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</si>
  <si>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</si>
  <si>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</si>
  <si>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</si>
  <si>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</si>
  <si>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</si>
  <si>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</si>
  <si>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</si>
  <si>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</si>
  <si>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</si>
  <si>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</si>
  <si>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</si>
  <si>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</si>
  <si>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</si>
  <si>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</si>
  <si>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</si>
  <si>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</si>
  <si>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</si>
  <si>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</si>
  <si>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</si>
  <si>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</si>
  <si>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</si>
  <si>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</si>
  <si>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</si>
  <si>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</si>
  <si>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</si>
  <si>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</si>
  <si>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</si>
  <si>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</si>
  <si>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</si>
  <si>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</si>
  <si>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</si>
  <si>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</si>
  <si>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</si>
  <si>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</si>
  <si>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</si>
  <si>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</si>
  <si>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</si>
  <si>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</si>
  <si>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</si>
  <si>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</si>
  <si>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</si>
  <si>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</si>
  <si>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</si>
  <si>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</si>
  <si>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</si>
  <si>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</si>
  <si>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</si>
  <si>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</si>
  <si>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</si>
  <si>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</si>
  <si>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</si>
  <si>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</si>
  <si>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</si>
  <si>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</si>
  <si>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</si>
  <si>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</si>
  <si>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</si>
  <si>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</si>
  <si>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</si>
  <si>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</si>
  <si>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</si>
  <si>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</si>
  <si>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</si>
  <si>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</si>
  <si>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</si>
  <si>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</si>
  <si>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</si>
  <si>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</si>
  <si>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</si>
  <si>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</si>
  <si>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</si>
  <si>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</si>
  <si>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</si>
  <si>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</si>
  <si>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</si>
  <si>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</si>
  <si>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</si>
  <si>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</si>
  <si>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</si>
  <si>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</si>
  <si>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</si>
  <si>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</si>
  <si>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</si>
  <si>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</si>
  <si>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</si>
  <si>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</si>
  <si>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</si>
  <si>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</si>
  <si>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</si>
  <si>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</si>
  <si>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</si>
  <si>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</si>
  <si>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</si>
  <si>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</si>
  <si>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</si>
  <si>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</si>
  <si>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</si>
  <si>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</si>
  <si>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</si>
  <si>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</si>
  <si>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</si>
  <si>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</si>
  <si>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</si>
  <si>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</si>
  <si>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</si>
  <si>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</si>
  <si>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</si>
  <si>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</si>
  <si>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</si>
  <si>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</si>
  <si>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</si>
  <si>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</si>
  <si>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</si>
  <si>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</si>
  <si>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</si>
  <si>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</si>
  <si>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</si>
  <si>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</si>
  <si>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</si>
  <si>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</si>
  <si>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</si>
  <si>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</si>
  <si>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</si>
  <si>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</si>
  <si>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</si>
  <si>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</si>
  <si>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</si>
  <si>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</si>
  <si>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</si>
  <si>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</si>
  <si>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</si>
  <si>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</si>
  <si>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</si>
  <si>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</si>
  <si>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</si>
  <si>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</si>
  <si>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</si>
  <si>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</si>
  <si>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</si>
  <si>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</si>
  <si>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</si>
  <si>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</si>
  <si>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</si>
  <si>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</si>
  <si>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</si>
  <si>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</si>
  <si>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</si>
  <si>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</si>
  <si>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</si>
  <si>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</si>
  <si>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</si>
  <si>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</si>
  <si>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</si>
  <si>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</si>
  <si>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</si>
  <si>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</si>
  <si>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</si>
  <si>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</si>
  <si>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</si>
  <si>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</si>
  <si>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</si>
  <si>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</si>
  <si>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</si>
  <si>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</si>
  <si>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</si>
  <si>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</si>
  <si>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</si>
  <si>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</si>
  <si>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</si>
  <si>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</si>
  <si>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</si>
  <si>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</si>
  <si>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</si>
  <si>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</si>
  <si>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</si>
  <si>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</si>
  <si>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</si>
  <si>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</si>
  <si>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</si>
  <si>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</si>
  <si>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</si>
  <si>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</si>
  <si>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</si>
  <si>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</si>
  <si>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</si>
  <si>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</si>
  <si>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</si>
  <si>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</si>
  <si>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</si>
  <si>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</si>
  <si>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</si>
  <si>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</si>
  <si>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</si>
  <si>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</si>
  <si>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</si>
  <si>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</si>
  <si>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</si>
  <si>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</si>
  <si>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</si>
  <si>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</si>
  <si>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</si>
  <si>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</si>
  <si>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</si>
  <si>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</si>
  <si>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</si>
  <si>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</si>
  <si>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</si>
  <si>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</si>
  <si>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</si>
  <si>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</si>
  <si>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</si>
  <si>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</si>
  <si>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</si>
  <si>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</si>
  <si>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</si>
  <si>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</si>
  <si>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</si>
  <si>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</si>
  <si>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</si>
  <si>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</si>
  <si>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</si>
  <si>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</si>
  <si>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</si>
  <si>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</si>
  <si>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</si>
  <si>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</si>
  <si>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</si>
  <si>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</si>
  <si>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</si>
  <si>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</si>
  <si>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</si>
  <si>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</si>
  <si>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</si>
  <si>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</si>
  <si>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</si>
  <si>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</si>
  <si>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</si>
  <si>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</si>
  <si>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</si>
  <si>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</si>
  <si>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</si>
  <si>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</si>
  <si>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</si>
  <si>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</si>
  <si>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</si>
  <si>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</si>
  <si>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</si>
  <si>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</si>
  <si>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</si>
  <si>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</si>
  <si>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</si>
  <si>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</si>
  <si>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</si>
  <si>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</si>
  <si>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</si>
  <si>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</si>
  <si>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</si>
  <si>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</si>
  <si>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</si>
  <si>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</si>
  <si>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</si>
  <si>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</si>
  <si>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</si>
  <si>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</si>
  <si>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</si>
  <si>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</si>
  <si>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</si>
  <si>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</si>
  <si>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</si>
  <si>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</si>
  <si>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</si>
  <si>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</si>
  <si>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</si>
  <si>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</si>
  <si>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</si>
  <si>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</si>
  <si>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</si>
  <si>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</si>
  <si>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</si>
  <si>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</si>
  <si>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</si>
  <si>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</si>
  <si>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</si>
  <si>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</si>
  <si>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</si>
  <si>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</si>
  <si>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</si>
  <si>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</si>
  <si>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</si>
  <si>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</si>
  <si>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</si>
  <si>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</si>
  <si>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</si>
  <si>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</si>
  <si>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</si>
  <si>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</si>
  <si>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</si>
  <si>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</si>
  <si>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</si>
  <si>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</si>
  <si>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</si>
  <si>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</si>
  <si>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</si>
  <si>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</si>
  <si>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</si>
  <si>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</si>
  <si>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</si>
  <si>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</si>
  <si>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</si>
  <si>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</si>
  <si>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</si>
  <si>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</si>
  <si>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</si>
  <si>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</si>
  <si>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</si>
  <si>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</si>
  <si>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</si>
  <si>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</si>
  <si>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</si>
  <si>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</si>
  <si>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</si>
  <si>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</si>
  <si>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</si>
  <si>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</si>
  <si>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</si>
  <si>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</si>
  <si>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</si>
  <si>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</si>
  <si>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</si>
  <si>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</si>
  <si>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</si>
  <si>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</si>
  <si>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</si>
  <si>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</si>
  <si>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</si>
  <si>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</si>
  <si>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</si>
  <si>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</si>
  <si>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</si>
  <si>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</si>
  <si>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</si>
  <si>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</si>
  <si>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</si>
  <si>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</si>
  <si>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</si>
  <si>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</si>
  <si>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</si>
  <si>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</si>
  <si>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</si>
  <si>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</si>
  <si>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</si>
  <si>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</si>
  <si>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</si>
  <si>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</si>
  <si>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</si>
  <si>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</si>
  <si>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</si>
  <si>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</si>
  <si>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</si>
  <si>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</si>
  <si>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</si>
  <si>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</si>
  <si>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</si>
  <si>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</si>
  <si>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</si>
  <si>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</si>
  <si>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</si>
  <si>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</si>
  <si>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</si>
  <si>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</si>
  <si>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</si>
  <si>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</si>
  <si>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</si>
  <si>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</si>
  <si>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</si>
  <si>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</si>
  <si>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</si>
  <si>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</si>
  <si>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</si>
  <si>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</si>
  <si>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</si>
  <si>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</si>
  <si>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</si>
  <si>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</si>
  <si>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</si>
  <si>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</si>
  <si>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</si>
  <si>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</si>
  <si>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</si>
  <si>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</si>
  <si>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</si>
  <si>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</si>
  <si>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</si>
  <si>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</si>
  <si>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</si>
  <si>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</si>
  <si>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</si>
  <si>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</si>
  <si>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</si>
  <si>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</si>
  <si>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</si>
  <si>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</si>
  <si>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</si>
  <si>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</si>
  <si>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</si>
  <si>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</si>
  <si>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</si>
  <si>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</si>
  <si>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</si>
  <si>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</si>
  <si>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</si>
  <si>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</si>
  <si>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</si>
  <si>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</si>
  <si>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</si>
  <si>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</si>
  <si>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</si>
  <si>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</si>
  <si>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</si>
  <si>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</si>
  <si>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</si>
  <si>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</si>
  <si>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</si>
  <si>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</si>
  <si>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</si>
  <si>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</si>
  <si>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</si>
  <si>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</si>
  <si>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</si>
  <si>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</si>
  <si>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</si>
  <si>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</si>
  <si>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</si>
  <si>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</si>
  <si>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</si>
  <si>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</si>
  <si>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</si>
  <si>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</si>
  <si>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</si>
  <si>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</si>
  <si>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</si>
  <si>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</si>
  <si>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</si>
  <si>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</si>
  <si>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</si>
  <si>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</si>
  <si>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</si>
  <si>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</si>
  <si>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</si>
  <si>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</si>
  <si>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</si>
  <si>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</si>
  <si>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</si>
  <si>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</si>
  <si>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</si>
  <si>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</si>
  <si>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</si>
  <si>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</si>
  <si>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</si>
  <si>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</si>
  <si>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</si>
  <si>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</si>
  <si>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</si>
  <si>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</si>
  <si>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</si>
  <si>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</si>
  <si>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</si>
  <si>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</si>
  <si>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</si>
  <si>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</si>
  <si>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</si>
  <si>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</si>
  <si>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</si>
  <si>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</si>
  <si>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</si>
  <si>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</si>
  <si>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</si>
  <si>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</si>
  <si>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</si>
  <si>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</si>
  <si>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</si>
  <si>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</si>
  <si>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</si>
  <si>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</si>
  <si>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</si>
  <si>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</si>
  <si>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</si>
  <si>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</si>
  <si>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</si>
  <si>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</si>
  <si>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</si>
  <si>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</si>
  <si>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</si>
  <si>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</si>
  <si>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</si>
  <si>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</si>
  <si>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</si>
  <si>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</si>
  <si>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</si>
  <si>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</si>
  <si>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</si>
  <si>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</si>
  <si>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</si>
  <si>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</si>
  <si>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</si>
  <si>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</si>
  <si>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</si>
  <si>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</si>
  <si>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</si>
  <si>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</si>
  <si>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</si>
  <si>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</si>
  <si>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</si>
  <si>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</si>
  <si>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</si>
  <si>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</si>
  <si>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</si>
  <si>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</si>
  <si>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</si>
  <si>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</si>
  <si>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</si>
  <si>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</si>
  <si>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</si>
  <si>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</si>
  <si>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</si>
  <si>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</si>
  <si>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</si>
  <si>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</si>
  <si>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</si>
  <si>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</si>
  <si>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</si>
  <si>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</si>
  <si>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</si>
  <si>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</si>
  <si>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</si>
  <si>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</si>
  <si>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</si>
  <si>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</si>
  <si>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</si>
  <si>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</si>
  <si>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</si>
  <si>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</si>
  <si>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</si>
  <si>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</si>
  <si>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</si>
  <si>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</si>
  <si>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</si>
  <si>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</si>
  <si>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</si>
  <si>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</si>
  <si>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</si>
  <si>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</si>
  <si>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</si>
  <si>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</si>
  <si>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</si>
  <si>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</si>
  <si>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</si>
  <si>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</si>
  <si>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</si>
  <si>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</si>
  <si>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</si>
  <si>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</si>
  <si>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</si>
  <si>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</si>
  <si>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</si>
  <si>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</si>
  <si>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</si>
  <si>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</si>
  <si>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</si>
  <si>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</si>
  <si>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</si>
  <si>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</si>
  <si>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</si>
  <si>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</si>
  <si>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</si>
  <si>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</si>
  <si>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</si>
  <si>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</si>
  <si>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</si>
  <si>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</si>
  <si>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</si>
  <si>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</si>
  <si>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</si>
  <si>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</si>
  <si>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</si>
  <si>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</si>
  <si>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</si>
  <si>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</si>
  <si>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</si>
  <si>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</si>
  <si>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</si>
  <si>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</si>
  <si>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</si>
  <si>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</si>
  <si>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</si>
  <si>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</si>
  <si>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</si>
  <si>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</si>
  <si>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</si>
  <si>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</si>
  <si>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</si>
  <si>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</si>
  <si>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</si>
  <si>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</si>
  <si>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</si>
  <si>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</si>
  <si>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</si>
  <si>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</si>
  <si>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</si>
  <si>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</si>
  <si>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</si>
  <si>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</si>
  <si>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</si>
  <si>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</si>
  <si>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</si>
  <si>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</si>
  <si>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</si>
  <si>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</si>
  <si>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</si>
  <si>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</si>
  <si>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</si>
  <si>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</si>
  <si>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</si>
  <si>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</si>
  <si>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</si>
  <si>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</si>
  <si>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</si>
  <si>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</si>
  <si>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</si>
  <si>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</si>
  <si>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</si>
  <si>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</si>
  <si>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</si>
  <si>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</si>
  <si>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</si>
  <si>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</si>
  <si>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</si>
  <si>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</si>
  <si>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</si>
  <si>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</si>
  <si>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</si>
  <si>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</si>
  <si>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</si>
  <si>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</si>
  <si>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</si>
  <si>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</si>
  <si>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</si>
  <si>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</si>
  <si>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</si>
  <si>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</si>
  <si>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</si>
  <si>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</si>
  <si>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</si>
  <si>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</si>
  <si>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</si>
  <si>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</si>
  <si>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</si>
  <si>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</si>
  <si>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</si>
  <si>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</si>
  <si>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</si>
  <si>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</si>
  <si>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</si>
  <si>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</si>
  <si>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</si>
  <si>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</si>
  <si>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</si>
  <si>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</si>
  <si>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</si>
  <si>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</si>
  <si>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</si>
  <si>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</si>
  <si>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</si>
  <si>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</si>
  <si>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</si>
  <si>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</si>
  <si>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</si>
  <si>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</si>
  <si>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</si>
  <si>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</si>
  <si>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</si>
  <si>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</si>
  <si>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</si>
  <si>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</si>
  <si>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</si>
  <si>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</si>
  <si>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</si>
  <si>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</si>
  <si>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</si>
  <si>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</si>
  <si>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</si>
  <si>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</si>
  <si>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</si>
  <si>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</si>
  <si>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</si>
  <si>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</si>
  <si>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</si>
  <si>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</si>
  <si>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</si>
  <si>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</si>
  <si>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</si>
  <si>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</si>
  <si>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</si>
  <si>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</si>
  <si>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</si>
  <si>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</si>
  <si>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</si>
  <si>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</si>
  <si>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</si>
  <si>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</si>
  <si>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</si>
  <si>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</si>
  <si>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</si>
  <si>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</si>
  <si>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</si>
  <si>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</si>
  <si>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</si>
  <si>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</si>
  <si>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</si>
  <si>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</si>
  <si>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</si>
  <si>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</si>
  <si>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</si>
  <si>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</si>
  <si>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</si>
  <si>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</si>
  <si>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</si>
  <si>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</si>
  <si>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</si>
  <si>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</si>
  <si>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</si>
  <si>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</si>
  <si>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</si>
  <si>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</si>
  <si>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</si>
  <si>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</si>
  <si>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</si>
  <si>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</si>
  <si>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</si>
  <si>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</si>
  <si>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</si>
  <si>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</si>
  <si>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</si>
  <si>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</si>
  <si>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</si>
  <si>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</si>
  <si>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</si>
  <si>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</si>
  <si>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</si>
  <si>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</si>
  <si>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</si>
  <si>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</si>
  <si>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</si>
  <si>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</si>
  <si>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</si>
  <si>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</si>
  <si>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</si>
  <si>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</si>
  <si>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</si>
  <si>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</si>
  <si>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</si>
  <si>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</si>
  <si>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</si>
  <si>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</si>
  <si>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</si>
  <si>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</si>
  <si>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</si>
  <si>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</si>
  <si>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</si>
  <si>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</si>
  <si>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</si>
  <si>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</si>
  <si>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</si>
  <si>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</si>
  <si>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</si>
  <si>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</si>
  <si>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</si>
  <si>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</si>
  <si>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</si>
  <si>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</si>
  <si>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</si>
  <si>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</si>
  <si>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</si>
  <si>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</si>
  <si>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</si>
  <si>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</si>
  <si>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</si>
  <si>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</si>
  <si>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</si>
  <si>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</si>
  <si>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</si>
  <si>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</si>
  <si>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</si>
  <si>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</si>
  <si>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</si>
  <si>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</si>
  <si>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</si>
  <si>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</si>
  <si>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</si>
  <si>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</si>
  <si>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</si>
  <si>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</si>
  <si>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</si>
  <si>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</si>
  <si>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</si>
  <si>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</si>
  <si>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</si>
  <si>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</si>
  <si>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</si>
  <si>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</si>
  <si>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</si>
  <si>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</si>
  <si>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</si>
  <si>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</si>
  <si>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</si>
  <si>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</si>
  <si>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</si>
  <si>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</si>
  <si>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</si>
  <si>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</si>
  <si>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</si>
  <si>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</si>
  <si>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</si>
  <si>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</si>
  <si>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</si>
  <si>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</si>
  <si>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</si>
  <si>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</si>
  <si>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</si>
  <si>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</si>
  <si>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</si>
  <si>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</si>
  <si>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</si>
  <si>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</si>
  <si>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</si>
  <si>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</si>
  <si>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</si>
  <si>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</si>
  <si>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</si>
  <si>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</si>
  <si>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</si>
  <si>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</si>
  <si>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</si>
  <si>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</si>
  <si>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</si>
  <si>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</si>
  <si>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</si>
  <si>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</si>
  <si>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</si>
  <si>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</si>
  <si>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</si>
  <si>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</si>
  <si>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</si>
  <si>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</si>
  <si>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</si>
  <si>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</si>
  <si>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</si>
  <si>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</si>
  <si>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</si>
  <si>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</si>
  <si>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</si>
  <si>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</si>
  <si>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</si>
  <si>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</si>
  <si>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</si>
  <si>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</si>
  <si>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</si>
  <si>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</si>
  <si>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</si>
  <si>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</si>
  <si>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</si>
  <si>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</si>
  <si>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</si>
  <si>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</si>
  <si>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</si>
  <si>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</si>
  <si>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</si>
  <si>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</si>
  <si>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</si>
  <si>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</si>
  <si>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</si>
  <si>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</si>
  <si>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</si>
  <si>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</si>
  <si>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</si>
  <si>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</si>
  <si>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</si>
  <si>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</si>
  <si>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</si>
  <si>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</si>
  <si>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</si>
  <si>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</si>
  <si>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</si>
  <si>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</si>
  <si>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</si>
  <si>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</si>
  <si>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</si>
  <si>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</si>
  <si>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</si>
  <si>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</si>
  <si>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</si>
  <si>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</si>
  <si>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</si>
  <si>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</si>
  <si>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</si>
  <si>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</si>
  <si>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</si>
  <si>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</si>
  <si>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</si>
  <si>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</si>
  <si>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</si>
  <si>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</si>
  <si>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</si>
  <si>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</si>
  <si>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</si>
  <si>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</si>
  <si>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</si>
  <si>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</si>
  <si>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</si>
  <si>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</si>
  <si>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</si>
  <si>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</si>
  <si>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</si>
  <si>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</si>
  <si>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</si>
  <si>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</si>
  <si>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</si>
  <si>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</si>
  <si>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</si>
  <si>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</si>
  <si>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</si>
  <si>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</si>
  <si>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</si>
  <si>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</si>
  <si>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</si>
  <si>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</si>
  <si>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</si>
  <si>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</si>
  <si>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</si>
  <si>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</si>
  <si>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</si>
  <si>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</si>
  <si>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</si>
  <si>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</si>
  <si>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</si>
  <si>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</si>
  <si>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</si>
  <si>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</si>
  <si>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</si>
  <si>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</si>
  <si>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</si>
  <si>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</si>
  <si>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</si>
  <si>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</si>
  <si>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</si>
  <si>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</si>
  <si>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</si>
  <si>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</si>
  <si>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</si>
  <si>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</si>
  <si>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</si>
  <si>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</si>
  <si>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</si>
  <si>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</si>
  <si>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</si>
  <si>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</si>
  <si>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</si>
  <si>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</si>
  <si>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</si>
  <si>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</si>
  <si>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</si>
  <si>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</si>
  <si>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</si>
  <si>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</si>
  <si>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</si>
  <si>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</si>
  <si>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</si>
  <si>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</si>
  <si>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</si>
  <si>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</si>
  <si>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</si>
  <si>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</si>
  <si>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</si>
  <si>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</si>
  <si>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</si>
  <si>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</si>
  <si>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</si>
  <si>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</si>
  <si>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</si>
  <si>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</si>
  <si>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</si>
  <si>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</si>
  <si>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</si>
  <si>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</si>
  <si>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</si>
  <si>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</si>
  <si>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</si>
  <si>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</si>
  <si>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</si>
  <si>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</si>
  <si>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</si>
  <si>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</si>
  <si>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</si>
  <si>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</si>
  <si>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</si>
  <si>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</si>
  <si>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</si>
  <si>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</si>
  <si>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</si>
  <si>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</si>
  <si>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</si>
  <si>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</si>
  <si>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</si>
  <si>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</si>
  <si>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</si>
  <si>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</si>
  <si>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</si>
  <si>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</si>
  <si>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</si>
  <si>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</si>
  <si>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</si>
  <si>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</si>
  <si>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</si>
  <si>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</si>
  <si>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</si>
  <si>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</si>
  <si>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</si>
  <si>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</si>
  <si>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</si>
  <si>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</si>
  <si>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</si>
  <si>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</si>
  <si>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</si>
  <si>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</si>
  <si>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</si>
  <si>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</si>
  <si>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</si>
  <si>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</si>
  <si>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</si>
  <si>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</si>
  <si>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</si>
  <si>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</si>
  <si>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</si>
  <si>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</si>
  <si>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</si>
  <si>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</si>
  <si>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</si>
  <si>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</si>
  <si>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</si>
  <si>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</si>
  <si>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</si>
  <si>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</si>
  <si>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</si>
  <si>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</si>
  <si>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</si>
  <si>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</si>
  <si>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</si>
  <si>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</si>
  <si>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</si>
  <si>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</si>
  <si>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</si>
  <si>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</si>
  <si>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</si>
  <si>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</si>
  <si>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</si>
  <si>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</si>
  <si>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</si>
  <si>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</si>
  <si>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</si>
  <si>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</si>
  <si>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</si>
  <si>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</si>
  <si>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</si>
  <si>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</si>
  <si>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</si>
  <si>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</si>
  <si>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</si>
  <si>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</si>
  <si>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</si>
  <si>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</si>
  <si>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</si>
  <si>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</si>
  <si>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</si>
  <si>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</si>
  <si>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</si>
  <si>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</si>
  <si>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</si>
  <si>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</si>
  <si>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</si>
  <si>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</si>
  <si>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</si>
  <si>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</si>
  <si>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</si>
  <si>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</si>
  <si>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</si>
  <si>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</si>
  <si>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</si>
  <si>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</si>
  <si>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</si>
  <si>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</si>
  <si>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</si>
  <si>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</si>
  <si>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</si>
  <si>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</si>
  <si>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</si>
  <si>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</si>
  <si>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</si>
  <si>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</si>
  <si>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</si>
  <si>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</si>
  <si>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</si>
  <si>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</si>
  <si>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</si>
  <si>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</si>
  <si>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</si>
  <si>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</si>
  <si>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</si>
  <si>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</si>
  <si>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</si>
  <si>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</si>
  <si>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</si>
  <si>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</si>
  <si>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</si>
  <si>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</si>
  <si>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</si>
  <si>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</si>
  <si>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</si>
  <si>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</si>
  <si>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</si>
  <si>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</si>
  <si>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</si>
  <si>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</si>
  <si>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</si>
  <si>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</si>
  <si>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</si>
  <si>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</si>
  <si>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</si>
  <si>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</si>
  <si>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</si>
  <si>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</si>
  <si>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</si>
  <si>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</si>
  <si>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</si>
  <si>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</si>
  <si>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</si>
  <si>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</si>
  <si>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</si>
  <si>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</si>
  <si>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</si>
  <si>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</si>
  <si>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</si>
  <si>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</si>
  <si>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</si>
  <si>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</si>
  <si>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</si>
  <si>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</si>
  <si>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</si>
  <si>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</si>
  <si>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</si>
  <si>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</si>
  <si>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</si>
  <si>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</si>
  <si>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</si>
  <si>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</si>
  <si>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</si>
  <si>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</si>
  <si>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</si>
  <si>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</si>
  <si>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</si>
  <si>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</si>
  <si>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</si>
  <si>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</si>
  <si>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</si>
  <si>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</si>
  <si>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</si>
  <si>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</si>
  <si>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</si>
  <si>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</si>
  <si>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</si>
  <si>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</si>
  <si>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</si>
  <si>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</si>
  <si>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</si>
  <si>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</si>
  <si>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</si>
  <si>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</si>
  <si>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</si>
  <si>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</si>
  <si>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</si>
  <si>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</si>
  <si>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</si>
  <si>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</si>
  <si>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</si>
  <si>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</si>
  <si>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</si>
  <si>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</si>
  <si>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</si>
  <si>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</si>
  <si>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</si>
  <si>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</si>
  <si>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</si>
  <si>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</si>
  <si>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</si>
  <si>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</si>
  <si>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</si>
  <si>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</si>
  <si>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</si>
  <si>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</si>
  <si>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</si>
  <si>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</si>
  <si>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</si>
  <si>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</si>
  <si>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</si>
  <si>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</si>
  <si>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</si>
  <si>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</si>
  <si>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</si>
  <si>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</si>
  <si>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</si>
  <si>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</si>
  <si>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</si>
  <si>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</si>
  <si>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</si>
  <si>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</si>
  <si>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</si>
  <si>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</si>
  <si>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</si>
  <si>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</si>
  <si>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</si>
  <si>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</si>
  <si>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</si>
  <si>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</si>
  <si>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</si>
  <si>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</si>
  <si>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</si>
  <si>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</si>
  <si>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</si>
  <si>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</si>
  <si>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</si>
  <si>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</si>
  <si>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</si>
  <si>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</si>
  <si>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</si>
  <si>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</si>
  <si>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</si>
  <si>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</si>
  <si>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</si>
  <si>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</si>
  <si>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</si>
  <si>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</si>
  <si>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</si>
  <si>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</si>
  <si>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</si>
  <si>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</si>
  <si>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</si>
  <si>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</si>
  <si>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</si>
  <si>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</si>
  <si>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</si>
  <si>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</si>
  <si>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</si>
  <si>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</si>
  <si>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</si>
  <si>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</si>
  <si>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</si>
  <si>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</si>
  <si>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</si>
  <si>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</si>
  <si>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</si>
  <si>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</si>
  <si>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</si>
  <si>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</si>
  <si>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</si>
  <si>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</si>
  <si>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</si>
  <si>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</si>
  <si>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</si>
  <si>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</si>
  <si>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</si>
  <si>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</si>
  <si>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</si>
  <si>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</si>
  <si>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</si>
  <si>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</si>
  <si>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</si>
  <si>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</si>
  <si>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</si>
  <si>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</si>
  <si>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</si>
  <si>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</si>
  <si>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</si>
  <si>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</si>
  <si>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</si>
  <si>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</si>
  <si>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</si>
  <si>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</si>
  <si>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</si>
  <si>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</si>
  <si>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</si>
  <si>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</si>
  <si>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</si>
  <si>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</si>
  <si>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</si>
  <si>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</si>
  <si>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</si>
  <si>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</si>
  <si>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</si>
  <si>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</si>
  <si>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</si>
  <si>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</si>
  <si>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</si>
  <si>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</si>
  <si>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</si>
  <si>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</si>
  <si>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</si>
  <si>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</si>
  <si>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</si>
  <si>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</si>
  <si>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</si>
  <si>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</si>
  <si>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</si>
  <si>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</si>
  <si>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</si>
  <si>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</si>
  <si>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</si>
  <si>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</si>
  <si>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</si>
  <si>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</si>
  <si>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</si>
  <si>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</si>
  <si>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</si>
  <si>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</si>
  <si>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</si>
  <si>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</si>
  <si>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</si>
  <si>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</si>
  <si>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</si>
  <si>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</si>
  <si>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</si>
  <si>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</si>
  <si>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</si>
  <si>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</si>
  <si>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</si>
  <si>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</si>
  <si>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</si>
  <si>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</si>
  <si>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</si>
  <si>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</si>
  <si>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</si>
  <si>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</si>
  <si>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</si>
  <si>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</si>
  <si>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</si>
  <si>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</si>
  <si>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</si>
  <si>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</si>
  <si>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</si>
  <si>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</si>
  <si>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</si>
  <si>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</si>
  <si>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</si>
  <si>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</si>
  <si>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</si>
  <si>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</si>
  <si>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</si>
  <si>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</si>
  <si>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</si>
  <si>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</si>
  <si>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</si>
  <si>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</si>
  <si>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</si>
  <si>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</si>
  <si>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</si>
  <si>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</si>
  <si>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</si>
  <si>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</si>
  <si>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</si>
  <si>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</si>
  <si>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</si>
  <si>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</si>
  <si>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</si>
  <si>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</si>
  <si>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</si>
  <si>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</si>
  <si>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</si>
  <si>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</si>
  <si>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</si>
  <si>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</si>
  <si>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</si>
  <si>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</si>
  <si>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</si>
  <si>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</si>
  <si>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</si>
  <si>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</si>
  <si>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</si>
  <si>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</si>
  <si>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</si>
  <si>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</si>
  <si>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</si>
  <si>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</si>
  <si>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</si>
  <si>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</si>
  <si>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</si>
  <si>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</si>
  <si>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</si>
  <si>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</si>
  <si>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</si>
  <si>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</si>
  <si>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</si>
  <si>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</si>
  <si>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</si>
  <si>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</si>
  <si>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</si>
  <si>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</si>
  <si>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</si>
  <si>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</si>
  <si>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</si>
  <si>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</si>
  <si>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</si>
  <si>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</si>
  <si>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</si>
  <si>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</si>
  <si>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</si>
  <si>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</si>
  <si>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</si>
  <si>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</si>
  <si>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</si>
  <si>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</si>
  <si>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</si>
  <si>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</si>
  <si>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</si>
  <si>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</si>
  <si>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</si>
  <si>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</si>
  <si>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</si>
  <si>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</si>
  <si>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</si>
  <si>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</si>
  <si>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</si>
  <si>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</si>
  <si>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</si>
  <si>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</si>
  <si>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</si>
  <si>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</si>
  <si>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</si>
  <si>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</si>
  <si>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</si>
  <si>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</si>
  <si>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</si>
  <si>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</si>
  <si>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</si>
  <si>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</si>
  <si>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</si>
  <si>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</si>
  <si>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</si>
  <si>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</si>
  <si>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</si>
  <si>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</si>
  <si>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</si>
  <si>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</si>
  <si>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</si>
  <si>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</si>
  <si>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</si>
  <si>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</si>
  <si>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</si>
  <si>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</si>
  <si>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</si>
  <si>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</si>
  <si>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</si>
  <si>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</si>
  <si>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</si>
  <si>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</si>
  <si>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</si>
  <si>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</si>
  <si>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</si>
  <si>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</si>
  <si>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</si>
  <si>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</si>
  <si>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</si>
  <si>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</si>
  <si>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</si>
  <si>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</si>
  <si>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</si>
  <si>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</si>
  <si>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</si>
  <si>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</si>
  <si>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</si>
  <si>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</si>
  <si>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</si>
  <si>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</si>
  <si>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</si>
  <si>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</si>
  <si>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</si>
  <si>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</si>
  <si>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</si>
  <si>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</si>
  <si>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</si>
  <si>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</si>
  <si>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</si>
  <si>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</si>
  <si>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</si>
  <si>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</si>
  <si>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</si>
  <si>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</si>
  <si>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</si>
  <si>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</si>
  <si>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</si>
  <si>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</si>
  <si>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</si>
  <si>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</si>
  <si>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</si>
  <si>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</si>
  <si>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</si>
  <si>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</si>
  <si>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</si>
  <si>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</si>
  <si>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</si>
  <si>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</si>
  <si>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</si>
  <si>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</si>
  <si>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</si>
  <si>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</si>
  <si>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</si>
  <si>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</si>
  <si>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</si>
  <si>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</si>
  <si>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</si>
  <si>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</si>
  <si>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</si>
  <si>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</si>
  <si>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</si>
  <si>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</si>
  <si>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</si>
  <si>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</si>
  <si>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</si>
  <si>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</si>
  <si>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</si>
  <si>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</si>
  <si>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</si>
  <si>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</si>
  <si>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</si>
  <si>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</si>
  <si>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</si>
  <si>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</si>
  <si>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</si>
  <si>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</si>
  <si>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</si>
  <si>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</si>
  <si>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</si>
  <si>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</si>
  <si>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</si>
  <si>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</si>
  <si>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</si>
  <si>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</si>
  <si>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</si>
  <si>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</si>
  <si>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</si>
  <si>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</si>
  <si>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</si>
  <si>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</si>
  <si>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</si>
  <si>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</si>
  <si>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</si>
  <si>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</si>
  <si>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</si>
  <si>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</si>
  <si>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</si>
  <si>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</si>
  <si>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</si>
  <si>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</si>
  <si>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</si>
  <si>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</si>
  <si>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</si>
  <si>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</si>
  <si>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</si>
  <si>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</si>
  <si>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</si>
  <si>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</si>
  <si>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</si>
  <si>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</si>
  <si>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</si>
  <si>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</si>
  <si>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</si>
  <si>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</si>
  <si>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</si>
  <si>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</si>
  <si>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</si>
  <si>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</si>
  <si>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</si>
  <si>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</si>
  <si>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</si>
  <si>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</si>
  <si>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</si>
  <si>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</si>
  <si>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</si>
  <si>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</si>
  <si>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</si>
  <si>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</si>
  <si>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</si>
  <si>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</si>
  <si>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</si>
  <si>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</si>
  <si>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</si>
  <si>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</si>
  <si>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</si>
  <si>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</si>
  <si>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</si>
  <si>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</si>
  <si>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</si>
  <si>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</si>
  <si>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</si>
  <si>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</si>
  <si>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</si>
  <si>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</si>
  <si>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</si>
  <si>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</si>
  <si>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</si>
  <si>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</si>
  <si>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</si>
  <si>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</si>
  <si>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</si>
  <si>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</si>
  <si>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</si>
  <si>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</si>
  <si>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</si>
  <si>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</si>
  <si>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</si>
  <si>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</si>
  <si>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</si>
  <si>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</si>
  <si>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</si>
  <si>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</si>
  <si>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</si>
  <si>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</si>
  <si>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</si>
  <si>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</si>
  <si>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</si>
  <si>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</si>
  <si>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</si>
  <si>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</si>
  <si>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</si>
  <si>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</si>
  <si>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</si>
  <si>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</si>
  <si>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</si>
  <si>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</si>
  <si>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</si>
  <si>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</si>
  <si>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</si>
  <si>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</si>
  <si>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</si>
  <si>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</si>
  <si>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</si>
  <si>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</si>
  <si>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</si>
  <si>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</si>
  <si>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</si>
  <si>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</si>
  <si>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</si>
  <si>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</si>
  <si>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</si>
  <si>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</si>
  <si>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</si>
  <si>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</si>
  <si>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</si>
  <si>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</si>
  <si>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</si>
  <si>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</si>
  <si>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</si>
  <si>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</si>
  <si>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</si>
  <si>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</si>
  <si>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</si>
  <si>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</si>
  <si>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</si>
  <si>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</si>
  <si>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</si>
  <si>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</si>
  <si>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</si>
  <si>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</si>
  <si>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</si>
  <si>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</si>
  <si>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</si>
  <si>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</si>
  <si>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</si>
  <si>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</si>
  <si>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</si>
  <si>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</si>
  <si>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</si>
  <si>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</si>
  <si>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</si>
  <si>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</si>
  <si>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</si>
  <si>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</si>
  <si>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</si>
  <si>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</si>
  <si>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</si>
  <si>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</si>
  <si>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</si>
  <si>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</si>
  <si>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</si>
  <si>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</si>
  <si>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null</t>
  </si>
  <si>
    <t>Absolute Discount</t>
  </si>
  <si>
    <t>Rating</t>
  </si>
  <si>
    <t>Excellent</t>
  </si>
  <si>
    <t>Average</t>
  </si>
  <si>
    <t>Poor</t>
  </si>
  <si>
    <t>Discount category</t>
  </si>
  <si>
    <t>Price category</t>
  </si>
  <si>
    <t>Discount amount</t>
  </si>
  <si>
    <t>Rating category</t>
  </si>
  <si>
    <t>=COUNTA(A2:A113)</t>
  </si>
  <si>
    <t xml:space="preserve"> Average current price of products. </t>
  </si>
  <si>
    <t xml:space="preserve"> Average old price of products. </t>
  </si>
  <si>
    <t xml:space="preserve">Average discount percentage. </t>
  </si>
  <si>
    <t xml:space="preserve">Average product rating. </t>
  </si>
  <si>
    <t>Total number of products</t>
  </si>
  <si>
    <t xml:space="preserve"> Total number of reviews. </t>
  </si>
  <si>
    <t xml:space="preserve"> Most expensive product</t>
  </si>
  <si>
    <t>Least expensive product</t>
  </si>
  <si>
    <t>Row Labels</t>
  </si>
  <si>
    <t>(blank)</t>
  </si>
  <si>
    <t>Grand Total</t>
  </si>
  <si>
    <t>Count of Product</t>
  </si>
  <si>
    <t>Column16379</t>
  </si>
  <si>
    <t>(All)</t>
  </si>
  <si>
    <t>Average of Current price</t>
  </si>
  <si>
    <t>Sum of Discount</t>
  </si>
  <si>
    <t>Average of Discount</t>
  </si>
  <si>
    <t>Count of Ratings</t>
  </si>
  <si>
    <t>Average of Ratings</t>
  </si>
  <si>
    <t>Count of Review</t>
  </si>
  <si>
    <t>Sum of Review</t>
  </si>
  <si>
    <t>Max of Ratings</t>
  </si>
  <si>
    <t>Sum of Ratings</t>
  </si>
  <si>
    <t>Sum of ratings</t>
  </si>
  <si>
    <t>Jumia Product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</si>
</sst>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family val="2"/>
    </font>
    <font>
      <sz val="16"/>
      <color theme="3"/>
      <name val="Bahnschrift SemiBold"/>
      <family val="2"/>
    </font>
    <font>
      <sz val="36"/>
      <color theme="3"/>
      <name val="Bahnschrift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0" fontId="0" fillId="33" borderId="0" xfId="0" applyFill="1"/>
    <xf numFmtId="49" fontId="0" fillId="33" borderId="0" xfId="0" applyNumberFormat="1" applyFill="1"/>
    <xf numFmtId="49" fontId="0" fillId="0" borderId="0" xfId="0" applyNumberFormat="1"/>
    <xf numFmtId="3" fontId="0" fillId="33" borderId="0" xfId="0" applyNumberFormat="1" applyFill="1"/>
    <xf numFmtId="3" fontId="0" fillId="0" borderId="0" xfId="0" applyNumberFormat="1"/>
    <xf numFmtId="9" fontId="0" fillId="33" borderId="0" xfId="0" applyNumberFormat="1" applyFill="1"/>
    <xf numFmtId="164" fontId="0" fillId="0" borderId="0" xfId="0" applyNumberFormat="1"/>
    <xf numFmtId="0" fontId="18" fillId="0" borderId="0" xfId="0" applyFont="1" applyAlignment="1">
      <alignment vertical="center"/>
    </xf>
    <xf numFmtId="0" fontId="0" fillId="0" borderId="0" xfId="0" pivotButton="1"/>
    <xf numFmtId="0" fontId="0" fillId="0" borderId="0" xfId="0" applyAlignment="1">
      <alignment horizontal="left"/>
    </xf>
    <xf numFmtId="0" fontId="0" fillId="0" borderId="0" xfId="0" applyNumberFormat="1"/>
    <xf numFmtId="9" fontId="0" fillId="0" borderId="0" xfId="0" applyNumberFormat="1" applyAlignment="1">
      <alignment horizontal="left"/>
    </xf>
    <xf numFmtId="0" fontId="19" fillId="34" borderId="0" xfId="0" applyFont="1" applyFill="1" applyAlignment="1">
      <alignment horizontal="center"/>
    </xf>
    <xf numFmtId="0" fontId="0" fillId="34" borderId="0" xfId="0" applyFill="1" applyAlignment="1"/>
    <xf numFmtId="0" fontId="20" fillId="34" borderId="0" xfId="0" applyFont="1" applyFill="1" applyAlignment="1">
      <alignment horizontal="center"/>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5" formatCode="0.0"/>
    </dxf>
    <dxf>
      <numFmt numFmtId="165" formatCode="0.0"/>
    </dxf>
    <dxf>
      <fill>
        <patternFill patternType="solid">
          <fgColor indexed="64"/>
          <bgColor rgb="FFFFFF00"/>
        </patternFill>
      </fill>
    </dxf>
    <dxf>
      <numFmt numFmtId="3" formatCode="#,##0"/>
    </dxf>
    <dxf>
      <numFmt numFmtId="13" formatCode="0%"/>
    </dxf>
    <dxf>
      <numFmt numFmtId="3" formatCode="#,##0"/>
    </dxf>
    <dxf>
      <numFmt numFmtId="3"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07/relationships/slicerCache" Target="slicerCaches/slicerCache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Discount vs Review</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'Discount vs Reviews'!$B$1</c:f>
              <c:strCache>
                <c:ptCount val="1"/>
                <c:pt idx="0">
                  <c:v>Review</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trendline>
            <c:spPr>
              <a:ln w="15875" cap="rnd">
                <a:solidFill>
                  <a:schemeClr val="accent1"/>
                </a:solidFill>
              </a:ln>
              <a:effectLst/>
            </c:spPr>
            <c:trendlineType val="linear"/>
            <c:dispRSqr val="0"/>
            <c:dispEq val="0"/>
          </c:trendline>
          <c:xVal>
            <c:numRef>
              <c:f>'Discount vs Reviews'!$A$2:$A$118</c:f>
              <c:numCache>
                <c:formatCode>0%</c:formatCode>
                <c:ptCount val="117"/>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'Discount vs Reviews'!$B$2:$B$118</c:f>
              <c:numCache>
                <c:formatCode>General</c:formatCode>
                <c:ptCount val="11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3144-4AAF-9CF4-C29AF950BC96}"/>
            </c:ext>
          </c:extLst>
        </c:ser>
        <c:dLbls>
          <c:showLegendKey val="0"/>
          <c:showVal val="0"/>
          <c:showCatName val="0"/>
          <c:showSerName val="0"/>
          <c:showPercent val="0"/>
          <c:showBubbleSize val="0"/>
        </c:dLbls>
        <c:axId val="2010939776"/>
        <c:axId val="1570510128"/>
      </c:scatterChart>
      <c:valAx>
        <c:axId val="201093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70510128"/>
        <c:crosses val="autoZero"/>
        <c:crossBetween val="midCat"/>
      </c:valAx>
      <c:valAx>
        <c:axId val="157051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10939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Ratings vs Reviews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'Ratings vs Reviews'!$B$1</c:f>
              <c:strCache>
                <c:ptCount val="1"/>
                <c:pt idx="0">
                  <c:v>Ratings</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strRef>
              <c:f>'Ratings vs Reviews'!$A$2:$A$118</c:f>
              <c:strCach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null</c:v>
                </c:pt>
                <c:pt idx="22">
                  <c:v>6</c:v>
                </c:pt>
                <c:pt idx="23">
                  <c:v>14</c:v>
                </c:pt>
                <c:pt idx="24">
                  <c:v>7</c:v>
                </c:pt>
                <c:pt idx="25">
                  <c:v>49</c:v>
                </c:pt>
                <c:pt idx="26">
                  <c:v>12</c:v>
                </c:pt>
                <c:pt idx="27">
                  <c:v>13</c:v>
                </c:pt>
                <c:pt idx="28">
                  <c:v>20</c:v>
                </c:pt>
                <c:pt idx="29">
                  <c:v>null</c:v>
                </c:pt>
                <c:pt idx="30">
                  <c:v>9</c:v>
                </c:pt>
                <c:pt idx="31">
                  <c:v>12</c:v>
                </c:pt>
                <c:pt idx="32">
                  <c:v>9</c:v>
                </c:pt>
                <c:pt idx="33">
                  <c:v>20</c:v>
                </c:pt>
                <c:pt idx="34">
                  <c:v>32</c:v>
                </c:pt>
                <c:pt idx="35">
                  <c:v>1</c:v>
                </c:pt>
                <c:pt idx="36">
                  <c:v>2</c:v>
                </c:pt>
                <c:pt idx="37">
                  <c:v>36</c:v>
                </c:pt>
                <c:pt idx="38">
                  <c:v>2</c:v>
                </c:pt>
                <c:pt idx="39">
                  <c:v>null</c:v>
                </c:pt>
                <c:pt idx="40">
                  <c:v>null</c:v>
                </c:pt>
                <c:pt idx="41">
                  <c:v>null</c:v>
                </c:pt>
                <c:pt idx="42">
                  <c:v>null</c:v>
                </c:pt>
                <c:pt idx="43">
                  <c:v>null</c:v>
                </c:pt>
                <c:pt idx="44">
                  <c:v>null</c:v>
                </c:pt>
                <c:pt idx="45">
                  <c:v>null</c:v>
                </c:pt>
                <c:pt idx="46">
                  <c:v>null</c:v>
                </c:pt>
                <c:pt idx="47">
                  <c:v>null</c:v>
                </c:pt>
                <c:pt idx="48">
                  <c:v>null</c:v>
                </c:pt>
                <c:pt idx="49">
                  <c:v>null</c:v>
                </c:pt>
                <c:pt idx="50">
                  <c:v>null</c:v>
                </c:pt>
                <c:pt idx="51">
                  <c:v>null</c:v>
                </c:pt>
                <c:pt idx="52">
                  <c:v>null</c:v>
                </c:pt>
                <c:pt idx="53">
                  <c:v>null</c:v>
                </c:pt>
                <c:pt idx="54">
                  <c:v>null</c:v>
                </c:pt>
                <c:pt idx="55">
                  <c:v>null</c:v>
                </c:pt>
                <c:pt idx="56">
                  <c:v>null</c:v>
                </c:pt>
                <c:pt idx="57">
                  <c:v>null</c:v>
                </c:pt>
                <c:pt idx="58">
                  <c:v>null</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null</c:v>
                </c:pt>
                <c:pt idx="75">
                  <c:v>null</c:v>
                </c:pt>
                <c:pt idx="76">
                  <c:v>null</c:v>
                </c:pt>
                <c:pt idx="77">
                  <c:v>null</c:v>
                </c:pt>
                <c:pt idx="78">
                  <c:v>1</c:v>
                </c:pt>
                <c:pt idx="79">
                  <c:v>1</c:v>
                </c:pt>
                <c:pt idx="80">
                  <c:v>null</c:v>
                </c:pt>
                <c:pt idx="81">
                  <c:v>null</c:v>
                </c:pt>
                <c:pt idx="82">
                  <c:v>1</c:v>
                </c:pt>
                <c:pt idx="83">
                  <c:v>null</c:v>
                </c:pt>
                <c:pt idx="84">
                  <c:v>null</c:v>
                </c:pt>
                <c:pt idx="85">
                  <c:v>null</c:v>
                </c:pt>
                <c:pt idx="86">
                  <c:v>null</c:v>
                </c:pt>
                <c:pt idx="87">
                  <c:v>null</c:v>
                </c:pt>
                <c:pt idx="88">
                  <c:v>null</c:v>
                </c:pt>
                <c:pt idx="89">
                  <c:v>null</c:v>
                </c:pt>
                <c:pt idx="90">
                  <c:v>null</c:v>
                </c:pt>
                <c:pt idx="91">
                  <c:v>null</c:v>
                </c:pt>
                <c:pt idx="92">
                  <c:v>null</c:v>
                </c:pt>
                <c:pt idx="93">
                  <c:v>null</c:v>
                </c:pt>
                <c:pt idx="94">
                  <c:v>null</c:v>
                </c:pt>
                <c:pt idx="95">
                  <c:v>null</c:v>
                </c:pt>
                <c:pt idx="96">
                  <c:v>null</c:v>
                </c:pt>
                <c:pt idx="97">
                  <c:v>null</c:v>
                </c:pt>
                <c:pt idx="98">
                  <c:v>null</c:v>
                </c:pt>
                <c:pt idx="99">
                  <c:v>null</c:v>
                </c:pt>
                <c:pt idx="100">
                  <c:v>null</c:v>
                </c:pt>
                <c:pt idx="101">
                  <c:v>1</c:v>
                </c:pt>
                <c:pt idx="102">
                  <c:v>null</c:v>
                </c:pt>
                <c:pt idx="103">
                  <c:v>null</c:v>
                </c:pt>
                <c:pt idx="104">
                  <c:v>null</c:v>
                </c:pt>
                <c:pt idx="105">
                  <c:v>null</c:v>
                </c:pt>
                <c:pt idx="106">
                  <c:v>null</c:v>
                </c:pt>
                <c:pt idx="107">
                  <c:v>null</c:v>
                </c:pt>
                <c:pt idx="108">
                  <c:v>null</c:v>
                </c:pt>
                <c:pt idx="109">
                  <c:v>null</c:v>
                </c:pt>
                <c:pt idx="110">
                  <c:v>1</c:v>
                </c:pt>
                <c:pt idx="111">
                  <c:v>null</c:v>
                </c:pt>
              </c:strCache>
            </c:strRef>
          </c:xVal>
          <c:yVal>
            <c:numRef>
              <c:f>'Ratings vs Reviews'!$B$2:$B$118</c:f>
              <c:numCache>
                <c:formatCode>General</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CE92-4E48-BB37-F5C8577E1629}"/>
            </c:ext>
          </c:extLst>
        </c:ser>
        <c:dLbls>
          <c:showLegendKey val="0"/>
          <c:showVal val="0"/>
          <c:showCatName val="0"/>
          <c:showSerName val="0"/>
          <c:showPercent val="0"/>
          <c:showBubbleSize val="0"/>
        </c:dLbls>
        <c:axId val="2000463264"/>
        <c:axId val="459335984"/>
      </c:scatterChart>
      <c:valAx>
        <c:axId val="2000463264"/>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9335984"/>
        <c:crosses val="autoZero"/>
        <c:crossBetween val="midCat"/>
      </c:valAx>
      <c:valAx>
        <c:axId val="4593359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0463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'Price vs Rating'!$B$1</c:f>
              <c:strCache>
                <c:ptCount val="1"/>
                <c:pt idx="0">
                  <c:v>Ratings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'Price vs Rating'!$A$2:$A$118</c:f>
              <c:numCache>
                <c:formatCode>#,##0</c:formatCode>
                <c:ptCount val="117"/>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1980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'Price vs Rating'!$B$2:$B$118</c:f>
              <c:numCache>
                <c:formatCode>General</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E108-47F9-9E77-47CB44916504}"/>
            </c:ext>
          </c:extLst>
        </c:ser>
        <c:dLbls>
          <c:showLegendKey val="0"/>
          <c:showVal val="0"/>
          <c:showCatName val="0"/>
          <c:showSerName val="0"/>
          <c:showPercent val="0"/>
          <c:showBubbleSize val="0"/>
        </c:dLbls>
        <c:axId val="2004483888"/>
        <c:axId val="459321584"/>
      </c:scatterChart>
      <c:valAx>
        <c:axId val="2004483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21584"/>
        <c:crosses val="autoZero"/>
        <c:crossBetween val="midCat"/>
      </c:valAx>
      <c:valAx>
        <c:axId val="45932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838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(1).xlsx] Product Performance Analysis !PivotTable6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Product Performance Analysis '!$B$3</c:f>
              <c:strCache>
                <c:ptCount val="1"/>
                <c:pt idx="0">
                  <c:v>Sum of Discount</c:v>
                </c:pt>
              </c:strCache>
            </c:strRef>
          </c:tx>
          <c:spPr>
            <a:solidFill>
              <a:schemeClr val="accent1"/>
            </a:solidFill>
            <a:ln>
              <a:noFill/>
            </a:ln>
            <a:effectLst/>
          </c:spPr>
          <c:invertIfNegative val="0"/>
          <c:cat>
            <c:strRef>
              <c:f>' Product Performance Analysis '!$A$4:$A$14</c:f>
              <c:strCache>
                <c:ptCount val="10"/>
                <c:pt idx="0">
                  <c:v>3PCS Single Head Knitting Crochet Sweater Needle Set</c:v>
                </c:pt>
                <c:pt idx="1">
                  <c:v>5-PCS Stainless Steel Cooking Pot Set With Steamed Slices</c:v>
                </c:pt>
                <c:pt idx="2">
                  <c:v>6 In 1 Bottle Can Opener Multifunctional Easy Opener</c:v>
                </c:pt>
                <c:pt idx="3">
                  <c:v>Angle Measuring Tool Full Metal Multi Angle Measuring Tool</c:v>
                </c:pt>
                <c:pt idx="4">
                  <c:v>Classic Black Cat Cotton Hemp Pillow Case For Home Car</c:v>
                </c:pt>
                <c:pt idx="5">
                  <c:v>Creative Owl Shape Keychain Black</c:v>
                </c:pt>
                <c:pt idx="6">
                  <c:v>LASA 3 Tier Bamboo Shoe Bench Storage Shelf</c:v>
                </c:pt>
                <c:pt idx="7">
                  <c:v>LASA FOLDING TABLE SERVING STAND</c:v>
                </c:pt>
                <c:pt idx="8">
                  <c:v>Mythco 120COB Solar Wall Ligt With Motion Sensor And Remote Control 3 Modes</c:v>
                </c:pt>
                <c:pt idx="9">
                  <c:v>Simple Metal Dog Art Sculpture Decoration For Home Office</c:v>
                </c:pt>
              </c:strCache>
            </c:strRef>
          </c:cat>
          <c:val>
            <c:numRef>
              <c:f>' Product Performance Analysis '!$B$4:$B$14</c:f>
              <c:numCache>
                <c:formatCode>0%</c:formatCode>
                <c:ptCount val="10"/>
                <c:pt idx="0">
                  <c:v>0.53</c:v>
                </c:pt>
                <c:pt idx="1">
                  <c:v>0.55000000000000004</c:v>
                </c:pt>
                <c:pt idx="2">
                  <c:v>0.64</c:v>
                </c:pt>
                <c:pt idx="3">
                  <c:v>0.98</c:v>
                </c:pt>
                <c:pt idx="4">
                  <c:v>0.53</c:v>
                </c:pt>
                <c:pt idx="5">
                  <c:v>1.1000000000000001</c:v>
                </c:pt>
                <c:pt idx="6">
                  <c:v>0.54</c:v>
                </c:pt>
                <c:pt idx="7">
                  <c:v>0.55000000000000004</c:v>
                </c:pt>
                <c:pt idx="8">
                  <c:v>0.54</c:v>
                </c:pt>
                <c:pt idx="9">
                  <c:v>1</c:v>
                </c:pt>
              </c:numCache>
            </c:numRef>
          </c:val>
          <c:extLst>
            <c:ext xmlns:c16="http://schemas.microsoft.com/office/drawing/2014/chart" uri="{C3380CC4-5D6E-409C-BE32-E72D297353CC}">
              <c16:uniqueId val="{00000000-04D7-467C-9D48-211CBD5453D7}"/>
            </c:ext>
          </c:extLst>
        </c:ser>
        <c:ser>
          <c:idx val="1"/>
          <c:order val="1"/>
          <c:tx>
            <c:strRef>
              <c:f>' Product Performance Analysis '!$C$3</c:f>
              <c:strCache>
                <c:ptCount val="1"/>
                <c:pt idx="0">
                  <c:v>Sum of Ratings</c:v>
                </c:pt>
              </c:strCache>
            </c:strRef>
          </c:tx>
          <c:spPr>
            <a:solidFill>
              <a:schemeClr val="accent2"/>
            </a:solidFill>
            <a:ln>
              <a:noFill/>
            </a:ln>
            <a:effectLst/>
          </c:spPr>
          <c:invertIfNegative val="0"/>
          <c:cat>
            <c:strRef>
              <c:f>' Product Performance Analysis '!$A$4:$A$14</c:f>
              <c:strCache>
                <c:ptCount val="10"/>
                <c:pt idx="0">
                  <c:v>3PCS Single Head Knitting Crochet Sweater Needle Set</c:v>
                </c:pt>
                <c:pt idx="1">
                  <c:v>5-PCS Stainless Steel Cooking Pot Set With Steamed Slices</c:v>
                </c:pt>
                <c:pt idx="2">
                  <c:v>6 In 1 Bottle Can Opener Multifunctional Easy Opener</c:v>
                </c:pt>
                <c:pt idx="3">
                  <c:v>Angle Measuring Tool Full Metal Multi Angle Measuring Tool</c:v>
                </c:pt>
                <c:pt idx="4">
                  <c:v>Classic Black Cat Cotton Hemp Pillow Case For Home Car</c:v>
                </c:pt>
                <c:pt idx="5">
                  <c:v>Creative Owl Shape Keychain Black</c:v>
                </c:pt>
                <c:pt idx="6">
                  <c:v>LASA 3 Tier Bamboo Shoe Bench Storage Shelf</c:v>
                </c:pt>
                <c:pt idx="7">
                  <c:v>LASA FOLDING TABLE SERVING STAND</c:v>
                </c:pt>
                <c:pt idx="8">
                  <c:v>Mythco 120COB Solar Wall Ligt With Motion Sensor And Remote Control 3 Modes</c:v>
                </c:pt>
                <c:pt idx="9">
                  <c:v>Simple Metal Dog Art Sculpture Decoration For Home Office</c:v>
                </c:pt>
              </c:strCache>
            </c:strRef>
          </c:cat>
          <c:val>
            <c:numRef>
              <c:f>' Product Performance Analysis '!$C$4:$C$14</c:f>
              <c:numCache>
                <c:formatCode>General</c:formatCode>
                <c:ptCount val="10"/>
                <c:pt idx="0">
                  <c:v>3.3</c:v>
                </c:pt>
                <c:pt idx="1">
                  <c:v>2.1</c:v>
                </c:pt>
                <c:pt idx="2">
                  <c:v>0</c:v>
                </c:pt>
                <c:pt idx="3">
                  <c:v>0</c:v>
                </c:pt>
                <c:pt idx="4">
                  <c:v>5</c:v>
                </c:pt>
                <c:pt idx="5">
                  <c:v>0</c:v>
                </c:pt>
                <c:pt idx="6">
                  <c:v>4.3</c:v>
                </c:pt>
                <c:pt idx="7">
                  <c:v>4.8</c:v>
                </c:pt>
                <c:pt idx="8">
                  <c:v>3</c:v>
                </c:pt>
                <c:pt idx="9">
                  <c:v>0</c:v>
                </c:pt>
              </c:numCache>
            </c:numRef>
          </c:val>
          <c:extLst>
            <c:ext xmlns:c16="http://schemas.microsoft.com/office/drawing/2014/chart" uri="{C3380CC4-5D6E-409C-BE32-E72D297353CC}">
              <c16:uniqueId val="{00000001-04D7-467C-9D48-211CBD5453D7}"/>
            </c:ext>
          </c:extLst>
        </c:ser>
        <c:ser>
          <c:idx val="2"/>
          <c:order val="2"/>
          <c:tx>
            <c:strRef>
              <c:f>' Product Performance Analysis '!$D$3</c:f>
              <c:strCache>
                <c:ptCount val="1"/>
                <c:pt idx="0">
                  <c:v>Sum of Review</c:v>
                </c:pt>
              </c:strCache>
            </c:strRef>
          </c:tx>
          <c:spPr>
            <a:solidFill>
              <a:schemeClr val="accent3"/>
            </a:solidFill>
            <a:ln>
              <a:noFill/>
            </a:ln>
            <a:effectLst/>
          </c:spPr>
          <c:invertIfNegative val="0"/>
          <c:cat>
            <c:strRef>
              <c:f>' Product Performance Analysis '!$A$4:$A$14</c:f>
              <c:strCache>
                <c:ptCount val="10"/>
                <c:pt idx="0">
                  <c:v>3PCS Single Head Knitting Crochet Sweater Needle Set</c:v>
                </c:pt>
                <c:pt idx="1">
                  <c:v>5-PCS Stainless Steel Cooking Pot Set With Steamed Slices</c:v>
                </c:pt>
                <c:pt idx="2">
                  <c:v>6 In 1 Bottle Can Opener Multifunctional Easy Opener</c:v>
                </c:pt>
                <c:pt idx="3">
                  <c:v>Angle Measuring Tool Full Metal Multi Angle Measuring Tool</c:v>
                </c:pt>
                <c:pt idx="4">
                  <c:v>Classic Black Cat Cotton Hemp Pillow Case For Home Car</c:v>
                </c:pt>
                <c:pt idx="5">
                  <c:v>Creative Owl Shape Keychain Black</c:v>
                </c:pt>
                <c:pt idx="6">
                  <c:v>LASA 3 Tier Bamboo Shoe Bench Storage Shelf</c:v>
                </c:pt>
                <c:pt idx="7">
                  <c:v>LASA FOLDING TABLE SERVING STAND</c:v>
                </c:pt>
                <c:pt idx="8">
                  <c:v>Mythco 120COB Solar Wall Ligt With Motion Sensor And Remote Control 3 Modes</c:v>
                </c:pt>
                <c:pt idx="9">
                  <c:v>Simple Metal Dog Art Sculpture Decoration For Home Office</c:v>
                </c:pt>
              </c:strCache>
            </c:strRef>
          </c:cat>
          <c:val>
            <c:numRef>
              <c:f>' Product Performance Analysis '!$D$4:$D$14</c:f>
              <c:numCache>
                <c:formatCode>General</c:formatCode>
                <c:ptCount val="10"/>
                <c:pt idx="0">
                  <c:v>13</c:v>
                </c:pt>
                <c:pt idx="1">
                  <c:v>13</c:v>
                </c:pt>
                <c:pt idx="2">
                  <c:v>0</c:v>
                </c:pt>
                <c:pt idx="3">
                  <c:v>0</c:v>
                </c:pt>
                <c:pt idx="4">
                  <c:v>2</c:v>
                </c:pt>
                <c:pt idx="5">
                  <c:v>0</c:v>
                </c:pt>
                <c:pt idx="6">
                  <c:v>7</c:v>
                </c:pt>
                <c:pt idx="7">
                  <c:v>5</c:v>
                </c:pt>
                <c:pt idx="8">
                  <c:v>10</c:v>
                </c:pt>
                <c:pt idx="9">
                  <c:v>0</c:v>
                </c:pt>
              </c:numCache>
            </c:numRef>
          </c:val>
          <c:extLst>
            <c:ext xmlns:c16="http://schemas.microsoft.com/office/drawing/2014/chart" uri="{C3380CC4-5D6E-409C-BE32-E72D297353CC}">
              <c16:uniqueId val="{00000002-04D7-467C-9D48-211CBD5453D7}"/>
            </c:ext>
          </c:extLst>
        </c:ser>
        <c:dLbls>
          <c:showLegendKey val="0"/>
          <c:showVal val="0"/>
          <c:showCatName val="0"/>
          <c:showSerName val="0"/>
          <c:showPercent val="0"/>
          <c:showBubbleSize val="0"/>
        </c:dLbls>
        <c:gapWidth val="150"/>
        <c:overlap val="100"/>
        <c:axId val="277583631"/>
        <c:axId val="126385807"/>
      </c:barChart>
      <c:catAx>
        <c:axId val="27758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85807"/>
        <c:crosses val="autoZero"/>
        <c:auto val="1"/>
        <c:lblAlgn val="ctr"/>
        <c:lblOffset val="100"/>
        <c:noMultiLvlLbl val="0"/>
      </c:catAx>
      <c:valAx>
        <c:axId val="126385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8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(1).xlsx]discount to ratings!PivotTable7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to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'discount to ratings'!$B$3</c:f>
              <c:strCache>
                <c:ptCount val="1"/>
                <c:pt idx="0">
                  <c:v>Total</c:v>
                </c:pt>
              </c:strCache>
            </c:strRef>
          </c:tx>
          <c:spPr>
            <a:solidFill>
              <a:schemeClr val="accent1"/>
            </a:solidFill>
            <a:ln>
              <a:noFill/>
            </a:ln>
            <a:effectLst/>
          </c:spPr>
          <c:invertIfNegative val="0"/>
          <c:cat>
            <c:strRef>
              <c:f>'discount to ratings'!$A$4:$A$50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'discount to ratings'!$B$4:$B$50</c:f>
              <c:numCache>
                <c:formatCode>General</c:formatCode>
                <c:ptCount val="46"/>
                <c:pt idx="0">
                  <c:v>0</c:v>
                </c:pt>
                <c:pt idx="1">
                  <c:v>0</c:v>
                </c:pt>
                <c:pt idx="2">
                  <c:v>0</c:v>
                </c:pt>
                <c:pt idx="3">
                  <c:v>0</c:v>
                </c:pt>
                <c:pt idx="4">
                  <c:v>0</c:v>
                </c:pt>
                <c:pt idx="5">
                  <c:v>4</c:v>
                </c:pt>
                <c:pt idx="6">
                  <c:v>0</c:v>
                </c:pt>
                <c:pt idx="7">
                  <c:v>2.5</c:v>
                </c:pt>
                <c:pt idx="8">
                  <c:v>0</c:v>
                </c:pt>
                <c:pt idx="9">
                  <c:v>3.8</c:v>
                </c:pt>
                <c:pt idx="10">
                  <c:v>4.5999999999999996</c:v>
                </c:pt>
                <c:pt idx="11">
                  <c:v>4.0999999999999996</c:v>
                </c:pt>
                <c:pt idx="12">
                  <c:v>5</c:v>
                </c:pt>
                <c:pt idx="13">
                  <c:v>2.9</c:v>
                </c:pt>
                <c:pt idx="14">
                  <c:v>4.4000000000000004</c:v>
                </c:pt>
                <c:pt idx="15">
                  <c:v>4.5999999999999996</c:v>
                </c:pt>
                <c:pt idx="16">
                  <c:v>4.5999999999999996</c:v>
                </c:pt>
                <c:pt idx="17">
                  <c:v>4.8</c:v>
                </c:pt>
                <c:pt idx="18">
                  <c:v>9.1999999999999993</c:v>
                </c:pt>
                <c:pt idx="19">
                  <c:v>3</c:v>
                </c:pt>
                <c:pt idx="20">
                  <c:v>4.0999999999999996</c:v>
                </c:pt>
                <c:pt idx="21">
                  <c:v>3.8</c:v>
                </c:pt>
                <c:pt idx="22">
                  <c:v>4.2</c:v>
                </c:pt>
                <c:pt idx="23">
                  <c:v>9.4</c:v>
                </c:pt>
                <c:pt idx="24">
                  <c:v>8.6</c:v>
                </c:pt>
                <c:pt idx="25">
                  <c:v>0</c:v>
                </c:pt>
                <c:pt idx="26">
                  <c:v>8.6999999999999993</c:v>
                </c:pt>
                <c:pt idx="27">
                  <c:v>9</c:v>
                </c:pt>
                <c:pt idx="28">
                  <c:v>3</c:v>
                </c:pt>
                <c:pt idx="29">
                  <c:v>5</c:v>
                </c:pt>
                <c:pt idx="30">
                  <c:v>4.3</c:v>
                </c:pt>
                <c:pt idx="31">
                  <c:v>4.5</c:v>
                </c:pt>
                <c:pt idx="32">
                  <c:v>5.3</c:v>
                </c:pt>
                <c:pt idx="33">
                  <c:v>8.6000000000000014</c:v>
                </c:pt>
                <c:pt idx="34">
                  <c:v>8</c:v>
                </c:pt>
                <c:pt idx="35">
                  <c:v>13.199999999999998</c:v>
                </c:pt>
                <c:pt idx="36">
                  <c:v>4.3</c:v>
                </c:pt>
                <c:pt idx="37">
                  <c:v>21.400000000000002</c:v>
                </c:pt>
                <c:pt idx="38">
                  <c:v>4.3</c:v>
                </c:pt>
                <c:pt idx="39">
                  <c:v>5</c:v>
                </c:pt>
                <c:pt idx="40">
                  <c:v>7</c:v>
                </c:pt>
                <c:pt idx="41">
                  <c:v>8.3000000000000007</c:v>
                </c:pt>
                <c:pt idx="42">
                  <c:v>7.3</c:v>
                </c:pt>
                <c:pt idx="43">
                  <c:v>6.9</c:v>
                </c:pt>
                <c:pt idx="44">
                  <c:v>0</c:v>
                </c:pt>
                <c:pt idx="45">
                  <c:v>0</c:v>
                </c:pt>
              </c:numCache>
            </c:numRef>
          </c:val>
          <c:extLst>
            <c:ext xmlns:c16="http://schemas.microsoft.com/office/drawing/2014/chart" uri="{C3380CC4-5D6E-409C-BE32-E72D297353CC}">
              <c16:uniqueId val="{00000000-2238-4759-91DB-7470E902D481}"/>
            </c:ext>
          </c:extLst>
        </c:ser>
        <c:dLbls>
          <c:showLegendKey val="0"/>
          <c:showVal val="0"/>
          <c:showCatName val="0"/>
          <c:showSerName val="0"/>
          <c:showPercent val="0"/>
          <c:showBubbleSize val="0"/>
        </c:dLbls>
        <c:gapWidth val="150"/>
        <c:overlap val="100"/>
        <c:axId val="288169839"/>
        <c:axId val="126398287"/>
      </c:barChart>
      <c:catAx>
        <c:axId val="28816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8287"/>
        <c:crosses val="autoZero"/>
        <c:auto val="1"/>
        <c:lblAlgn val="ctr"/>
        <c:lblOffset val="100"/>
        <c:noMultiLvlLbl val="0"/>
      </c:catAx>
      <c:valAx>
        <c:axId val="1263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6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(1).xlsx]products to review!PivotTable8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to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to review'!$B$3</c:f>
              <c:strCache>
                <c:ptCount val="1"/>
                <c:pt idx="0">
                  <c:v>Total</c:v>
                </c:pt>
              </c:strCache>
            </c:strRef>
          </c:tx>
          <c:spPr>
            <a:solidFill>
              <a:schemeClr val="accent1"/>
            </a:solidFill>
            <a:ln>
              <a:noFill/>
            </a:ln>
            <a:effectLst/>
          </c:spPr>
          <c:invertIfNegative val="0"/>
          <c:cat>
            <c:strRef>
              <c:f>'products to review'!$A$4:$A$113</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'products to review'!$B$4:$B$113</c:f>
              <c:numCache>
                <c:formatCode>General</c:formatCode>
                <c:ptCount val="109"/>
                <c:pt idx="0">
                  <c:v>2</c:v>
                </c:pt>
                <c:pt idx="1">
                  <c:v>39</c:v>
                </c:pt>
                <c:pt idx="2">
                  <c:v>2</c:v>
                </c:pt>
                <c:pt idx="3">
                  <c:v>13</c:v>
                </c:pt>
                <c:pt idx="4">
                  <c:v>12</c:v>
                </c:pt>
                <c:pt idx="5">
                  <c:v>69</c:v>
                </c:pt>
                <c:pt idx="6">
                  <c:v>0</c:v>
                </c:pt>
                <c:pt idx="7">
                  <c:v>5</c:v>
                </c:pt>
                <c:pt idx="8">
                  <c:v>55</c:v>
                </c:pt>
                <c:pt idx="9">
                  <c:v>0</c:v>
                </c:pt>
                <c:pt idx="10">
                  <c:v>0</c:v>
                </c:pt>
                <c:pt idx="11">
                  <c:v>15</c:v>
                </c:pt>
                <c:pt idx="12">
                  <c:v>0</c:v>
                </c:pt>
                <c:pt idx="13">
                  <c:v>0</c:v>
                </c:pt>
                <c:pt idx="14">
                  <c:v>0</c:v>
                </c:pt>
                <c:pt idx="15">
                  <c:v>0</c:v>
                </c:pt>
                <c:pt idx="16">
                  <c:v>5</c:v>
                </c:pt>
                <c:pt idx="17">
                  <c:v>7</c:v>
                </c:pt>
                <c:pt idx="18">
                  <c:v>44</c:v>
                </c:pt>
                <c:pt idx="19">
                  <c:v>0</c:v>
                </c:pt>
                <c:pt idx="20">
                  <c:v>13</c:v>
                </c:pt>
                <c:pt idx="21">
                  <c:v>0</c:v>
                </c:pt>
                <c:pt idx="22">
                  <c:v>12</c:v>
                </c:pt>
                <c:pt idx="23">
                  <c:v>0</c:v>
                </c:pt>
                <c:pt idx="24">
                  <c:v>0</c:v>
                </c:pt>
                <c:pt idx="25">
                  <c:v>6</c:v>
                </c:pt>
                <c:pt idx="26">
                  <c:v>20</c:v>
                </c:pt>
                <c:pt idx="27">
                  <c:v>32</c:v>
                </c:pt>
                <c:pt idx="28">
                  <c:v>20</c:v>
                </c:pt>
                <c:pt idx="29">
                  <c:v>0</c:v>
                </c:pt>
                <c:pt idx="30">
                  <c:v>13</c:v>
                </c:pt>
                <c:pt idx="31">
                  <c:v>0</c:v>
                </c:pt>
                <c:pt idx="32">
                  <c:v>0</c:v>
                </c:pt>
                <c:pt idx="33">
                  <c:v>0</c:v>
                </c:pt>
                <c:pt idx="34">
                  <c:v>0</c:v>
                </c:pt>
                <c:pt idx="35">
                  <c:v>6</c:v>
                </c:pt>
                <c:pt idx="36">
                  <c:v>0</c:v>
                </c:pt>
                <c:pt idx="37">
                  <c:v>0</c:v>
                </c:pt>
                <c:pt idx="38">
                  <c:v>17</c:v>
                </c:pt>
                <c:pt idx="39">
                  <c:v>0</c:v>
                </c:pt>
                <c:pt idx="40">
                  <c:v>2</c:v>
                </c:pt>
                <c:pt idx="41">
                  <c:v>6</c:v>
                </c:pt>
                <c:pt idx="42">
                  <c:v>0</c:v>
                </c:pt>
                <c:pt idx="43">
                  <c:v>0</c:v>
                </c:pt>
                <c:pt idx="44">
                  <c:v>1</c:v>
                </c:pt>
                <c:pt idx="45">
                  <c:v>0</c:v>
                </c:pt>
                <c:pt idx="46">
                  <c:v>0</c:v>
                </c:pt>
                <c:pt idx="47">
                  <c:v>0</c:v>
                </c:pt>
                <c:pt idx="48">
                  <c:v>0</c:v>
                </c:pt>
                <c:pt idx="49">
                  <c:v>0</c:v>
                </c:pt>
                <c:pt idx="50">
                  <c:v>0</c:v>
                </c:pt>
                <c:pt idx="51">
                  <c:v>0</c:v>
                </c:pt>
                <c:pt idx="52">
                  <c:v>2</c:v>
                </c:pt>
                <c:pt idx="53">
                  <c:v>0</c:v>
                </c:pt>
                <c:pt idx="54">
                  <c:v>0</c:v>
                </c:pt>
                <c:pt idx="55">
                  <c:v>0</c:v>
                </c:pt>
                <c:pt idx="56">
                  <c:v>2</c:v>
                </c:pt>
                <c:pt idx="57">
                  <c:v>1</c:v>
                </c:pt>
                <c:pt idx="58">
                  <c:v>7</c:v>
                </c:pt>
                <c:pt idx="59">
                  <c:v>49</c:v>
                </c:pt>
                <c:pt idx="60">
                  <c:v>9</c:v>
                </c:pt>
                <c:pt idx="61">
                  <c:v>14</c:v>
                </c:pt>
                <c:pt idx="62">
                  <c:v>12</c:v>
                </c:pt>
                <c:pt idx="63">
                  <c:v>1</c:v>
                </c:pt>
                <c:pt idx="64">
                  <c:v>15</c:v>
                </c:pt>
                <c:pt idx="65">
                  <c:v>1</c:v>
                </c:pt>
                <c:pt idx="66">
                  <c:v>5</c:v>
                </c:pt>
                <c:pt idx="67">
                  <c:v>7</c:v>
                </c:pt>
                <c:pt idx="68">
                  <c:v>3</c:v>
                </c:pt>
                <c:pt idx="69">
                  <c:v>6</c:v>
                </c:pt>
                <c:pt idx="70">
                  <c:v>5</c:v>
                </c:pt>
                <c:pt idx="71">
                  <c:v>0</c:v>
                </c:pt>
                <c:pt idx="72">
                  <c:v>9</c:v>
                </c:pt>
                <c:pt idx="73">
                  <c:v>6</c:v>
                </c:pt>
                <c:pt idx="74">
                  <c:v>0</c:v>
                </c:pt>
                <c:pt idx="75">
                  <c:v>5</c:v>
                </c:pt>
                <c:pt idx="76">
                  <c:v>1</c:v>
                </c:pt>
                <c:pt idx="77">
                  <c:v>14</c:v>
                </c:pt>
                <c:pt idx="78">
                  <c:v>0</c:v>
                </c:pt>
                <c:pt idx="79">
                  <c:v>0</c:v>
                </c:pt>
                <c:pt idx="80">
                  <c:v>9</c:v>
                </c:pt>
                <c:pt idx="81">
                  <c:v>0</c:v>
                </c:pt>
                <c:pt idx="82">
                  <c:v>0</c:v>
                </c:pt>
                <c:pt idx="83">
                  <c:v>0</c:v>
                </c:pt>
                <c:pt idx="84">
                  <c:v>10</c:v>
                </c:pt>
                <c:pt idx="85">
                  <c:v>0</c:v>
                </c:pt>
                <c:pt idx="86">
                  <c:v>0</c:v>
                </c:pt>
                <c:pt idx="87">
                  <c:v>2</c:v>
                </c:pt>
                <c:pt idx="88">
                  <c:v>0</c:v>
                </c:pt>
                <c:pt idx="89">
                  <c:v>0</c:v>
                </c:pt>
                <c:pt idx="90">
                  <c:v>5</c:v>
                </c:pt>
                <c:pt idx="91">
                  <c:v>24</c:v>
                </c:pt>
                <c:pt idx="92">
                  <c:v>0</c:v>
                </c:pt>
                <c:pt idx="93">
                  <c:v>12</c:v>
                </c:pt>
                <c:pt idx="94">
                  <c:v>0</c:v>
                </c:pt>
                <c:pt idx="95">
                  <c:v>36</c:v>
                </c:pt>
                <c:pt idx="96">
                  <c:v>0</c:v>
                </c:pt>
                <c:pt idx="97">
                  <c:v>0</c:v>
                </c:pt>
                <c:pt idx="98">
                  <c:v>0</c:v>
                </c:pt>
                <c:pt idx="99">
                  <c:v>0</c:v>
                </c:pt>
                <c:pt idx="100">
                  <c:v>0</c:v>
                </c:pt>
                <c:pt idx="101">
                  <c:v>16</c:v>
                </c:pt>
                <c:pt idx="102">
                  <c:v>0</c:v>
                </c:pt>
                <c:pt idx="103">
                  <c:v>0</c:v>
                </c:pt>
                <c:pt idx="104">
                  <c:v>1</c:v>
                </c:pt>
                <c:pt idx="105">
                  <c:v>0</c:v>
                </c:pt>
                <c:pt idx="106">
                  <c:v>6</c:v>
                </c:pt>
                <c:pt idx="107">
                  <c:v>7</c:v>
                </c:pt>
                <c:pt idx="108">
                  <c:v>5</c:v>
                </c:pt>
              </c:numCache>
            </c:numRef>
          </c:val>
          <c:extLst>
            <c:ext xmlns:c16="http://schemas.microsoft.com/office/drawing/2014/chart" uri="{C3380CC4-5D6E-409C-BE32-E72D297353CC}">
              <c16:uniqueId val="{00000000-CB3E-4B5A-A18B-8D14937E7B04}"/>
            </c:ext>
          </c:extLst>
        </c:ser>
        <c:dLbls>
          <c:showLegendKey val="0"/>
          <c:showVal val="0"/>
          <c:showCatName val="0"/>
          <c:showSerName val="0"/>
          <c:showPercent val="0"/>
          <c:showBubbleSize val="0"/>
        </c:dLbls>
        <c:gapWidth val="219"/>
        <c:overlap val="-27"/>
        <c:axId val="288130863"/>
        <c:axId val="126406927"/>
      </c:barChart>
      <c:catAx>
        <c:axId val="28813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06927"/>
        <c:crosses val="autoZero"/>
        <c:auto val="1"/>
        <c:lblAlgn val="ctr"/>
        <c:lblOffset val="100"/>
        <c:noMultiLvlLbl val="0"/>
      </c:catAx>
      <c:valAx>
        <c:axId val="12640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3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(1).xlsx]products to review!PivotTable8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to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to review'!$B$3</c:f>
              <c:strCache>
                <c:ptCount val="1"/>
                <c:pt idx="0">
                  <c:v>Total</c:v>
                </c:pt>
              </c:strCache>
            </c:strRef>
          </c:tx>
          <c:spPr>
            <a:solidFill>
              <a:schemeClr val="accent1"/>
            </a:solidFill>
            <a:ln>
              <a:noFill/>
            </a:ln>
            <a:effectLst/>
          </c:spPr>
          <c:invertIfNegative val="0"/>
          <c:cat>
            <c:strRef>
              <c:f>'products to review'!$A$4:$A$113</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'products to review'!$B$4:$B$113</c:f>
              <c:numCache>
                <c:formatCode>General</c:formatCode>
                <c:ptCount val="109"/>
                <c:pt idx="0">
                  <c:v>2</c:v>
                </c:pt>
                <c:pt idx="1">
                  <c:v>39</c:v>
                </c:pt>
                <c:pt idx="2">
                  <c:v>2</c:v>
                </c:pt>
                <c:pt idx="3">
                  <c:v>13</c:v>
                </c:pt>
                <c:pt idx="4">
                  <c:v>12</c:v>
                </c:pt>
                <c:pt idx="5">
                  <c:v>69</c:v>
                </c:pt>
                <c:pt idx="6">
                  <c:v>0</c:v>
                </c:pt>
                <c:pt idx="7">
                  <c:v>5</c:v>
                </c:pt>
                <c:pt idx="8">
                  <c:v>55</c:v>
                </c:pt>
                <c:pt idx="9">
                  <c:v>0</c:v>
                </c:pt>
                <c:pt idx="10">
                  <c:v>0</c:v>
                </c:pt>
                <c:pt idx="11">
                  <c:v>15</c:v>
                </c:pt>
                <c:pt idx="12">
                  <c:v>0</c:v>
                </c:pt>
                <c:pt idx="13">
                  <c:v>0</c:v>
                </c:pt>
                <c:pt idx="14">
                  <c:v>0</c:v>
                </c:pt>
                <c:pt idx="15">
                  <c:v>0</c:v>
                </c:pt>
                <c:pt idx="16">
                  <c:v>5</c:v>
                </c:pt>
                <c:pt idx="17">
                  <c:v>7</c:v>
                </c:pt>
                <c:pt idx="18">
                  <c:v>44</c:v>
                </c:pt>
                <c:pt idx="19">
                  <c:v>0</c:v>
                </c:pt>
                <c:pt idx="20">
                  <c:v>13</c:v>
                </c:pt>
                <c:pt idx="21">
                  <c:v>0</c:v>
                </c:pt>
                <c:pt idx="22">
                  <c:v>12</c:v>
                </c:pt>
                <c:pt idx="23">
                  <c:v>0</c:v>
                </c:pt>
                <c:pt idx="24">
                  <c:v>0</c:v>
                </c:pt>
                <c:pt idx="25">
                  <c:v>6</c:v>
                </c:pt>
                <c:pt idx="26">
                  <c:v>20</c:v>
                </c:pt>
                <c:pt idx="27">
                  <c:v>32</c:v>
                </c:pt>
                <c:pt idx="28">
                  <c:v>20</c:v>
                </c:pt>
                <c:pt idx="29">
                  <c:v>0</c:v>
                </c:pt>
                <c:pt idx="30">
                  <c:v>13</c:v>
                </c:pt>
                <c:pt idx="31">
                  <c:v>0</c:v>
                </c:pt>
                <c:pt idx="32">
                  <c:v>0</c:v>
                </c:pt>
                <c:pt idx="33">
                  <c:v>0</c:v>
                </c:pt>
                <c:pt idx="34">
                  <c:v>0</c:v>
                </c:pt>
                <c:pt idx="35">
                  <c:v>6</c:v>
                </c:pt>
                <c:pt idx="36">
                  <c:v>0</c:v>
                </c:pt>
                <c:pt idx="37">
                  <c:v>0</c:v>
                </c:pt>
                <c:pt idx="38">
                  <c:v>17</c:v>
                </c:pt>
                <c:pt idx="39">
                  <c:v>0</c:v>
                </c:pt>
                <c:pt idx="40">
                  <c:v>2</c:v>
                </c:pt>
                <c:pt idx="41">
                  <c:v>6</c:v>
                </c:pt>
                <c:pt idx="42">
                  <c:v>0</c:v>
                </c:pt>
                <c:pt idx="43">
                  <c:v>0</c:v>
                </c:pt>
                <c:pt idx="44">
                  <c:v>1</c:v>
                </c:pt>
                <c:pt idx="45">
                  <c:v>0</c:v>
                </c:pt>
                <c:pt idx="46">
                  <c:v>0</c:v>
                </c:pt>
                <c:pt idx="47">
                  <c:v>0</c:v>
                </c:pt>
                <c:pt idx="48">
                  <c:v>0</c:v>
                </c:pt>
                <c:pt idx="49">
                  <c:v>0</c:v>
                </c:pt>
                <c:pt idx="50">
                  <c:v>0</c:v>
                </c:pt>
                <c:pt idx="51">
                  <c:v>0</c:v>
                </c:pt>
                <c:pt idx="52">
                  <c:v>2</c:v>
                </c:pt>
                <c:pt idx="53">
                  <c:v>0</c:v>
                </c:pt>
                <c:pt idx="54">
                  <c:v>0</c:v>
                </c:pt>
                <c:pt idx="55">
                  <c:v>0</c:v>
                </c:pt>
                <c:pt idx="56">
                  <c:v>2</c:v>
                </c:pt>
                <c:pt idx="57">
                  <c:v>1</c:v>
                </c:pt>
                <c:pt idx="58">
                  <c:v>7</c:v>
                </c:pt>
                <c:pt idx="59">
                  <c:v>49</c:v>
                </c:pt>
                <c:pt idx="60">
                  <c:v>9</c:v>
                </c:pt>
                <c:pt idx="61">
                  <c:v>14</c:v>
                </c:pt>
                <c:pt idx="62">
                  <c:v>12</c:v>
                </c:pt>
                <c:pt idx="63">
                  <c:v>1</c:v>
                </c:pt>
                <c:pt idx="64">
                  <c:v>15</c:v>
                </c:pt>
                <c:pt idx="65">
                  <c:v>1</c:v>
                </c:pt>
                <c:pt idx="66">
                  <c:v>5</c:v>
                </c:pt>
                <c:pt idx="67">
                  <c:v>7</c:v>
                </c:pt>
                <c:pt idx="68">
                  <c:v>3</c:v>
                </c:pt>
                <c:pt idx="69">
                  <c:v>6</c:v>
                </c:pt>
                <c:pt idx="70">
                  <c:v>5</c:v>
                </c:pt>
                <c:pt idx="71">
                  <c:v>0</c:v>
                </c:pt>
                <c:pt idx="72">
                  <c:v>9</c:v>
                </c:pt>
                <c:pt idx="73">
                  <c:v>6</c:v>
                </c:pt>
                <c:pt idx="74">
                  <c:v>0</c:v>
                </c:pt>
                <c:pt idx="75">
                  <c:v>5</c:v>
                </c:pt>
                <c:pt idx="76">
                  <c:v>1</c:v>
                </c:pt>
                <c:pt idx="77">
                  <c:v>14</c:v>
                </c:pt>
                <c:pt idx="78">
                  <c:v>0</c:v>
                </c:pt>
                <c:pt idx="79">
                  <c:v>0</c:v>
                </c:pt>
                <c:pt idx="80">
                  <c:v>9</c:v>
                </c:pt>
                <c:pt idx="81">
                  <c:v>0</c:v>
                </c:pt>
                <c:pt idx="82">
                  <c:v>0</c:v>
                </c:pt>
                <c:pt idx="83">
                  <c:v>0</c:v>
                </c:pt>
                <c:pt idx="84">
                  <c:v>10</c:v>
                </c:pt>
                <c:pt idx="85">
                  <c:v>0</c:v>
                </c:pt>
                <c:pt idx="86">
                  <c:v>0</c:v>
                </c:pt>
                <c:pt idx="87">
                  <c:v>2</c:v>
                </c:pt>
                <c:pt idx="88">
                  <c:v>0</c:v>
                </c:pt>
                <c:pt idx="89">
                  <c:v>0</c:v>
                </c:pt>
                <c:pt idx="90">
                  <c:v>5</c:v>
                </c:pt>
                <c:pt idx="91">
                  <c:v>24</c:v>
                </c:pt>
                <c:pt idx="92">
                  <c:v>0</c:v>
                </c:pt>
                <c:pt idx="93">
                  <c:v>12</c:v>
                </c:pt>
                <c:pt idx="94">
                  <c:v>0</c:v>
                </c:pt>
                <c:pt idx="95">
                  <c:v>36</c:v>
                </c:pt>
                <c:pt idx="96">
                  <c:v>0</c:v>
                </c:pt>
                <c:pt idx="97">
                  <c:v>0</c:v>
                </c:pt>
                <c:pt idx="98">
                  <c:v>0</c:v>
                </c:pt>
                <c:pt idx="99">
                  <c:v>0</c:v>
                </c:pt>
                <c:pt idx="100">
                  <c:v>0</c:v>
                </c:pt>
                <c:pt idx="101">
                  <c:v>16</c:v>
                </c:pt>
                <c:pt idx="102">
                  <c:v>0</c:v>
                </c:pt>
                <c:pt idx="103">
                  <c:v>0</c:v>
                </c:pt>
                <c:pt idx="104">
                  <c:v>1</c:v>
                </c:pt>
                <c:pt idx="105">
                  <c:v>0</c:v>
                </c:pt>
                <c:pt idx="106">
                  <c:v>6</c:v>
                </c:pt>
                <c:pt idx="107">
                  <c:v>7</c:v>
                </c:pt>
                <c:pt idx="108">
                  <c:v>5</c:v>
                </c:pt>
              </c:numCache>
            </c:numRef>
          </c:val>
          <c:extLst>
            <c:ext xmlns:c16="http://schemas.microsoft.com/office/drawing/2014/chart" uri="{C3380CC4-5D6E-409C-BE32-E72D297353CC}">
              <c16:uniqueId val="{00000000-7505-4CA4-8A58-B83D591F1046}"/>
            </c:ext>
          </c:extLst>
        </c:ser>
        <c:dLbls>
          <c:showLegendKey val="0"/>
          <c:showVal val="0"/>
          <c:showCatName val="0"/>
          <c:showSerName val="0"/>
          <c:showPercent val="0"/>
          <c:showBubbleSize val="0"/>
        </c:dLbls>
        <c:gapWidth val="219"/>
        <c:overlap val="-27"/>
        <c:axId val="288130863"/>
        <c:axId val="126406927"/>
      </c:barChart>
      <c:catAx>
        <c:axId val="28813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06927"/>
        <c:crosses val="autoZero"/>
        <c:auto val="1"/>
        <c:lblAlgn val="ctr"/>
        <c:lblOffset val="100"/>
        <c:noMultiLvlLbl val="0"/>
      </c:catAx>
      <c:valAx>
        <c:axId val="12640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3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(1).xlsx] Product Performance Analysis !PivotTable6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Product Performance Analysis '!$B$3</c:f>
              <c:strCache>
                <c:ptCount val="1"/>
                <c:pt idx="0">
                  <c:v>Sum of Discount</c:v>
                </c:pt>
              </c:strCache>
            </c:strRef>
          </c:tx>
          <c:spPr>
            <a:solidFill>
              <a:schemeClr val="accent1"/>
            </a:solidFill>
            <a:ln>
              <a:noFill/>
            </a:ln>
            <a:effectLst/>
          </c:spPr>
          <c:invertIfNegative val="0"/>
          <c:cat>
            <c:strRef>
              <c:f>' Product Performance Analysis '!$A$4:$A$14</c:f>
              <c:strCache>
                <c:ptCount val="10"/>
                <c:pt idx="0">
                  <c:v>3PCS Single Head Knitting Crochet Sweater Needle Set</c:v>
                </c:pt>
                <c:pt idx="1">
                  <c:v>5-PCS Stainless Steel Cooking Pot Set With Steamed Slices</c:v>
                </c:pt>
                <c:pt idx="2">
                  <c:v>6 In 1 Bottle Can Opener Multifunctional Easy Opener</c:v>
                </c:pt>
                <c:pt idx="3">
                  <c:v>Angle Measuring Tool Full Metal Multi Angle Measuring Tool</c:v>
                </c:pt>
                <c:pt idx="4">
                  <c:v>Classic Black Cat Cotton Hemp Pillow Case For Home Car</c:v>
                </c:pt>
                <c:pt idx="5">
                  <c:v>Creative Owl Shape Keychain Black</c:v>
                </c:pt>
                <c:pt idx="6">
                  <c:v>LASA 3 Tier Bamboo Shoe Bench Storage Shelf</c:v>
                </c:pt>
                <c:pt idx="7">
                  <c:v>LASA FOLDING TABLE SERVING STAND</c:v>
                </c:pt>
                <c:pt idx="8">
                  <c:v>Mythco 120COB Solar Wall Ligt With Motion Sensor And Remote Control 3 Modes</c:v>
                </c:pt>
                <c:pt idx="9">
                  <c:v>Simple Metal Dog Art Sculpture Decoration For Home Office</c:v>
                </c:pt>
              </c:strCache>
            </c:strRef>
          </c:cat>
          <c:val>
            <c:numRef>
              <c:f>' Product Performance Analysis '!$B$4:$B$14</c:f>
              <c:numCache>
                <c:formatCode>0%</c:formatCode>
                <c:ptCount val="10"/>
                <c:pt idx="0">
                  <c:v>0.53</c:v>
                </c:pt>
                <c:pt idx="1">
                  <c:v>0.55000000000000004</c:v>
                </c:pt>
                <c:pt idx="2">
                  <c:v>0.64</c:v>
                </c:pt>
                <c:pt idx="3">
                  <c:v>0.98</c:v>
                </c:pt>
                <c:pt idx="4">
                  <c:v>0.53</c:v>
                </c:pt>
                <c:pt idx="5">
                  <c:v>1.1000000000000001</c:v>
                </c:pt>
                <c:pt idx="6">
                  <c:v>0.54</c:v>
                </c:pt>
                <c:pt idx="7">
                  <c:v>0.55000000000000004</c:v>
                </c:pt>
                <c:pt idx="8">
                  <c:v>0.54</c:v>
                </c:pt>
                <c:pt idx="9">
                  <c:v>1</c:v>
                </c:pt>
              </c:numCache>
            </c:numRef>
          </c:val>
          <c:extLst>
            <c:ext xmlns:c16="http://schemas.microsoft.com/office/drawing/2014/chart" uri="{C3380CC4-5D6E-409C-BE32-E72D297353CC}">
              <c16:uniqueId val="{00000000-A160-4915-8FC6-1836C42D6C40}"/>
            </c:ext>
          </c:extLst>
        </c:ser>
        <c:ser>
          <c:idx val="1"/>
          <c:order val="1"/>
          <c:tx>
            <c:strRef>
              <c:f>' Product Performance Analysis '!$C$3</c:f>
              <c:strCache>
                <c:ptCount val="1"/>
                <c:pt idx="0">
                  <c:v>Sum of Ratings</c:v>
                </c:pt>
              </c:strCache>
            </c:strRef>
          </c:tx>
          <c:spPr>
            <a:solidFill>
              <a:schemeClr val="accent2"/>
            </a:solidFill>
            <a:ln>
              <a:noFill/>
            </a:ln>
            <a:effectLst/>
          </c:spPr>
          <c:invertIfNegative val="0"/>
          <c:cat>
            <c:strRef>
              <c:f>' Product Performance Analysis '!$A$4:$A$14</c:f>
              <c:strCache>
                <c:ptCount val="10"/>
                <c:pt idx="0">
                  <c:v>3PCS Single Head Knitting Crochet Sweater Needle Set</c:v>
                </c:pt>
                <c:pt idx="1">
                  <c:v>5-PCS Stainless Steel Cooking Pot Set With Steamed Slices</c:v>
                </c:pt>
                <c:pt idx="2">
                  <c:v>6 In 1 Bottle Can Opener Multifunctional Easy Opener</c:v>
                </c:pt>
                <c:pt idx="3">
                  <c:v>Angle Measuring Tool Full Metal Multi Angle Measuring Tool</c:v>
                </c:pt>
                <c:pt idx="4">
                  <c:v>Classic Black Cat Cotton Hemp Pillow Case For Home Car</c:v>
                </c:pt>
                <c:pt idx="5">
                  <c:v>Creative Owl Shape Keychain Black</c:v>
                </c:pt>
                <c:pt idx="6">
                  <c:v>LASA 3 Tier Bamboo Shoe Bench Storage Shelf</c:v>
                </c:pt>
                <c:pt idx="7">
                  <c:v>LASA FOLDING TABLE SERVING STAND</c:v>
                </c:pt>
                <c:pt idx="8">
                  <c:v>Mythco 120COB Solar Wall Ligt With Motion Sensor And Remote Control 3 Modes</c:v>
                </c:pt>
                <c:pt idx="9">
                  <c:v>Simple Metal Dog Art Sculpture Decoration For Home Office</c:v>
                </c:pt>
              </c:strCache>
            </c:strRef>
          </c:cat>
          <c:val>
            <c:numRef>
              <c:f>' Product Performance Analysis '!$C$4:$C$14</c:f>
              <c:numCache>
                <c:formatCode>General</c:formatCode>
                <c:ptCount val="10"/>
                <c:pt idx="0">
                  <c:v>3.3</c:v>
                </c:pt>
                <c:pt idx="1">
                  <c:v>2.1</c:v>
                </c:pt>
                <c:pt idx="2">
                  <c:v>0</c:v>
                </c:pt>
                <c:pt idx="3">
                  <c:v>0</c:v>
                </c:pt>
                <c:pt idx="4">
                  <c:v>5</c:v>
                </c:pt>
                <c:pt idx="5">
                  <c:v>0</c:v>
                </c:pt>
                <c:pt idx="6">
                  <c:v>4.3</c:v>
                </c:pt>
                <c:pt idx="7">
                  <c:v>4.8</c:v>
                </c:pt>
                <c:pt idx="8">
                  <c:v>3</c:v>
                </c:pt>
                <c:pt idx="9">
                  <c:v>0</c:v>
                </c:pt>
              </c:numCache>
            </c:numRef>
          </c:val>
          <c:extLst>
            <c:ext xmlns:c16="http://schemas.microsoft.com/office/drawing/2014/chart" uri="{C3380CC4-5D6E-409C-BE32-E72D297353CC}">
              <c16:uniqueId val="{00000001-A160-4915-8FC6-1836C42D6C40}"/>
            </c:ext>
          </c:extLst>
        </c:ser>
        <c:ser>
          <c:idx val="2"/>
          <c:order val="2"/>
          <c:tx>
            <c:strRef>
              <c:f>' Product Performance Analysis '!$D$3</c:f>
              <c:strCache>
                <c:ptCount val="1"/>
                <c:pt idx="0">
                  <c:v>Sum of Review</c:v>
                </c:pt>
              </c:strCache>
            </c:strRef>
          </c:tx>
          <c:spPr>
            <a:solidFill>
              <a:schemeClr val="accent3"/>
            </a:solidFill>
            <a:ln>
              <a:noFill/>
            </a:ln>
            <a:effectLst/>
          </c:spPr>
          <c:invertIfNegative val="0"/>
          <c:cat>
            <c:strRef>
              <c:f>' Product Performance Analysis '!$A$4:$A$14</c:f>
              <c:strCache>
                <c:ptCount val="10"/>
                <c:pt idx="0">
                  <c:v>3PCS Single Head Knitting Crochet Sweater Needle Set</c:v>
                </c:pt>
                <c:pt idx="1">
                  <c:v>5-PCS Stainless Steel Cooking Pot Set With Steamed Slices</c:v>
                </c:pt>
                <c:pt idx="2">
                  <c:v>6 In 1 Bottle Can Opener Multifunctional Easy Opener</c:v>
                </c:pt>
                <c:pt idx="3">
                  <c:v>Angle Measuring Tool Full Metal Multi Angle Measuring Tool</c:v>
                </c:pt>
                <c:pt idx="4">
                  <c:v>Classic Black Cat Cotton Hemp Pillow Case For Home Car</c:v>
                </c:pt>
                <c:pt idx="5">
                  <c:v>Creative Owl Shape Keychain Black</c:v>
                </c:pt>
                <c:pt idx="6">
                  <c:v>LASA 3 Tier Bamboo Shoe Bench Storage Shelf</c:v>
                </c:pt>
                <c:pt idx="7">
                  <c:v>LASA FOLDING TABLE SERVING STAND</c:v>
                </c:pt>
                <c:pt idx="8">
                  <c:v>Mythco 120COB Solar Wall Ligt With Motion Sensor And Remote Control 3 Modes</c:v>
                </c:pt>
                <c:pt idx="9">
                  <c:v>Simple Metal Dog Art Sculpture Decoration For Home Office</c:v>
                </c:pt>
              </c:strCache>
            </c:strRef>
          </c:cat>
          <c:val>
            <c:numRef>
              <c:f>' Product Performance Analysis '!$D$4:$D$14</c:f>
              <c:numCache>
                <c:formatCode>General</c:formatCode>
                <c:ptCount val="10"/>
                <c:pt idx="0">
                  <c:v>13</c:v>
                </c:pt>
                <c:pt idx="1">
                  <c:v>13</c:v>
                </c:pt>
                <c:pt idx="2">
                  <c:v>0</c:v>
                </c:pt>
                <c:pt idx="3">
                  <c:v>0</c:v>
                </c:pt>
                <c:pt idx="4">
                  <c:v>2</c:v>
                </c:pt>
                <c:pt idx="5">
                  <c:v>0</c:v>
                </c:pt>
                <c:pt idx="6">
                  <c:v>7</c:v>
                </c:pt>
                <c:pt idx="7">
                  <c:v>5</c:v>
                </c:pt>
                <c:pt idx="8">
                  <c:v>10</c:v>
                </c:pt>
                <c:pt idx="9">
                  <c:v>0</c:v>
                </c:pt>
              </c:numCache>
            </c:numRef>
          </c:val>
          <c:extLst>
            <c:ext xmlns:c16="http://schemas.microsoft.com/office/drawing/2014/chart" uri="{C3380CC4-5D6E-409C-BE32-E72D297353CC}">
              <c16:uniqueId val="{00000002-A160-4915-8FC6-1836C42D6C40}"/>
            </c:ext>
          </c:extLst>
        </c:ser>
        <c:dLbls>
          <c:showLegendKey val="0"/>
          <c:showVal val="0"/>
          <c:showCatName val="0"/>
          <c:showSerName val="0"/>
          <c:showPercent val="0"/>
          <c:showBubbleSize val="0"/>
        </c:dLbls>
        <c:gapWidth val="150"/>
        <c:overlap val="100"/>
        <c:axId val="277583631"/>
        <c:axId val="126385807"/>
      </c:barChart>
      <c:catAx>
        <c:axId val="27758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85807"/>
        <c:crosses val="autoZero"/>
        <c:auto val="1"/>
        <c:lblAlgn val="ctr"/>
        <c:lblOffset val="100"/>
        <c:noMultiLvlLbl val="0"/>
      </c:catAx>
      <c:valAx>
        <c:axId val="126385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8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Discount vs Review</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'Discount vs Reviews'!$B$1</c:f>
              <c:strCache>
                <c:ptCount val="1"/>
                <c:pt idx="0">
                  <c:v>Review</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trendline>
            <c:spPr>
              <a:ln w="15875" cap="rnd">
                <a:solidFill>
                  <a:schemeClr val="accent1"/>
                </a:solidFill>
              </a:ln>
              <a:effectLst/>
            </c:spPr>
            <c:trendlineType val="linear"/>
            <c:dispRSqr val="0"/>
            <c:dispEq val="0"/>
          </c:trendline>
          <c:xVal>
            <c:numRef>
              <c:f>'Discount vs Reviews'!$A$2:$A$118</c:f>
              <c:numCache>
                <c:formatCode>0%</c:formatCode>
                <c:ptCount val="117"/>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'Discount vs Reviews'!$B$2:$B$118</c:f>
              <c:numCache>
                <c:formatCode>General</c:formatCode>
                <c:ptCount val="11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543A-4EF7-9A4E-AFDBA0A0383C}"/>
            </c:ext>
          </c:extLst>
        </c:ser>
        <c:dLbls>
          <c:showLegendKey val="0"/>
          <c:showVal val="0"/>
          <c:showCatName val="0"/>
          <c:showSerName val="0"/>
          <c:showPercent val="0"/>
          <c:showBubbleSize val="0"/>
        </c:dLbls>
        <c:axId val="2010939776"/>
        <c:axId val="1570510128"/>
      </c:scatterChart>
      <c:valAx>
        <c:axId val="201093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70510128"/>
        <c:crosses val="autoZero"/>
        <c:crossBetween val="midCat"/>
      </c:valAx>
      <c:valAx>
        <c:axId val="157051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10939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29893148202995E-2"/>
          <c:y val="0.22051267031119282"/>
          <c:w val="0.88771384819990662"/>
          <c:h val="0.68456436471883075"/>
        </c:manualLayout>
      </c:layout>
      <c:scatterChart>
        <c:scatterStyle val="lineMarker"/>
        <c:varyColors val="0"/>
        <c:ser>
          <c:idx val="0"/>
          <c:order val="0"/>
          <c:tx>
            <c:strRef>
              <c:f>'Price vs Rating'!$B$1</c:f>
              <c:strCache>
                <c:ptCount val="1"/>
                <c:pt idx="0">
                  <c:v>Ratings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'Price vs Rating'!$A$2:$A$118</c:f>
              <c:numCache>
                <c:formatCode>#,##0</c:formatCode>
                <c:ptCount val="117"/>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1980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'Price vs Rating'!$B$2:$B$118</c:f>
              <c:numCache>
                <c:formatCode>General</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1-7F58-44A5-BE8D-990FBAE47DAC}"/>
            </c:ext>
          </c:extLst>
        </c:ser>
        <c:dLbls>
          <c:showLegendKey val="0"/>
          <c:showVal val="0"/>
          <c:showCatName val="0"/>
          <c:showSerName val="0"/>
          <c:showPercent val="0"/>
          <c:showBubbleSize val="0"/>
        </c:dLbls>
        <c:axId val="2004483888"/>
        <c:axId val="459321584"/>
      </c:scatterChart>
      <c:valAx>
        <c:axId val="2004483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21584"/>
        <c:crosses val="autoZero"/>
        <c:crossBetween val="midCat"/>
      </c:valAx>
      <c:valAx>
        <c:axId val="45932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838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Ratings vs Reviews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7.7775407106369765E-2"/>
          <c:y val="0.20155110819480898"/>
          <c:w val="0.88540738859255497"/>
          <c:h val="0.76604148439778363"/>
        </c:manualLayout>
      </c:layout>
      <c:scatterChart>
        <c:scatterStyle val="lineMarker"/>
        <c:varyColors val="0"/>
        <c:ser>
          <c:idx val="0"/>
          <c:order val="0"/>
          <c:tx>
            <c:strRef>
              <c:f>'Ratings vs Reviews'!$B$1</c:f>
              <c:strCache>
                <c:ptCount val="1"/>
                <c:pt idx="0">
                  <c:v>Ratings</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strRef>
              <c:f>'Ratings vs Reviews'!$A$2:$A$118</c:f>
              <c:strCach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null</c:v>
                </c:pt>
                <c:pt idx="22">
                  <c:v>6</c:v>
                </c:pt>
                <c:pt idx="23">
                  <c:v>14</c:v>
                </c:pt>
                <c:pt idx="24">
                  <c:v>7</c:v>
                </c:pt>
                <c:pt idx="25">
                  <c:v>49</c:v>
                </c:pt>
                <c:pt idx="26">
                  <c:v>12</c:v>
                </c:pt>
                <c:pt idx="27">
                  <c:v>13</c:v>
                </c:pt>
                <c:pt idx="28">
                  <c:v>20</c:v>
                </c:pt>
                <c:pt idx="29">
                  <c:v>null</c:v>
                </c:pt>
                <c:pt idx="30">
                  <c:v>9</c:v>
                </c:pt>
                <c:pt idx="31">
                  <c:v>12</c:v>
                </c:pt>
                <c:pt idx="32">
                  <c:v>9</c:v>
                </c:pt>
                <c:pt idx="33">
                  <c:v>20</c:v>
                </c:pt>
                <c:pt idx="34">
                  <c:v>32</c:v>
                </c:pt>
                <c:pt idx="35">
                  <c:v>1</c:v>
                </c:pt>
                <c:pt idx="36">
                  <c:v>2</c:v>
                </c:pt>
                <c:pt idx="37">
                  <c:v>36</c:v>
                </c:pt>
                <c:pt idx="38">
                  <c:v>2</c:v>
                </c:pt>
                <c:pt idx="39">
                  <c:v>null</c:v>
                </c:pt>
                <c:pt idx="40">
                  <c:v>null</c:v>
                </c:pt>
                <c:pt idx="41">
                  <c:v>null</c:v>
                </c:pt>
                <c:pt idx="42">
                  <c:v>null</c:v>
                </c:pt>
                <c:pt idx="43">
                  <c:v>null</c:v>
                </c:pt>
                <c:pt idx="44">
                  <c:v>null</c:v>
                </c:pt>
                <c:pt idx="45">
                  <c:v>null</c:v>
                </c:pt>
                <c:pt idx="46">
                  <c:v>null</c:v>
                </c:pt>
                <c:pt idx="47">
                  <c:v>null</c:v>
                </c:pt>
                <c:pt idx="48">
                  <c:v>null</c:v>
                </c:pt>
                <c:pt idx="49">
                  <c:v>null</c:v>
                </c:pt>
                <c:pt idx="50">
                  <c:v>null</c:v>
                </c:pt>
                <c:pt idx="51">
                  <c:v>null</c:v>
                </c:pt>
                <c:pt idx="52">
                  <c:v>null</c:v>
                </c:pt>
                <c:pt idx="53">
                  <c:v>null</c:v>
                </c:pt>
                <c:pt idx="54">
                  <c:v>null</c:v>
                </c:pt>
                <c:pt idx="55">
                  <c:v>null</c:v>
                </c:pt>
                <c:pt idx="56">
                  <c:v>null</c:v>
                </c:pt>
                <c:pt idx="57">
                  <c:v>null</c:v>
                </c:pt>
                <c:pt idx="58">
                  <c:v>null</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null</c:v>
                </c:pt>
                <c:pt idx="75">
                  <c:v>null</c:v>
                </c:pt>
                <c:pt idx="76">
                  <c:v>null</c:v>
                </c:pt>
                <c:pt idx="77">
                  <c:v>null</c:v>
                </c:pt>
                <c:pt idx="78">
                  <c:v>1</c:v>
                </c:pt>
                <c:pt idx="79">
                  <c:v>1</c:v>
                </c:pt>
                <c:pt idx="80">
                  <c:v>null</c:v>
                </c:pt>
                <c:pt idx="81">
                  <c:v>null</c:v>
                </c:pt>
                <c:pt idx="82">
                  <c:v>1</c:v>
                </c:pt>
                <c:pt idx="83">
                  <c:v>null</c:v>
                </c:pt>
                <c:pt idx="84">
                  <c:v>null</c:v>
                </c:pt>
                <c:pt idx="85">
                  <c:v>null</c:v>
                </c:pt>
                <c:pt idx="86">
                  <c:v>null</c:v>
                </c:pt>
                <c:pt idx="87">
                  <c:v>null</c:v>
                </c:pt>
                <c:pt idx="88">
                  <c:v>null</c:v>
                </c:pt>
                <c:pt idx="89">
                  <c:v>null</c:v>
                </c:pt>
                <c:pt idx="90">
                  <c:v>null</c:v>
                </c:pt>
                <c:pt idx="91">
                  <c:v>null</c:v>
                </c:pt>
                <c:pt idx="92">
                  <c:v>null</c:v>
                </c:pt>
                <c:pt idx="93">
                  <c:v>null</c:v>
                </c:pt>
                <c:pt idx="94">
                  <c:v>null</c:v>
                </c:pt>
                <c:pt idx="95">
                  <c:v>null</c:v>
                </c:pt>
                <c:pt idx="96">
                  <c:v>null</c:v>
                </c:pt>
                <c:pt idx="97">
                  <c:v>null</c:v>
                </c:pt>
                <c:pt idx="98">
                  <c:v>null</c:v>
                </c:pt>
                <c:pt idx="99">
                  <c:v>null</c:v>
                </c:pt>
                <c:pt idx="100">
                  <c:v>null</c:v>
                </c:pt>
                <c:pt idx="101">
                  <c:v>1</c:v>
                </c:pt>
                <c:pt idx="102">
                  <c:v>null</c:v>
                </c:pt>
                <c:pt idx="103">
                  <c:v>null</c:v>
                </c:pt>
                <c:pt idx="104">
                  <c:v>null</c:v>
                </c:pt>
                <c:pt idx="105">
                  <c:v>null</c:v>
                </c:pt>
                <c:pt idx="106">
                  <c:v>null</c:v>
                </c:pt>
                <c:pt idx="107">
                  <c:v>null</c:v>
                </c:pt>
                <c:pt idx="108">
                  <c:v>null</c:v>
                </c:pt>
                <c:pt idx="109">
                  <c:v>null</c:v>
                </c:pt>
                <c:pt idx="110">
                  <c:v>1</c:v>
                </c:pt>
                <c:pt idx="111">
                  <c:v>null</c:v>
                </c:pt>
              </c:strCache>
            </c:strRef>
          </c:xVal>
          <c:yVal>
            <c:numRef>
              <c:f>'Ratings vs Reviews'!$B$2:$B$118</c:f>
              <c:numCache>
                <c:formatCode>General</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1-1777-418F-829F-5631BB783C30}"/>
            </c:ext>
          </c:extLst>
        </c:ser>
        <c:dLbls>
          <c:showLegendKey val="0"/>
          <c:showVal val="0"/>
          <c:showCatName val="0"/>
          <c:showSerName val="0"/>
          <c:showPercent val="0"/>
          <c:showBubbleSize val="0"/>
        </c:dLbls>
        <c:axId val="2000463264"/>
        <c:axId val="459335984"/>
      </c:scatterChart>
      <c:valAx>
        <c:axId val="2000463264"/>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9335984"/>
        <c:crosses val="autoZero"/>
        <c:crossBetween val="midCat"/>
      </c:valAx>
      <c:valAx>
        <c:axId val="4593359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0463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352425</xdr:colOff>
      <xdr:row>20</xdr:row>
      <xdr:rowOff>165100</xdr:rowOff>
    </xdr:from>
    <xdr:to>
      <xdr:col>11</xdr:col>
      <xdr:colOff>47625</xdr:colOff>
      <xdr:row>34</xdr:row>
      <xdr:rowOff>38100</xdr:rowOff>
    </xdr:to>
    <xdr:graphicFrame macro="">
      <xdr:nvGraphicFramePr>
        <xdr:cNvPr id="3" name="Chart 2">
          <a:extLst>
            <a:ext uri="{FF2B5EF4-FFF2-40B4-BE49-F238E27FC236}">
              <a16:creationId xmlns:a16="http://schemas.microsoft.com/office/drawing/2014/main" id="{6CC98506-69E0-C507-9254-A9EA6F393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41275</xdr:colOff>
      <xdr:row>20</xdr:row>
      <xdr:rowOff>19050</xdr:rowOff>
    </xdr:from>
    <xdr:to>
      <xdr:col>10</xdr:col>
      <xdr:colOff>203200</xdr:colOff>
      <xdr:row>35</xdr:row>
      <xdr:rowOff>0</xdr:rowOff>
    </xdr:to>
    <xdr:graphicFrame macro="">
      <xdr:nvGraphicFramePr>
        <xdr:cNvPr id="2" name="Chart 1">
          <a:extLst>
            <a:ext uri="{FF2B5EF4-FFF2-40B4-BE49-F238E27FC236}">
              <a16:creationId xmlns:a16="http://schemas.microsoft.com/office/drawing/2014/main" id="{AAB86E33-95CB-3E7B-B84F-4C8A99B43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403225</xdr:colOff>
      <xdr:row>4</xdr:row>
      <xdr:rowOff>139700</xdr:rowOff>
    </xdr:from>
    <xdr:to>
      <xdr:col>10</xdr:col>
      <xdr:colOff>98425</xdr:colOff>
      <xdr:row>17</xdr:row>
      <xdr:rowOff>82550</xdr:rowOff>
    </xdr:to>
    <xdr:graphicFrame macro="">
      <xdr:nvGraphicFramePr>
        <xdr:cNvPr id="2" name="Chart 1">
          <a:extLst>
            <a:ext uri="{FF2B5EF4-FFF2-40B4-BE49-F238E27FC236}">
              <a16:creationId xmlns:a16="http://schemas.microsoft.com/office/drawing/2014/main" id="{6620B598-BA09-D080-BF6F-AFB8375F8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1809750</xdr:colOff>
      <xdr:row>16</xdr:row>
      <xdr:rowOff>53975</xdr:rowOff>
    </xdr:from>
    <xdr:to>
      <xdr:col>2</xdr:col>
      <xdr:colOff>736600</xdr:colOff>
      <xdr:row>29</xdr:row>
      <xdr:rowOff>76200</xdr:rowOff>
    </xdr:to>
    <xdr:graphicFrame macro="">
      <xdr:nvGraphicFramePr>
        <xdr:cNvPr id="2" name="Chart 1">
          <a:extLst>
            <a:ext uri="{FF2B5EF4-FFF2-40B4-BE49-F238E27FC236}">
              <a16:creationId xmlns:a16="http://schemas.microsoft.com/office/drawing/2014/main" id="{5B801090-E52A-43D0-1BCD-D1EFB9D21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6350</xdr:colOff>
      <xdr:row>2</xdr:row>
      <xdr:rowOff>79375</xdr:rowOff>
    </xdr:from>
    <xdr:to>
      <xdr:col>10</xdr:col>
      <xdr:colOff>311150</xdr:colOff>
      <xdr:row>17</xdr:row>
      <xdr:rowOff>60325</xdr:rowOff>
    </xdr:to>
    <xdr:graphicFrame macro="">
      <xdr:nvGraphicFramePr>
        <xdr:cNvPr id="2" name="Chart 1">
          <a:extLst>
            <a:ext uri="{FF2B5EF4-FFF2-40B4-BE49-F238E27FC236}">
              <a16:creationId xmlns:a16="http://schemas.microsoft.com/office/drawing/2014/main" id="{ABE3897F-7413-D41F-3494-47F2BF9A4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1917700</xdr:colOff>
      <xdr:row>0</xdr:row>
      <xdr:rowOff>146051</xdr:rowOff>
    </xdr:from>
    <xdr:to>
      <xdr:col>1</xdr:col>
      <xdr:colOff>469900</xdr:colOff>
      <xdr:row>15</xdr:row>
      <xdr:rowOff>120651</xdr:rowOff>
    </xdr:to>
    <xdr:graphicFrame macro="">
      <xdr:nvGraphicFramePr>
        <xdr:cNvPr id="3" name="Chart 2">
          <a:extLst>
            <a:ext uri="{FF2B5EF4-FFF2-40B4-BE49-F238E27FC236}">
              <a16:creationId xmlns:a16="http://schemas.microsoft.com/office/drawing/2014/main" id="{3FCB9D45-4488-613A-3E05-038317C22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19630</xdr:colOff>
      <xdr:row>31</xdr:row>
      <xdr:rowOff>77983</xdr:rowOff>
    </xdr:from>
    <xdr:to>
      <xdr:col>15</xdr:col>
      <xdr:colOff>594251</xdr:colOff>
      <xdr:row>42</xdr:row>
      <xdr:rowOff>180631</xdr:rowOff>
    </xdr:to>
    <xdr:graphicFrame macro="">
      <xdr:nvGraphicFramePr>
        <xdr:cNvPr id="2" name="Chart 1">
          <a:extLst>
            <a:ext uri="{FF2B5EF4-FFF2-40B4-BE49-F238E27FC236}">
              <a16:creationId xmlns:a16="http://schemas.microsoft.com/office/drawing/2014/main" id="{836F18AA-7FC6-4C56-8463-61F6B65BD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392836</xdr:colOff>
      <xdr:row>3</xdr:row>
      <xdr:rowOff>160532</xdr:rowOff>
    </xdr:from>
    <xdr:to>
      <xdr:col>16</xdr:col>
      <xdr:colOff>84917</xdr:colOff>
      <xdr:row>16</xdr:row>
      <xdr:rowOff>182757</xdr:rowOff>
    </xdr:to>
    <xdr:graphicFrame macro="">
      <xdr:nvGraphicFramePr>
        <xdr:cNvPr id="3" name="Chart 2">
          <a:extLst>
            <a:ext uri="{FF2B5EF4-FFF2-40B4-BE49-F238E27FC236}">
              <a16:creationId xmlns:a16="http://schemas.microsoft.com/office/drawing/2014/main" id="{948F858F-BA86-420B-B000-1B768E1F2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356797</xdr:colOff>
      <xdr:row>17</xdr:row>
      <xdr:rowOff>37542</xdr:rowOff>
    </xdr:from>
    <xdr:to>
      <xdr:col>16</xdr:col>
      <xdr:colOff>53748</xdr:colOff>
      <xdr:row>30</xdr:row>
      <xdr:rowOff>113915</xdr:rowOff>
    </xdr:to>
    <xdr:graphicFrame macro="">
      <xdr:nvGraphicFramePr>
        <xdr:cNvPr id="4" name="Chart 3">
          <a:extLst>
            <a:ext uri="{FF2B5EF4-FFF2-40B4-BE49-F238E27FC236}">
              <a16:creationId xmlns:a16="http://schemas.microsoft.com/office/drawing/2014/main" id="{8A78A27E-19D6-4E3E-8C91-93CEA90BD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133989</xdr:colOff>
      <xdr:row>17</xdr:row>
      <xdr:rowOff>36474</xdr:rowOff>
    </xdr:from>
    <xdr:to>
      <xdr:col>23</xdr:col>
      <xdr:colOff>443660</xdr:colOff>
      <xdr:row>29</xdr:row>
      <xdr:rowOff>187934</xdr:rowOff>
    </xdr:to>
    <xdr:graphicFrame macro="">
      <xdr:nvGraphicFramePr>
        <xdr:cNvPr id="5" name="Chart 4">
          <a:extLst>
            <a:ext uri="{FF2B5EF4-FFF2-40B4-BE49-F238E27FC236}">
              <a16:creationId xmlns:a16="http://schemas.microsoft.com/office/drawing/2014/main" id="{50794197-2B2C-4A22-85CB-D908B13D9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163596</xdr:colOff>
      <xdr:row>2</xdr:row>
      <xdr:rowOff>149250</xdr:rowOff>
    </xdr:from>
    <xdr:to>
      <xdr:col>23</xdr:col>
      <xdr:colOff>330392</xdr:colOff>
      <xdr:row>17</xdr:row>
      <xdr:rowOff>159096</xdr:rowOff>
    </xdr:to>
    <xdr:graphicFrame macro="">
      <xdr:nvGraphicFramePr>
        <xdr:cNvPr id="6" name="Chart 5">
          <a:extLst>
            <a:ext uri="{FF2B5EF4-FFF2-40B4-BE49-F238E27FC236}">
              <a16:creationId xmlns:a16="http://schemas.microsoft.com/office/drawing/2014/main" id="{675125F9-668A-4199-B82B-00B7CC789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66631</xdr:rowOff>
    </xdr:from>
    <xdr:to>
      <xdr:col>3</xdr:col>
      <xdr:colOff>2088</xdr:colOff>
      <xdr:row>14</xdr:row>
      <xdr:rowOff>34795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F706426A-AFC4-BAC4-D248-BFCA42C0CE4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824175"/>
              <a:ext cx="1840246" cy="186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69155</xdr:colOff>
      <xdr:row>3</xdr:row>
      <xdr:rowOff>134046</xdr:rowOff>
    </xdr:from>
    <xdr:to>
      <xdr:col>5</xdr:col>
      <xdr:colOff>287054</xdr:colOff>
      <xdr:row>14</xdr:row>
      <xdr:rowOff>26096</xdr:rowOff>
    </xdr:to>
    <mc:AlternateContent xmlns:mc="http://schemas.openxmlformats.org/markup-compatibility/2006">
      <mc:Choice xmlns:a14="http://schemas.microsoft.com/office/drawing/2010/main" Requires="a14">
        <xdr:graphicFrame macro="">
          <xdr:nvGraphicFramePr>
            <xdr:cNvPr id="8" name="Current price">
              <a:extLst>
                <a:ext uri="{FF2B5EF4-FFF2-40B4-BE49-F238E27FC236}">
                  <a16:creationId xmlns:a16="http://schemas.microsoft.com/office/drawing/2014/main" id="{B034FE9C-2E10-6C36-4676-014C7169AC10}"/>
                </a:ext>
              </a:extLst>
            </xdr:cNvPr>
            <xdr:cNvGraphicFramePr/>
          </xdr:nvGraphicFramePr>
          <xdr:xfrm>
            <a:off x="0" y="0"/>
            <a:ext cx="0" cy="0"/>
          </xdr:xfrm>
          <a:graphic>
            <a:graphicData uri="http://schemas.microsoft.com/office/drawing/2010/slicer">
              <sle:slicer xmlns:sle="http://schemas.microsoft.com/office/drawing/2010/slicer" name="Current price"/>
            </a:graphicData>
          </a:graphic>
        </xdr:graphicFrame>
      </mc:Choice>
      <mc:Fallback>
        <xdr:sp macro="" textlink="">
          <xdr:nvSpPr>
            <xdr:cNvPr id="0" name=""/>
            <xdr:cNvSpPr>
              <a:spLocks noTextEdit="1"/>
            </xdr:cNvSpPr>
          </xdr:nvSpPr>
          <xdr:spPr>
            <a:xfrm>
              <a:off x="1907313" y="702204"/>
              <a:ext cx="1443337" cy="1975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84376</xdr:colOff>
      <xdr:row>14</xdr:row>
      <xdr:rowOff>62282</xdr:rowOff>
    </xdr:from>
    <xdr:to>
      <xdr:col>3</xdr:col>
      <xdr:colOff>86464</xdr:colOff>
      <xdr:row>25</xdr:row>
      <xdr:rowOff>130479</xdr:rowOff>
    </xdr:to>
    <mc:AlternateContent xmlns:mc="http://schemas.openxmlformats.org/markup-compatibility/2006">
      <mc:Choice xmlns:a14="http://schemas.microsoft.com/office/drawing/2010/main" Requires="a14">
        <xdr:graphicFrame macro="">
          <xdr:nvGraphicFramePr>
            <xdr:cNvPr id="9" name="Discount">
              <a:extLst>
                <a:ext uri="{FF2B5EF4-FFF2-40B4-BE49-F238E27FC236}">
                  <a16:creationId xmlns:a16="http://schemas.microsoft.com/office/drawing/2014/main" id="{D6EA11C7-D7AA-30F8-4CE9-690E256ED5C1}"/>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84376" y="2713686"/>
              <a:ext cx="1840246" cy="2151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370479</xdr:colOff>
      <xdr:row>3</xdr:row>
      <xdr:rowOff>154420</xdr:rowOff>
    </xdr:from>
    <xdr:to>
      <xdr:col>8</xdr:col>
      <xdr:colOff>372566</xdr:colOff>
      <xdr:row>14</xdr:row>
      <xdr:rowOff>137804</xdr:rowOff>
    </xdr:to>
    <mc:AlternateContent xmlns:mc="http://schemas.openxmlformats.org/markup-compatibility/2006">
      <mc:Choice xmlns:a14="http://schemas.microsoft.com/office/drawing/2010/main" Requires="a14">
        <xdr:graphicFrame macro="">
          <xdr:nvGraphicFramePr>
            <xdr:cNvPr id="10" name="Review">
              <a:extLst>
                <a:ext uri="{FF2B5EF4-FFF2-40B4-BE49-F238E27FC236}">
                  <a16:creationId xmlns:a16="http://schemas.microsoft.com/office/drawing/2014/main" id="{58A6986D-8BE4-4245-52E1-138A92F37EEA}"/>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dr:sp macro="" textlink="">
          <xdr:nvSpPr>
            <xdr:cNvPr id="0" name=""/>
            <xdr:cNvSpPr>
              <a:spLocks noTextEdit="1"/>
            </xdr:cNvSpPr>
          </xdr:nvSpPr>
          <xdr:spPr>
            <a:xfrm>
              <a:off x="3434075" y="722578"/>
              <a:ext cx="1840245" cy="2066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235687</xdr:colOff>
      <xdr:row>15</xdr:row>
      <xdr:rowOff>116382</xdr:rowOff>
    </xdr:from>
    <xdr:to>
      <xdr:col>6</xdr:col>
      <xdr:colOff>237775</xdr:colOff>
      <xdr:row>29</xdr:row>
      <xdr:rowOff>185071</xdr:rowOff>
    </xdr:to>
    <mc:AlternateContent xmlns:mc="http://schemas.openxmlformats.org/markup-compatibility/2006">
      <mc:Choice xmlns:a14="http://schemas.microsoft.com/office/drawing/2010/main" Requires="a14">
        <xdr:graphicFrame macro="">
          <xdr:nvGraphicFramePr>
            <xdr:cNvPr id="11" name="Ratings">
              <a:extLst>
                <a:ext uri="{FF2B5EF4-FFF2-40B4-BE49-F238E27FC236}">
                  <a16:creationId xmlns:a16="http://schemas.microsoft.com/office/drawing/2014/main" id="{F1D1B75B-026A-6BD7-0699-9D2DC80D6CE0}"/>
                </a:ext>
              </a:extLst>
            </xdr:cNvPr>
            <xdr:cNvGraphicFramePr/>
          </xdr:nvGraphicFramePr>
          <xdr:xfrm>
            <a:off x="0" y="0"/>
            <a:ext cx="0" cy="0"/>
          </xdr:xfrm>
          <a:graphic>
            <a:graphicData uri="http://schemas.microsoft.com/office/drawing/2010/slicer">
              <sle:slicer xmlns:sle="http://schemas.microsoft.com/office/drawing/2010/slicer" name="Ratings"/>
            </a:graphicData>
          </a:graphic>
        </xdr:graphicFrame>
      </mc:Choice>
      <mc:Fallback>
        <xdr:sp macro="" textlink="">
          <xdr:nvSpPr>
            <xdr:cNvPr id="0" name=""/>
            <xdr:cNvSpPr>
              <a:spLocks noTextEdit="1"/>
            </xdr:cNvSpPr>
          </xdr:nvSpPr>
          <xdr:spPr>
            <a:xfrm>
              <a:off x="2073845" y="2957171"/>
              <a:ext cx="1840246" cy="2720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0.587873263888" createdVersion="8" refreshedVersion="8" minRefreshableVersion="3" recordCount="113" xr:uid="{6C44C40D-22A1-48B8-9332-61244D0D2A8D}">
  <cacheSource type="worksheet">
    <worksheetSource ref="A1:A1048576" sheet="Top 5 Highest-Rated Products"/>
  </cacheSource>
  <cacheFields count="1">
    <cacheField name="Product" numFmtId="49">
      <sharedItems containsBlank="1" count="110">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2PCS/LOT Solar LED Outdoor Intelligent Light Controlled Wall Lamp"/>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â„‰ Or Above Welding Gloves"/>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 v="Anti-Skid Absorbent Insulation Coaster  For Home Office"/>
        <s v="Peacock  Throw Pillow Cushion Case For Home Car"/>
        <s v="LASA Aluminum Folding Truck Hand Cart - 68kg Max"/>
        <s v="DIY File Folder, Office Drawer File Holder, Pen Holder, Desktop Storage Rack"/>
        <s v="Classic Black Cat Cotton Hemp Pillow Case For Home Car"/>
        <s v="Bedroom Simple Floor Hanging Clothes Rack Single Pole Hat Rack - White"/>
        <s v="Konka Healty Electric Kettle, 24-hour Heat Preservation,1.5L,800W, White"/>
        <s v="Portable Home Small Air Humidifier 3-Speed Fan - Green"/>
        <s v="LASA FOLDING TABLE SERVING STAND"/>
        <s v="40cm Gold DIY Acrylic Wall Sticker Clock"/>
        <s v="Weighing Scale Digital Bathroom Body Fat Scale USB-Black"/>
        <s v="100 Pcs Crochet Hook Tool Set Knitting Hook Set With Box"/>
        <s v="12 Litre Insulated Lunch Box Grey"/>
        <s v="53Pcs/Set Yarn Knitting Crochet Hooks With Bag - Fortune Cat"/>
        <s v="Portable Mini Cordless Car Vacuum Cleaner - Blue"/>
        <s v="137 Pieces Cake Decorating Tool Set Baking Supplies"/>
        <s v="LED Wall Digital Alarm Clock Study Home 12 / 24H Clock Calendar"/>
        <s v="3D Waterproof EVA Plastic Shower Curtain 1.8*2Mtrs"/>
        <s v="Electronic Digital Display Vernier Caliper"/>
        <s v="115  Piece Set Of Multifunctional Precision Screwdrivers"/>
        <s v="LASA Digital Thermometer And Hydrometer"/>
        <s v="53 Pieces/Set Yarn Knitting Crochet Hooks With Bag - Pansies"/>
        <s v="1/2/3 Seater Elastic Sofa Cover,Living Room/Home Decor Chair Cover-Grey"/>
        <s v="Foldable Overbed Table/Desk"/>
        <s v="LASA 3 Tier Bamboo Shoe Bench Storage Shelf"/>
        <s v="Exfoliate And Exfoliate Face Towel - Black"/>
        <s v="LED Eye Protection  Desk Lamp , Study, Reading, USB Fan - Double Pen Holder"/>
        <s v="Punch-free Great Load Bearing Bathroom Storage Rack Wall Shelf-White"/>
        <s v="Multifunction Laser Level With Adjustment Tripod"/>
        <s v="Metal Decorative Hooks Key Hangers Entryway Wall Hooks Towel Hooks - Home"/>
        <s v="Genebre 115 In 1 Screwdriver Repairing Tool Set For IPhone Cellphone Hand Tool"/>
        <s v="52 Pieces Cake Decorating Tool Set Gift Kit Baking Supplies"/>
        <s v="220V 60W Electric Soldering Iron Kits With Tools, Tips, And Multimeter"/>
        <s v="Desk Foldable Fan Adjustable Fan Strong Wind 3 Gear Usb"/>
        <s v="LED Romantic Spaceship Starry Sky Projector,Children's Bedroom Night Light-Blue"/>
        <s v="Household Pineapple Peeler Peeler"/>
        <s v="13 In 1 Home Repair Tools Box Kit Set"/>
        <s v="Portable Wardrobe Nonwoven With 3 Hanging Rods And 6 Storage Shelves"/>
        <s v="12 Litre Black Insulated Lunch Box"/>
        <s v="3PCS Single Head Knitting Crochet Sweater Needle Set"/>
        <s v="Mythco 120COB Solar Wall Ligt With Motion Sensor And Remote Control 3 Modes"/>
        <s v="32PCS Portable Cordless Drill Set With Cyclic Battery Drive -26 Variable Speed"/>
        <s v="Large Lazy Inflatable Sofa Chairs PVC Lounger Seat Bag"/>
        <s v="Wrought Iron Bathroom Shelf Wall Mounted Free Punch Toilet Rack"/>
        <s v="Memory Foam Neck Pillow Cover, With Pillow Core -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Artificial Potted Flowers Room Decorative Flowers (2 Pieces)"/>
        <s v="7-piece Set Of Storage Bags, Travel Storage Bags, Shoe Bags"/>
        <s v="5-PCS Stainless Steel Cooking Pot Set With Steamed Slices"/>
        <s v="Electric LED UV Mosquito Killer Lamp, Outdoor/Indoor Fly Killer Trap Light -USB"/>
        <s v="Wall-mounted Sticker Punch-free Plug Fixer"/>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0.599070370372" createdVersion="8" refreshedVersion="8" minRefreshableVersion="3" recordCount="112" xr:uid="{83EE22F9-7A2B-486C-A0C6-830019B4C831}">
  <cacheSource type="worksheet">
    <worksheetSource name="Table1"/>
  </cacheSource>
  <cacheFields count="10">
    <cacheField name="Product" numFmtId="49">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3">
      <sharedItems containsSemiMixedTypes="0" containsString="0" containsNumber="1" containsInteger="1" minValue="38" maxValue="3750" count="102">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sharedItems>
    </cacheField>
    <cacheField name="old price" numFmtId="3">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MixedTypes="1" containsNumber="1" containsInteger="1" minValue="1" maxValue="69" count="24">
        <n v="2"/>
        <n v="14"/>
        <n v="24"/>
        <n v="7"/>
        <n v="5"/>
        <n v="15"/>
        <n v="55"/>
        <n v="12"/>
        <n v="39"/>
        <n v="6"/>
        <n v="9"/>
        <n v="3"/>
        <n v="44"/>
        <n v="13"/>
        <s v="null"/>
        <n v="49"/>
        <n v="20"/>
        <n v="32"/>
        <n v="1"/>
        <n v="36"/>
        <n v="10"/>
        <n v="69"/>
        <n v="16"/>
        <n v="17"/>
      </sharedItems>
    </cacheField>
    <cacheField name="Ratings" numFmtId="0">
      <sharedItems containsMixedTypes="1" containsNumber="1" minValue="2" maxValue="5" count="23">
        <n v="4.5"/>
        <n v="4.0999999999999996"/>
        <n v="4.5999999999999996"/>
        <n v="4.7"/>
        <n v="4.8"/>
        <n v="4"/>
        <n v="3.8"/>
        <n v="4.2"/>
        <n v="5"/>
        <n v="3.3"/>
        <s v="null"/>
        <n v="4.4000000000000004"/>
        <n v="4.3"/>
        <n v="2.5"/>
        <n v="3"/>
        <n v="2.1"/>
        <n v="2.8"/>
        <n v="2.7"/>
        <n v="2.9"/>
        <n v="2.2000000000000002"/>
        <n v="2.2999999999999998"/>
        <n v="2.6"/>
        <n v="2"/>
      </sharedItems>
    </cacheField>
    <cacheField name="Rating category" numFmtId="0">
      <sharedItems/>
    </cacheField>
    <cacheField name="Discount amount" numFmtId="3">
      <sharedItems containsSemiMixedTypes="0" containsString="0" containsNumber="1" containsInteger="1" minValue="24" maxValue="2585"/>
    </cacheField>
    <cacheField name="Price category" numFmtId="0">
      <sharedItems containsNonDate="0" containsString="0" containsBlank="1" count="1">
        <m/>
      </sharedItems>
    </cacheField>
    <cacheField name="Discount 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0.61156365741" createdVersion="8" refreshedVersion="8" minRefreshableVersion="3" recordCount="118" xr:uid="{5B5D42CB-9986-4D35-B74A-D1A27605C3B0}">
  <cacheSource type="worksheet">
    <worksheetSource ref="A1:J1048576" sheet="highest rated products"/>
  </cacheSource>
  <cacheFields count="10">
    <cacheField name="Product" numFmtId="49">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3">
      <sharedItems containsString="0" containsBlank="1" containsNumber="1" minValue="38" maxValue="3750"/>
    </cacheField>
    <cacheField name="old price" numFmtId="3">
      <sharedItems containsString="0" containsBlank="1" containsNumber="1" minValue="80" maxValue="6143"/>
    </cacheField>
    <cacheField name="Discount" numFmtId="9">
      <sharedItems containsString="0" containsBlank="1" containsNumber="1" minValue="0.01" maxValue="0.64"/>
    </cacheField>
    <cacheField name="Review" numFmtId="0">
      <sharedItems containsBlank="1" containsMixedTypes="1" containsNumber="1" containsInteger="1" minValue="1" maxValue="723"/>
    </cacheField>
    <cacheField name="Ratings" numFmtId="0">
      <sharedItems containsBlank="1" containsMixedTypes="1" containsNumber="1" minValue="2" maxValue="5" count="25">
        <n v="4.5"/>
        <n v="4.0999999999999996"/>
        <n v="4.5999999999999996"/>
        <n v="4.7"/>
        <n v="4.8"/>
        <n v="4"/>
        <n v="3.8"/>
        <n v="4.2"/>
        <n v="5"/>
        <n v="3.3"/>
        <s v="null"/>
        <n v="4.4000000000000004"/>
        <n v="4.3"/>
        <n v="2.5"/>
        <n v="3"/>
        <n v="2.1"/>
        <n v="2.8"/>
        <n v="2.7"/>
        <n v="2.9"/>
        <n v="2.2000000000000002"/>
        <n v="2.2999999999999998"/>
        <n v="2.6"/>
        <n v="2"/>
        <m/>
        <n v="3.8894736842105258"/>
      </sharedItems>
    </cacheField>
    <cacheField name="Rating" numFmtId="0">
      <sharedItems containsBlank="1"/>
    </cacheField>
    <cacheField name="Absolute Discount" numFmtId="0">
      <sharedItems containsString="0" containsBlank="1" containsNumber="1" containsInteger="1" minValue="24" maxValue="2585"/>
    </cacheField>
    <cacheField name="Price category" numFmtId="0">
      <sharedItems containsNonDate="0" containsString="0" containsBlank="1"/>
    </cacheField>
    <cacheField name="Discount category"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0.629335879632" createdVersion="8" refreshedVersion="8" minRefreshableVersion="3" recordCount="112" xr:uid="{7E90961D-A123-4447-9BDB-335E4661B922}">
  <cacheSource type="worksheet">
    <worksheetSource ref="A1:J113" sheet="Top 5 Highest-Rated Products"/>
  </cacheSource>
  <cacheFields count="10">
    <cacheField name="Product" numFmtId="49">
      <sharedItems count="109">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2PCS/LOT Solar LED Outdoor Intelligent Light Controlled Wall Lamp"/>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â„‰ Or Above Welding Gloves"/>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 v="Anti-Skid Absorbent Insulation Coaster  For Home Office"/>
        <s v="Peacock  Throw Pillow Cushion Case For Home Car"/>
        <s v="LASA Aluminum Folding Truck Hand Cart - 68kg Max"/>
        <s v="DIY File Folder, Office Drawer File Holder, Pen Holder, Desktop Storage Rack"/>
        <s v="Classic Black Cat Cotton Hemp Pillow Case For Home Car"/>
        <s v="Bedroom Simple Floor Hanging Clothes Rack Single Pole Hat Rack - White"/>
        <s v="Konka Healty Electric Kettle, 24-hour Heat Preservation,1.5L,800W, White"/>
        <s v="Portable Home Small Air Humidifier 3-Speed Fan - Green"/>
        <s v="LASA FOLDING TABLE SERVING STAND"/>
        <s v="40cm Gold DIY Acrylic Wall Sticker Clock"/>
        <s v="Weighing Scale Digital Bathroom Body Fat Scale USB-Black"/>
        <s v="100 Pcs Crochet Hook Tool Set Knitting Hook Set With Box"/>
        <s v="12 Litre Insulated Lunch Box Grey"/>
        <s v="53Pcs/Set Yarn Knitting Crochet Hooks With Bag - Fortune Cat"/>
        <s v="Portable Mini Cordless Car Vacuum Cleaner - Blue"/>
        <s v="137 Pieces Cake Decorating Tool Set Baking Supplies"/>
        <s v="LED Wall Digital Alarm Clock Study Home 12 / 24H Clock Calendar"/>
        <s v="3D Waterproof EVA Plastic Shower Curtain 1.8*2Mtrs"/>
        <s v="Electronic Digital Display Vernier Caliper"/>
        <s v="115  Piece Set Of Multifunctional Precision Screwdrivers"/>
        <s v="LASA Digital Thermometer And Hydrometer"/>
        <s v="53 Pieces/Set Yarn Knitting Crochet Hooks With Bag - Pansies"/>
        <s v="1/2/3 Seater Elastic Sofa Cover,Living Room/Home Decor Chair Cover-Grey"/>
        <s v="Foldable Overbed Table/Desk"/>
        <s v="LASA 3 Tier Bamboo Shoe Bench Storage Shelf"/>
        <s v="Exfoliate And Exfoliate Face Towel - Black"/>
        <s v="LED Eye Protection  Desk Lamp , Study, Reading, USB Fan - Double Pen Holder"/>
        <s v="Punch-free Great Load Bearing Bathroom Storage Rack Wall Shelf-White"/>
        <s v="Multifunction Laser Level With Adjustment Tripod"/>
        <s v="Metal Decorative Hooks Key Hangers Entryway Wall Hooks Towel Hooks - Home"/>
        <s v="Genebre 115 In 1 Screwdriver Repairing Tool Set For IPhone Cellphone Hand Tool"/>
        <s v="52 Pieces Cake Decorating Tool Set Gift Kit Baking Supplies"/>
        <s v="220V 60W Electric Soldering Iron Kits With Tools, Tips, And Multimeter"/>
        <s v="Desk Foldable Fan Adjustable Fan Strong Wind 3 Gear Usb"/>
        <s v="LED Romantic Spaceship Starry Sky Projector,Children's Bedroom Night Light-Blue"/>
        <s v="Household Pineapple Peeler Peeler"/>
        <s v="13 In 1 Home Repair Tools Box Kit Set"/>
        <s v="Portable Wardrobe Nonwoven With 3 Hanging Rods And 6 Storage Shelves"/>
        <s v="12 Litre Black Insulated Lunch Box"/>
        <s v="3PCS Single Head Knitting Crochet Sweater Needle Set"/>
        <s v="Mythco 120COB Solar Wall Ligt With Motion Sensor And Remote Control 3 Modes"/>
        <s v="32PCS Portable Cordless Drill Set With Cyclic Battery Drive -26 Variable Speed"/>
        <s v="Large Lazy Inflatable Sofa Chairs PVC Lounger Seat Bag"/>
        <s v="Wrought Iron Bathroom Shelf Wall Mounted Free Punch Toilet Rack"/>
        <s v="Memory Foam Neck Pillow Cover, With Pillow Core -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Artificial Potted Flowers Room Decorative Flowers (2 Pieces)"/>
        <s v="7-piece Set Of Storage Bags, Travel Storage Bags, Shoe Bags"/>
        <s v="5-PCS Stainless Steel Cooking Pot Set With Steamed Slices"/>
        <s v="Electric LED UV Mosquito Killer Lamp, Outdoor/Indoor Fly Killer Trap Light -USB"/>
        <s v="Wall-mounted Sticker Punch-free Plug Fixer"/>
      </sharedItems>
    </cacheField>
    <cacheField name="Current price" numFmtId="3">
      <sharedItems containsSemiMixedTypes="0" containsString="0" containsNumber="1" containsInteger="1" minValue="38" maxValue="3750" count="102">
        <n v="1860"/>
        <n v="2200"/>
        <n v="2750"/>
        <n v="475"/>
        <n v="238"/>
        <n v="610"/>
        <n v="2132"/>
        <n v="999"/>
        <n v="1190"/>
        <n v="671"/>
        <n v="1200"/>
        <n v="199"/>
        <n v="299"/>
        <n v="1660"/>
        <n v="1459"/>
        <n v="799"/>
        <n v="499"/>
        <n v="699"/>
        <n v="2799"/>
        <n v="399"/>
        <n v="790"/>
        <n v="690"/>
        <n v="1732"/>
        <n v="230"/>
        <n v="1460"/>
        <n v="1666"/>
        <n v="176"/>
        <n v="1466"/>
        <n v="274"/>
        <n v="657"/>
        <n v="1468"/>
        <n v="630"/>
        <n v="850"/>
        <n v="1300"/>
        <n v="105"/>
        <n v="899"/>
        <n v="1526"/>
        <n v="1462"/>
        <n v="248"/>
        <n v="3546"/>
        <n v="525"/>
        <n v="1080"/>
        <n v="1420"/>
        <n v="1875"/>
        <n v="198"/>
        <n v="1150"/>
        <n v="1658"/>
        <n v="1768"/>
        <n v="169"/>
        <n v="332"/>
        <n v="195"/>
        <n v="2025"/>
        <n v="1620"/>
        <n v="171"/>
        <n v="979"/>
        <n v="3640"/>
        <n v="1740"/>
        <n v="1274"/>
        <n v="552"/>
        <n v="1580"/>
        <n v="990"/>
        <n v="980"/>
        <n v="1940"/>
        <n v="2199"/>
        <n v="2319"/>
        <n v="2999"/>
        <n v="998"/>
        <n v="420"/>
        <n v="950"/>
        <n v="501"/>
        <n v="1980"/>
        <n v="1650"/>
        <n v="2048"/>
        <n v="185"/>
        <n v="1820"/>
        <n v="389"/>
        <n v="1680"/>
        <n v="527"/>
        <n v="1758"/>
        <n v="988"/>
        <n v="880"/>
        <n v="330"/>
        <n v="1600"/>
        <n v="2880"/>
        <n v="1350"/>
        <n v="38"/>
        <n v="458"/>
        <n v="3750"/>
        <n v="2300"/>
        <n v="509"/>
        <n v="1189"/>
        <n v="1220"/>
        <n v="445"/>
        <n v="325"/>
        <n v="382"/>
        <n v="2170"/>
        <n v="1000"/>
        <n v="345"/>
        <n v="968"/>
        <n v="2115"/>
        <n v="1570"/>
        <n v="450"/>
      </sharedItems>
    </cacheField>
    <cacheField name="old price" numFmtId="3">
      <sharedItems containsSemiMixedTypes="0" containsString="0" containsNumber="1" containsInteger="1" minValue="80" maxValue="6143"/>
    </cacheField>
    <cacheField name="Discount" numFmtId="9">
      <sharedItems containsSemiMixedTypes="0" containsString="0" containsNumber="1" minValue="0.01" maxValue="0.64" count="46">
        <n v="0.42"/>
        <n v="0.46"/>
        <n v="0.38"/>
        <n v="0.49"/>
        <n v="0.5"/>
        <n v="0.02"/>
        <n v="0.33"/>
        <n v="0.61"/>
        <n v="0.22"/>
        <n v="0.03"/>
        <n v="0.41"/>
        <n v="0.45"/>
        <n v="0.48"/>
        <n v="0.27"/>
        <n v="0.55000000000000004"/>
        <n v="0.47"/>
        <n v="0.43"/>
        <n v="0.04"/>
        <n v="0.36"/>
        <n v="0.14000000000000001"/>
        <n v="0.11"/>
        <n v="0.08"/>
        <n v="0.01"/>
        <n v="0.24"/>
        <n v="0.34"/>
        <n v="0.64"/>
        <n v="0.51"/>
        <n v="0.4"/>
        <n v="0.53"/>
        <n v="0.21"/>
        <n v="0.26"/>
        <n v="0.37"/>
        <n v="0.25"/>
        <n v="0.19"/>
        <n v="0.35"/>
        <n v="0.23"/>
        <n v="0.54"/>
        <n v="0.52"/>
        <n v="0.2"/>
        <n v="0.3"/>
        <n v="0.09"/>
        <n v="0.18"/>
        <n v="0.32"/>
        <n v="0.39"/>
        <n v="0.28999999999999998"/>
        <n v="0.13"/>
      </sharedItems>
    </cacheField>
    <cacheField name="Review" numFmtId="0">
      <sharedItems containsMixedTypes="1" containsNumber="1" containsInteger="1" minValue="1" maxValue="69" count="24">
        <s v="null"/>
        <n v="2"/>
        <n v="3"/>
        <n v="1"/>
        <n v="5"/>
        <n v="12"/>
        <n v="7"/>
        <n v="39"/>
        <n v="20"/>
        <n v="24"/>
        <n v="55"/>
        <n v="44"/>
        <n v="49"/>
        <n v="6"/>
        <n v="32"/>
        <n v="14"/>
        <n v="9"/>
        <n v="36"/>
        <n v="15"/>
        <n v="13"/>
        <n v="10"/>
        <n v="16"/>
        <n v="69"/>
        <n v="17"/>
      </sharedItems>
    </cacheField>
    <cacheField name="Ratings" numFmtId="0">
      <sharedItems containsMixedTypes="1" containsNumber="1" minValue="2" maxValue="5" count="23">
        <s v="null"/>
        <n v="5"/>
        <n v="4.8"/>
        <n v="4.7"/>
        <n v="4.5999999999999996"/>
        <n v="4.5"/>
        <n v="4.4000000000000004"/>
        <n v="4.3"/>
        <n v="4.2"/>
        <n v="4.0999999999999996"/>
        <n v="4"/>
        <n v="3.8"/>
        <n v="3.3"/>
        <n v="3"/>
        <n v="2.9"/>
        <n v="2.8"/>
        <n v="2.7"/>
        <n v="2.6"/>
        <n v="2.5"/>
        <n v="2.2999999999999998"/>
        <n v="2.2000000000000002"/>
        <n v="2.1"/>
        <n v="2"/>
      </sharedItems>
    </cacheField>
    <cacheField name="Rating category" numFmtId="0">
      <sharedItems/>
    </cacheField>
    <cacheField name="Discount amount" numFmtId="3">
      <sharedItems containsSemiMixedTypes="0" containsString="0" containsNumber="1" containsInteger="1" minValue="24" maxValue="2585"/>
    </cacheField>
    <cacheField name="Price category" numFmtId="0">
      <sharedItems containsNonDate="0" containsString="0" containsBlank="1"/>
    </cacheField>
    <cacheField name="Discount category" numFmtId="0">
      <sharedItems/>
    </cacheField>
  </cacheFields>
  <extLst>
    <ext xmlns:x14="http://schemas.microsoft.com/office/spreadsheetml/2009/9/main" uri="{725AE2AE-9491-48be-B2B4-4EB974FC3084}">
      <x14:pivotCacheDefinition pivotCacheId="235390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r>
  <r>
    <x v="1"/>
  </r>
  <r>
    <x v="2"/>
  </r>
  <r>
    <x v="3"/>
  </r>
  <r>
    <x v="4"/>
  </r>
  <r>
    <x v="5"/>
  </r>
  <r>
    <x v="6"/>
  </r>
  <r>
    <x v="7"/>
  </r>
  <r>
    <x v="8"/>
  </r>
  <r>
    <x v="9"/>
  </r>
  <r>
    <x v="10"/>
  </r>
  <r>
    <x v="11"/>
  </r>
  <r>
    <x v="12"/>
  </r>
  <r>
    <x v="13"/>
  </r>
  <r>
    <x v="14"/>
  </r>
  <r>
    <x v="15"/>
  </r>
  <r>
    <x v="16"/>
  </r>
  <r>
    <x v="17"/>
  </r>
  <r>
    <x v="18"/>
  </r>
  <r>
    <x v="19"/>
  </r>
  <r>
    <x v="20"/>
  </r>
  <r>
    <x v="17"/>
  </r>
  <r>
    <x v="21"/>
  </r>
  <r>
    <x v="22"/>
  </r>
  <r>
    <x v="23"/>
  </r>
  <r>
    <x v="24"/>
  </r>
  <r>
    <x v="25"/>
  </r>
  <r>
    <x v="26"/>
  </r>
  <r>
    <x v="11"/>
  </r>
  <r>
    <x v="27"/>
  </r>
  <r>
    <x v="28"/>
  </r>
  <r>
    <x v="29"/>
  </r>
  <r>
    <x v="1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525"/>
    <x v="0"/>
    <x v="0"/>
    <x v="0"/>
    <s v="Average"/>
    <n v="575"/>
    <x v="0"/>
    <s v="Medium Discount"/>
  </r>
  <r>
    <x v="1"/>
    <x v="1"/>
    <n v="999"/>
    <x v="1"/>
    <x v="1"/>
    <x v="1"/>
    <s v="Average"/>
    <n v="472"/>
    <x v="0"/>
    <s v="High Discount"/>
  </r>
  <r>
    <x v="2"/>
    <x v="2"/>
    <n v="2923"/>
    <x v="2"/>
    <x v="2"/>
    <x v="2"/>
    <s v="Excellent"/>
    <n v="724"/>
    <x v="0"/>
    <s v="Medium Discount"/>
  </r>
  <r>
    <x v="3"/>
    <x v="3"/>
    <n v="2499"/>
    <x v="3"/>
    <x v="3"/>
    <x v="3"/>
    <s v="Excellent"/>
    <n v="919"/>
    <x v="0"/>
    <s v="Medium Discount"/>
  </r>
  <r>
    <x v="4"/>
    <x v="4"/>
    <n v="2356"/>
    <x v="4"/>
    <x v="4"/>
    <x v="4"/>
    <s v="Excellent"/>
    <n v="616"/>
    <x v="0"/>
    <s v="Medium Discount"/>
  </r>
  <r>
    <x v="5"/>
    <x v="5"/>
    <n v="3290"/>
    <x v="5"/>
    <x v="5"/>
    <x v="5"/>
    <s v="Average"/>
    <n v="291"/>
    <x v="0"/>
    <s v="Low Discount"/>
  </r>
  <r>
    <x v="6"/>
    <x v="6"/>
    <n v="3032"/>
    <x v="6"/>
    <x v="6"/>
    <x v="2"/>
    <s v="Excellent"/>
    <n v="713"/>
    <x v="0"/>
    <s v="Medium Discount"/>
  </r>
  <r>
    <x v="7"/>
    <x v="7"/>
    <n v="1580"/>
    <x v="3"/>
    <x v="0"/>
    <x v="5"/>
    <s v="Average"/>
    <n v="592"/>
    <x v="0"/>
    <s v="Medium Discount"/>
  </r>
  <r>
    <x v="8"/>
    <x v="8"/>
    <n v="2800"/>
    <x v="7"/>
    <x v="4"/>
    <x v="4"/>
    <s v="Excellent"/>
    <n v="1526"/>
    <x v="0"/>
    <s v="High Discount"/>
  </r>
  <r>
    <x v="9"/>
    <x v="9"/>
    <n v="2929"/>
    <x v="8"/>
    <x v="4"/>
    <x v="6"/>
    <s v="Average"/>
    <n v="1329"/>
    <x v="0"/>
    <s v="High Discount"/>
  </r>
  <r>
    <x v="10"/>
    <x v="10"/>
    <n v="999"/>
    <x v="9"/>
    <x v="7"/>
    <x v="1"/>
    <s v="Average"/>
    <n v="200"/>
    <x v="0"/>
    <s v="Medium Discount"/>
  </r>
  <r>
    <x v="11"/>
    <x v="11"/>
    <n v="1500"/>
    <x v="10"/>
    <x v="8"/>
    <x v="3"/>
    <s v="Excellent"/>
    <n v="510"/>
    <x v="0"/>
    <s v="Medium Discount"/>
  </r>
  <r>
    <x v="12"/>
    <x v="12"/>
    <n v="1035"/>
    <x v="1"/>
    <x v="7"/>
    <x v="4"/>
    <s v="Excellent"/>
    <n v="483"/>
    <x v="0"/>
    <s v="High Discount"/>
  </r>
  <r>
    <x v="13"/>
    <x v="13"/>
    <n v="860"/>
    <x v="11"/>
    <x v="9"/>
    <x v="0"/>
    <s v="Average"/>
    <n v="359"/>
    <x v="0"/>
    <s v="High Discount"/>
  </r>
  <r>
    <x v="14"/>
    <x v="14"/>
    <n v="2499"/>
    <x v="12"/>
    <x v="10"/>
    <x v="7"/>
    <s v="Average"/>
    <n v="819"/>
    <x v="0"/>
    <s v="Medium Discount"/>
  </r>
  <r>
    <x v="15"/>
    <x v="15"/>
    <n v="684"/>
    <x v="13"/>
    <x v="0"/>
    <x v="8"/>
    <s v="Excellent"/>
    <n v="352"/>
    <x v="0"/>
    <s v="High Discount"/>
  </r>
  <r>
    <x v="16"/>
    <x v="16"/>
    <n v="360"/>
    <x v="14"/>
    <x v="0"/>
    <x v="8"/>
    <s v="Excellent"/>
    <n v="165"/>
    <x v="0"/>
    <s v="High Discount"/>
  </r>
  <r>
    <x v="17"/>
    <x v="17"/>
    <n v="3971"/>
    <x v="15"/>
    <x v="11"/>
    <x v="8"/>
    <s v="Excellent"/>
    <n v="1946"/>
    <x v="0"/>
    <s v="High Discount"/>
  </r>
  <r>
    <x v="18"/>
    <x v="5"/>
    <n v="3699"/>
    <x v="16"/>
    <x v="4"/>
    <x v="2"/>
    <s v="Excellent"/>
    <n v="700"/>
    <x v="0"/>
    <s v="Low Discount"/>
  </r>
  <r>
    <x v="19"/>
    <x v="18"/>
    <n v="1966"/>
    <x v="15"/>
    <x v="12"/>
    <x v="2"/>
    <s v="Excellent"/>
    <n v="968"/>
    <x v="0"/>
    <s v="High Discount"/>
  </r>
  <r>
    <x v="20"/>
    <x v="19"/>
    <n v="80"/>
    <x v="17"/>
    <x v="13"/>
    <x v="9"/>
    <s v="Average"/>
    <n v="42"/>
    <x v="0"/>
    <s v="High Discount"/>
  </r>
  <r>
    <x v="21"/>
    <x v="20"/>
    <n v="3220"/>
    <x v="11"/>
    <x v="14"/>
    <x v="10"/>
    <s v="Excellent"/>
    <n v="1360"/>
    <x v="0"/>
    <s v="High Discount"/>
  </r>
  <r>
    <x v="22"/>
    <x v="21"/>
    <n v="1350"/>
    <x v="18"/>
    <x v="9"/>
    <x v="5"/>
    <s v="Average"/>
    <n v="470"/>
    <x v="0"/>
    <s v="Medium Discount"/>
  </r>
  <r>
    <x v="23"/>
    <x v="22"/>
    <n v="2150"/>
    <x v="19"/>
    <x v="1"/>
    <x v="11"/>
    <s v="Average"/>
    <n v="500"/>
    <x v="0"/>
    <s v="Medium Discount"/>
  </r>
  <r>
    <x v="24"/>
    <x v="23"/>
    <n v="4500"/>
    <x v="20"/>
    <x v="3"/>
    <x v="12"/>
    <s v="Average"/>
    <n v="2452"/>
    <x v="0"/>
    <s v="High Discount"/>
  </r>
  <r>
    <x v="25"/>
    <x v="24"/>
    <n v="647"/>
    <x v="18"/>
    <x v="15"/>
    <x v="2"/>
    <s v="Excellent"/>
    <n v="227"/>
    <x v="0"/>
    <s v="Medium Discount"/>
  </r>
  <r>
    <x v="26"/>
    <x v="25"/>
    <n v="3520"/>
    <x v="21"/>
    <x v="7"/>
    <x v="6"/>
    <s v="Average"/>
    <n v="640"/>
    <x v="0"/>
    <s v="Low Discount"/>
  </r>
  <r>
    <x v="27"/>
    <x v="26"/>
    <n v="1990"/>
    <x v="22"/>
    <x v="13"/>
    <x v="6"/>
    <s v="Average"/>
    <n v="640"/>
    <x v="0"/>
    <s v="Medium Discount"/>
  </r>
  <r>
    <x v="28"/>
    <x v="27"/>
    <n v="2499"/>
    <x v="23"/>
    <x v="16"/>
    <x v="1"/>
    <s v="Average"/>
    <n v="741"/>
    <x v="0"/>
    <s v="Medium Discount"/>
  </r>
  <r>
    <x v="29"/>
    <x v="28"/>
    <n v="4080"/>
    <x v="14"/>
    <x v="14"/>
    <x v="10"/>
    <s v="Excellent"/>
    <n v="1880"/>
    <x v="0"/>
    <s v="High Discount"/>
  </r>
  <r>
    <x v="30"/>
    <x v="29"/>
    <n v="382"/>
    <x v="24"/>
    <x v="10"/>
    <x v="12"/>
    <s v="Average"/>
    <n v="197"/>
    <x v="0"/>
    <s v="High Discount"/>
  </r>
  <r>
    <x v="31"/>
    <x v="30"/>
    <n v="1490"/>
    <x v="10"/>
    <x v="7"/>
    <x v="3"/>
    <s v="Excellent"/>
    <n v="510"/>
    <x v="0"/>
    <s v="Medium Discount"/>
  </r>
  <r>
    <x v="32"/>
    <x v="31"/>
    <n v="3490"/>
    <x v="25"/>
    <x v="10"/>
    <x v="12"/>
    <s v="Average"/>
    <n v="1670"/>
    <x v="0"/>
    <s v="High Discount"/>
  </r>
  <r>
    <x v="33"/>
    <x v="32"/>
    <n v="2650"/>
    <x v="26"/>
    <x v="16"/>
    <x v="3"/>
    <s v="Excellent"/>
    <n v="710"/>
    <x v="0"/>
    <s v="Medium Discount"/>
  </r>
  <r>
    <x v="34"/>
    <x v="33"/>
    <n v="2699"/>
    <x v="26"/>
    <x v="17"/>
    <x v="0"/>
    <s v="Average"/>
    <n v="719"/>
    <x v="0"/>
    <s v="Medium Discount"/>
  </r>
  <r>
    <x v="35"/>
    <x v="34"/>
    <n v="2690"/>
    <x v="27"/>
    <x v="18"/>
    <x v="8"/>
    <s v="Excellent"/>
    <n v="1070"/>
    <x v="0"/>
    <s v="Medium Discount"/>
  </r>
  <r>
    <x v="36"/>
    <x v="35"/>
    <n v="360"/>
    <x v="17"/>
    <x v="0"/>
    <x v="8"/>
    <s v="Excellent"/>
    <n v="189"/>
    <x v="0"/>
    <s v="High Discount"/>
  </r>
  <r>
    <x v="37"/>
    <x v="36"/>
    <n v="656"/>
    <x v="28"/>
    <x v="19"/>
    <x v="12"/>
    <s v="Average"/>
    <n v="267"/>
    <x v="0"/>
    <s v="High Discount"/>
  </r>
  <r>
    <x v="38"/>
    <x v="33"/>
    <n v="3200"/>
    <x v="0"/>
    <x v="0"/>
    <x v="0"/>
    <s v="Average"/>
    <n v="1220"/>
    <x v="0"/>
    <s v="Medium Discount"/>
  </r>
  <r>
    <x v="39"/>
    <x v="37"/>
    <n v="4471"/>
    <x v="0"/>
    <x v="14"/>
    <x v="10"/>
    <s v="Excellent"/>
    <n v="1721"/>
    <x v="0"/>
    <s v="Medium Discount"/>
  </r>
  <r>
    <x v="40"/>
    <x v="38"/>
    <n v="931"/>
    <x v="15"/>
    <x v="14"/>
    <x v="10"/>
    <s v="Excellent"/>
    <n v="456"/>
    <x v="0"/>
    <s v="High Discount"/>
  </r>
  <r>
    <x v="41"/>
    <x v="39"/>
    <n v="476"/>
    <x v="29"/>
    <x v="14"/>
    <x v="10"/>
    <s v="Excellent"/>
    <n v="238"/>
    <x v="0"/>
    <s v="High Discount"/>
  </r>
  <r>
    <x v="42"/>
    <x v="40"/>
    <n v="1060"/>
    <x v="11"/>
    <x v="14"/>
    <x v="10"/>
    <s v="Excellent"/>
    <n v="450"/>
    <x v="0"/>
    <s v="High Discount"/>
  </r>
  <r>
    <x v="43"/>
    <x v="41"/>
    <n v="2169"/>
    <x v="30"/>
    <x v="14"/>
    <x v="10"/>
    <s v="Excellent"/>
    <n v="37"/>
    <x v="0"/>
    <s v="Low Discount"/>
  </r>
  <r>
    <x v="44"/>
    <x v="42"/>
    <n v="2000"/>
    <x v="29"/>
    <x v="14"/>
    <x v="10"/>
    <s v="Excellent"/>
    <n v="1001"/>
    <x v="0"/>
    <s v="High Discount"/>
  </r>
  <r>
    <x v="45"/>
    <x v="43"/>
    <n v="1785"/>
    <x v="12"/>
    <x v="14"/>
    <x v="10"/>
    <s v="Excellent"/>
    <n v="595"/>
    <x v="0"/>
    <s v="Medium Discount"/>
  </r>
  <r>
    <x v="46"/>
    <x v="44"/>
    <n v="1316"/>
    <x v="15"/>
    <x v="14"/>
    <x v="10"/>
    <s v="Excellent"/>
    <n v="645"/>
    <x v="0"/>
    <s v="High Discount"/>
  </r>
  <r>
    <x v="47"/>
    <x v="45"/>
    <n v="1950"/>
    <x v="0"/>
    <x v="14"/>
    <x v="10"/>
    <s v="Excellent"/>
    <n v="750"/>
    <x v="0"/>
    <s v="Medium Discount"/>
  </r>
  <r>
    <x v="48"/>
    <x v="46"/>
    <n v="504"/>
    <x v="31"/>
    <x v="14"/>
    <x v="10"/>
    <s v="Excellent"/>
    <n v="305"/>
    <x v="0"/>
    <s v="High Discount"/>
  </r>
  <r>
    <x v="49"/>
    <x v="47"/>
    <n v="600"/>
    <x v="29"/>
    <x v="14"/>
    <x v="10"/>
    <s v="Excellent"/>
    <n v="301"/>
    <x v="0"/>
    <s v="High Discount"/>
  </r>
  <r>
    <x v="50"/>
    <x v="48"/>
    <n v="1699"/>
    <x v="30"/>
    <x v="14"/>
    <x v="10"/>
    <s v="Excellent"/>
    <n v="39"/>
    <x v="0"/>
    <s v="Low Discount"/>
  </r>
  <r>
    <x v="51"/>
    <x v="47"/>
    <n v="384"/>
    <x v="32"/>
    <x v="14"/>
    <x v="10"/>
    <s v="Excellent"/>
    <n v="85"/>
    <x v="0"/>
    <s v="Medium Discount"/>
  </r>
  <r>
    <x v="52"/>
    <x v="49"/>
    <n v="1499"/>
    <x v="33"/>
    <x v="14"/>
    <x v="10"/>
    <s v="Excellent"/>
    <n v="40"/>
    <x v="0"/>
    <s v="Low Discount"/>
  </r>
  <r>
    <x v="53"/>
    <x v="10"/>
    <n v="1343"/>
    <x v="28"/>
    <x v="14"/>
    <x v="10"/>
    <s v="Excellent"/>
    <n v="544"/>
    <x v="0"/>
    <s v="High Discount"/>
  </r>
  <r>
    <x v="54"/>
    <x v="50"/>
    <n v="900"/>
    <x v="8"/>
    <x v="14"/>
    <x v="10"/>
    <s v="Excellent"/>
    <n v="401"/>
    <x v="0"/>
    <s v="High Discount"/>
  </r>
  <r>
    <x v="55"/>
    <x v="51"/>
    <n v="1343"/>
    <x v="25"/>
    <x v="14"/>
    <x v="10"/>
    <s v="Excellent"/>
    <n v="644"/>
    <x v="0"/>
    <s v="High Discount"/>
  </r>
  <r>
    <x v="56"/>
    <x v="10"/>
    <n v="1567"/>
    <x v="15"/>
    <x v="14"/>
    <x v="10"/>
    <s v="Excellent"/>
    <n v="768"/>
    <x v="0"/>
    <s v="High Discount"/>
  </r>
  <r>
    <x v="57"/>
    <x v="52"/>
    <n v="3810"/>
    <x v="26"/>
    <x v="14"/>
    <x v="10"/>
    <s v="Excellent"/>
    <n v="1011"/>
    <x v="0"/>
    <s v="Medium Discount"/>
  </r>
  <r>
    <x v="54"/>
    <x v="53"/>
    <n v="896"/>
    <x v="7"/>
    <x v="14"/>
    <x v="10"/>
    <s v="Excellent"/>
    <n v="497"/>
    <x v="0"/>
    <s v="High Discount"/>
  </r>
  <r>
    <x v="58"/>
    <x v="54"/>
    <n v="2500"/>
    <x v="34"/>
    <x v="9"/>
    <x v="13"/>
    <s v="Poor"/>
    <n v="330"/>
    <x v="0"/>
    <s v="Low Discount"/>
  </r>
  <r>
    <x v="59"/>
    <x v="55"/>
    <n v="986"/>
    <x v="20"/>
    <x v="20"/>
    <x v="14"/>
    <s v="Average"/>
    <n v="528"/>
    <x v="0"/>
    <s v="High Discount"/>
  </r>
  <r>
    <x v="60"/>
    <x v="56"/>
    <n v="4700"/>
    <x v="7"/>
    <x v="13"/>
    <x v="15"/>
    <s v="Poor"/>
    <n v="2585"/>
    <x v="0"/>
    <s v="High Discount"/>
  </r>
  <r>
    <x v="61"/>
    <x v="57"/>
    <n v="873"/>
    <x v="15"/>
    <x v="21"/>
    <x v="16"/>
    <s v="Poor"/>
    <n v="428"/>
    <x v="0"/>
    <s v="High Discount"/>
  </r>
  <r>
    <x v="62"/>
    <x v="58"/>
    <n v="680"/>
    <x v="24"/>
    <x v="5"/>
    <x v="17"/>
    <s v="Poor"/>
    <n v="355"/>
    <x v="0"/>
    <s v="High Discount"/>
  </r>
  <r>
    <x v="63"/>
    <x v="59"/>
    <n v="1555"/>
    <x v="32"/>
    <x v="22"/>
    <x v="18"/>
    <s v="Poor"/>
    <n v="335"/>
    <x v="0"/>
    <s v="Medium Discount"/>
  </r>
  <r>
    <x v="64"/>
    <x v="11"/>
    <n v="1814"/>
    <x v="8"/>
    <x v="9"/>
    <x v="19"/>
    <s v="Poor"/>
    <n v="824"/>
    <x v="0"/>
    <s v="High Discount"/>
  </r>
  <r>
    <x v="65"/>
    <x v="60"/>
    <n v="2000"/>
    <x v="29"/>
    <x v="3"/>
    <x v="20"/>
    <s v="Poor"/>
    <n v="1000"/>
    <x v="0"/>
    <s v="High Discount"/>
  </r>
  <r>
    <x v="66"/>
    <x v="61"/>
    <n v="6143"/>
    <x v="35"/>
    <x v="4"/>
    <x v="14"/>
    <s v="Average"/>
    <n v="2393"/>
    <x v="0"/>
    <s v="Medium Discount"/>
  </r>
  <r>
    <x v="67"/>
    <x v="62"/>
    <n v="700"/>
    <x v="8"/>
    <x v="23"/>
    <x v="21"/>
    <s v="Poor"/>
    <n v="318"/>
    <x v="0"/>
    <s v="High Discount"/>
  </r>
  <r>
    <x v="68"/>
    <x v="63"/>
    <n v="3240"/>
    <x v="36"/>
    <x v="4"/>
    <x v="14"/>
    <s v="Average"/>
    <n v="940"/>
    <x v="0"/>
    <s v="Medium Discount"/>
  </r>
  <r>
    <x v="69"/>
    <x v="64"/>
    <n v="602"/>
    <x v="37"/>
    <x v="9"/>
    <x v="20"/>
    <s v="Poor"/>
    <n v="257"/>
    <x v="0"/>
    <s v="High Discount"/>
  </r>
  <r>
    <x v="70"/>
    <x v="65"/>
    <n v="899"/>
    <x v="37"/>
    <x v="4"/>
    <x v="14"/>
    <s v="Average"/>
    <n v="390"/>
    <x v="0"/>
    <s v="High Discount"/>
  </r>
  <r>
    <x v="71"/>
    <x v="66"/>
    <n v="1814"/>
    <x v="1"/>
    <x v="9"/>
    <x v="19"/>
    <s v="Poor"/>
    <n v="846"/>
    <x v="0"/>
    <s v="High Discount"/>
  </r>
  <r>
    <x v="72"/>
    <x v="67"/>
    <n v="2988"/>
    <x v="1"/>
    <x v="3"/>
    <x v="15"/>
    <s v="Poor"/>
    <n v="1418"/>
    <x v="0"/>
    <s v="High Discount"/>
  </r>
  <r>
    <x v="73"/>
    <x v="68"/>
    <n v="1485"/>
    <x v="1"/>
    <x v="14"/>
    <x v="10"/>
    <s v="Excellent"/>
    <n v="695"/>
    <x v="0"/>
    <s v="High Discount"/>
  </r>
  <r>
    <x v="74"/>
    <x v="69"/>
    <n v="1200"/>
    <x v="37"/>
    <x v="14"/>
    <x v="10"/>
    <s v="Excellent"/>
    <n v="510"/>
    <x v="0"/>
    <s v="High Discount"/>
  </r>
  <r>
    <x v="75"/>
    <x v="70"/>
    <n v="1799"/>
    <x v="38"/>
    <x v="14"/>
    <x v="10"/>
    <s v="Excellent"/>
    <n v="67"/>
    <x v="0"/>
    <s v="Low Discount"/>
  </r>
  <r>
    <x v="76"/>
    <x v="71"/>
    <n v="450"/>
    <x v="15"/>
    <x v="14"/>
    <x v="10"/>
    <s v="Excellent"/>
    <n v="220"/>
    <x v="0"/>
    <s v="High Discount"/>
  </r>
  <r>
    <x v="77"/>
    <x v="72"/>
    <n v="2199"/>
    <x v="14"/>
    <x v="18"/>
    <x v="14"/>
    <s v="Average"/>
    <n v="1010"/>
    <x v="0"/>
    <s v="High Discount"/>
  </r>
  <r>
    <x v="78"/>
    <x v="73"/>
    <n v="1920"/>
    <x v="15"/>
    <x v="18"/>
    <x v="8"/>
    <s v="Excellent"/>
    <n v="941"/>
    <x v="0"/>
    <s v="High Discount"/>
  </r>
  <r>
    <x v="79"/>
    <x v="74"/>
    <n v="2290"/>
    <x v="39"/>
    <x v="14"/>
    <x v="10"/>
    <s v="Excellent"/>
    <n v="830"/>
    <x v="0"/>
    <s v="Medium Discount"/>
  </r>
  <r>
    <x v="80"/>
    <x v="75"/>
    <n v="1699"/>
    <x v="30"/>
    <x v="14"/>
    <x v="10"/>
    <s v="Excellent"/>
    <n v="33"/>
    <x v="0"/>
    <s v="Low Discount"/>
  </r>
  <r>
    <x v="81"/>
    <x v="76"/>
    <n v="647"/>
    <x v="15"/>
    <x v="18"/>
    <x v="5"/>
    <s v="Average"/>
    <n v="317"/>
    <x v="0"/>
    <s v="High Discount"/>
  </r>
  <r>
    <x v="48"/>
    <x v="77"/>
    <n v="345"/>
    <x v="15"/>
    <x v="14"/>
    <x v="10"/>
    <s v="Excellent"/>
    <n v="169"/>
    <x v="0"/>
    <s v="High Discount"/>
  </r>
  <r>
    <x v="82"/>
    <x v="78"/>
    <n v="1699"/>
    <x v="40"/>
    <x v="14"/>
    <x v="10"/>
    <s v="Excellent"/>
    <n v="233"/>
    <x v="0"/>
    <s v="Low Discount"/>
  </r>
  <r>
    <x v="83"/>
    <x v="79"/>
    <n v="537"/>
    <x v="15"/>
    <x v="14"/>
    <x v="10"/>
    <s v="Excellent"/>
    <n v="263"/>
    <x v="0"/>
    <s v="High Discount"/>
  </r>
  <r>
    <x v="84"/>
    <x v="10"/>
    <n v="900"/>
    <x v="41"/>
    <x v="14"/>
    <x v="10"/>
    <s v="Excellent"/>
    <n v="101"/>
    <x v="0"/>
    <s v="Low Discount"/>
  </r>
  <r>
    <x v="56"/>
    <x v="80"/>
    <n v="1288"/>
    <x v="15"/>
    <x v="14"/>
    <x v="10"/>
    <s v="Excellent"/>
    <n v="631"/>
    <x v="0"/>
    <s v="High Discount"/>
  </r>
  <r>
    <x v="85"/>
    <x v="81"/>
    <n v="1699"/>
    <x v="40"/>
    <x v="14"/>
    <x v="10"/>
    <s v="Excellent"/>
    <n v="231"/>
    <x v="0"/>
    <s v="Low Discount"/>
  </r>
  <r>
    <x v="86"/>
    <x v="82"/>
    <n v="1100"/>
    <x v="37"/>
    <x v="14"/>
    <x v="10"/>
    <s v="Excellent"/>
    <n v="470"/>
    <x v="0"/>
    <s v="High Discount"/>
  </r>
  <r>
    <x v="87"/>
    <x v="83"/>
    <n v="1700"/>
    <x v="29"/>
    <x v="14"/>
    <x v="10"/>
    <s v="Excellent"/>
    <n v="850"/>
    <x v="0"/>
    <s v="High Discount"/>
  </r>
  <r>
    <x v="88"/>
    <x v="84"/>
    <n v="2500"/>
    <x v="25"/>
    <x v="14"/>
    <x v="10"/>
    <s v="Excellent"/>
    <n v="1200"/>
    <x v="0"/>
    <s v="High Discount"/>
  </r>
  <r>
    <x v="89"/>
    <x v="85"/>
    <n v="200"/>
    <x v="25"/>
    <x v="14"/>
    <x v="10"/>
    <s v="Excellent"/>
    <n v="95"/>
    <x v="0"/>
    <s v="High Discount"/>
  </r>
  <r>
    <x v="90"/>
    <x v="86"/>
    <n v="1699"/>
    <x v="1"/>
    <x v="14"/>
    <x v="10"/>
    <s v="Excellent"/>
    <n v="800"/>
    <x v="0"/>
    <s v="High Discount"/>
  </r>
  <r>
    <x v="91"/>
    <x v="45"/>
    <n v="2400"/>
    <x v="29"/>
    <x v="14"/>
    <x v="10"/>
    <s v="Excellent"/>
    <n v="1200"/>
    <x v="0"/>
    <s v="High Discount"/>
  </r>
  <r>
    <x v="92"/>
    <x v="87"/>
    <n v="1660"/>
    <x v="42"/>
    <x v="14"/>
    <x v="10"/>
    <s v="Excellent"/>
    <n v="134"/>
    <x v="0"/>
    <s v="Low Discount"/>
  </r>
  <r>
    <x v="93"/>
    <x v="88"/>
    <n v="1499"/>
    <x v="30"/>
    <x v="14"/>
    <x v="10"/>
    <s v="Excellent"/>
    <n v="37"/>
    <x v="0"/>
    <s v="Low Discount"/>
  </r>
  <r>
    <x v="94"/>
    <x v="89"/>
    <n v="486"/>
    <x v="15"/>
    <x v="14"/>
    <x v="10"/>
    <s v="Excellent"/>
    <n v="238"/>
    <x v="0"/>
    <s v="High Discount"/>
  </r>
  <r>
    <x v="95"/>
    <x v="90"/>
    <n v="3699"/>
    <x v="38"/>
    <x v="14"/>
    <x v="10"/>
    <s v="Excellent"/>
    <n v="153"/>
    <x v="0"/>
    <s v="Low Discount"/>
  </r>
  <r>
    <x v="96"/>
    <x v="91"/>
    <n v="1029"/>
    <x v="15"/>
    <x v="14"/>
    <x v="10"/>
    <s v="Excellent"/>
    <n v="504"/>
    <x v="0"/>
    <s v="High Discount"/>
  </r>
  <r>
    <x v="97"/>
    <x v="92"/>
    <n v="1874"/>
    <x v="11"/>
    <x v="14"/>
    <x v="10"/>
    <s v="Excellent"/>
    <n v="794"/>
    <x v="0"/>
    <s v="High Discount"/>
  </r>
  <r>
    <x v="98"/>
    <x v="93"/>
    <n v="4588"/>
    <x v="43"/>
    <x v="18"/>
    <x v="8"/>
    <s v="Excellent"/>
    <n v="948"/>
    <x v="0"/>
    <s v="Medium Discount"/>
  </r>
  <r>
    <x v="99"/>
    <x v="94"/>
    <n v="2420"/>
    <x v="28"/>
    <x v="14"/>
    <x v="10"/>
    <s v="Excellent"/>
    <n v="1000"/>
    <x v="0"/>
    <s v="High Discount"/>
  </r>
  <r>
    <x v="100"/>
    <x v="95"/>
    <n v="1899"/>
    <x v="44"/>
    <x v="14"/>
    <x v="10"/>
    <s v="Excellent"/>
    <n v="24"/>
    <x v="0"/>
    <s v="Low Discount"/>
  </r>
  <r>
    <x v="101"/>
    <x v="96"/>
    <n v="260"/>
    <x v="6"/>
    <x v="14"/>
    <x v="10"/>
    <s v="Excellent"/>
    <n v="62"/>
    <x v="0"/>
    <s v="Medium Discount"/>
  </r>
  <r>
    <x v="102"/>
    <x v="97"/>
    <n v="1737"/>
    <x v="10"/>
    <x v="14"/>
    <x v="10"/>
    <s v="Excellent"/>
    <n v="587"/>
    <x v="0"/>
    <s v="Medium Discount"/>
  </r>
  <r>
    <x v="103"/>
    <x v="43"/>
    <n v="1810"/>
    <x v="10"/>
    <x v="14"/>
    <x v="10"/>
    <s v="Excellent"/>
    <n v="620"/>
    <x v="0"/>
    <s v="Medium Discount"/>
  </r>
  <r>
    <x v="104"/>
    <x v="98"/>
    <n v="1699"/>
    <x v="30"/>
    <x v="14"/>
    <x v="10"/>
    <s v="Excellent"/>
    <n v="41"/>
    <x v="0"/>
    <s v="Low Discount"/>
  </r>
  <r>
    <x v="105"/>
    <x v="99"/>
    <n v="1799"/>
    <x v="30"/>
    <x v="14"/>
    <x v="10"/>
    <s v="Excellent"/>
    <n v="31"/>
    <x v="0"/>
    <s v="Low Discount"/>
  </r>
  <r>
    <x v="106"/>
    <x v="46"/>
    <n v="553"/>
    <x v="45"/>
    <x v="14"/>
    <x v="10"/>
    <s v="Excellent"/>
    <n v="354"/>
    <x v="0"/>
    <s v="High Discount"/>
  </r>
  <r>
    <x v="107"/>
    <x v="100"/>
    <n v="900"/>
    <x v="29"/>
    <x v="18"/>
    <x v="22"/>
    <s v="Poor"/>
    <n v="450"/>
    <x v="0"/>
    <s v="High Discount"/>
  </r>
  <r>
    <x v="108"/>
    <x v="101"/>
    <n v="320"/>
    <x v="1"/>
    <x v="14"/>
    <x v="10"/>
    <s v="Excellent"/>
    <n v="151"/>
    <x v="0"/>
    <s v="High Discoun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n v="950"/>
    <n v="1525"/>
    <n v="0.38"/>
    <n v="2"/>
    <x v="0"/>
    <s v="Excellent"/>
    <n v="575"/>
    <m/>
    <m/>
  </r>
  <r>
    <x v="1"/>
    <n v="527"/>
    <n v="999"/>
    <n v="0.47"/>
    <n v="14"/>
    <x v="1"/>
    <s v="Average"/>
    <n v="472"/>
    <m/>
    <m/>
  </r>
  <r>
    <x v="2"/>
    <n v="2199"/>
    <n v="2923"/>
    <n v="0.25"/>
    <n v="24"/>
    <x v="2"/>
    <s v="Excellent"/>
    <n v="724"/>
    <m/>
    <m/>
  </r>
  <r>
    <x v="3"/>
    <n v="1580"/>
    <n v="2499"/>
    <n v="0.37"/>
    <n v="7"/>
    <x v="3"/>
    <s v="Excellent"/>
    <n v="919"/>
    <m/>
    <m/>
  </r>
  <r>
    <x v="4"/>
    <n v="1740"/>
    <n v="2356"/>
    <n v="0.26"/>
    <n v="5"/>
    <x v="4"/>
    <s v="Excellent"/>
    <n v="616"/>
    <m/>
    <m/>
  </r>
  <r>
    <x v="5"/>
    <n v="2999"/>
    <n v="3290"/>
    <n v="0.09"/>
    <n v="15"/>
    <x v="5"/>
    <s v="Average"/>
    <n v="291"/>
    <m/>
    <m/>
  </r>
  <r>
    <x v="6"/>
    <n v="2319"/>
    <n v="3032"/>
    <n v="0.24"/>
    <n v="55"/>
    <x v="2"/>
    <s v="Excellent"/>
    <n v="713"/>
    <m/>
    <m/>
  </r>
  <r>
    <x v="7"/>
    <n v="988"/>
    <n v="1580"/>
    <n v="0.37"/>
    <n v="2"/>
    <x v="5"/>
    <s v="Average"/>
    <n v="592"/>
    <m/>
    <m/>
  </r>
  <r>
    <x v="8"/>
    <n v="1274"/>
    <n v="2800"/>
    <n v="0.55000000000000004"/>
    <n v="5"/>
    <x v="4"/>
    <s v="Excellent"/>
    <n v="1526"/>
    <m/>
    <m/>
  </r>
  <r>
    <x v="9"/>
    <n v="1600"/>
    <n v="2929"/>
    <n v="0.45"/>
    <n v="5"/>
    <x v="6"/>
    <s v="Average"/>
    <n v="1329"/>
    <m/>
    <m/>
  </r>
  <r>
    <x v="10"/>
    <n v="799"/>
    <n v="999"/>
    <n v="0.2"/>
    <n v="12"/>
    <x v="1"/>
    <s v="Average"/>
    <n v="200"/>
    <m/>
    <m/>
  </r>
  <r>
    <x v="11"/>
    <n v="990"/>
    <n v="1500"/>
    <n v="0.34"/>
    <n v="39"/>
    <x v="3"/>
    <s v="Excellent"/>
    <n v="510"/>
    <m/>
    <m/>
  </r>
  <r>
    <x v="12"/>
    <n v="552"/>
    <n v="1035"/>
    <n v="0.47"/>
    <n v="12"/>
    <x v="4"/>
    <s v="Excellent"/>
    <n v="483"/>
    <m/>
    <m/>
  </r>
  <r>
    <x v="13"/>
    <n v="501"/>
    <n v="860"/>
    <n v="0.42"/>
    <n v="6"/>
    <x v="0"/>
    <s v="Excellent"/>
    <n v="359"/>
    <m/>
    <m/>
  </r>
  <r>
    <x v="14"/>
    <n v="1680"/>
    <n v="2499"/>
    <n v="0.33"/>
    <n v="9"/>
    <x v="7"/>
    <s v="Average"/>
    <n v="819"/>
    <m/>
    <m/>
  </r>
  <r>
    <x v="15"/>
    <n v="332"/>
    <n v="684"/>
    <n v="0.51"/>
    <n v="2"/>
    <x v="8"/>
    <s v="Excellent"/>
    <n v="352"/>
    <m/>
    <m/>
  </r>
  <r>
    <x v="16"/>
    <n v="195"/>
    <n v="360"/>
    <n v="0.46"/>
    <n v="2"/>
    <x v="8"/>
    <s v="Excellent"/>
    <n v="165"/>
    <m/>
    <m/>
  </r>
  <r>
    <x v="17"/>
    <n v="2025"/>
    <n v="3971"/>
    <n v="0.49"/>
    <n v="3"/>
    <x v="8"/>
    <s v="Excellent"/>
    <n v="1946"/>
    <m/>
    <m/>
  </r>
  <r>
    <x v="18"/>
    <n v="2999"/>
    <n v="3699"/>
    <n v="0.19"/>
    <n v="5"/>
    <x v="2"/>
    <s v="Excellent"/>
    <n v="700"/>
    <m/>
    <m/>
  </r>
  <r>
    <x v="19"/>
    <n v="998"/>
    <n v="1966"/>
    <n v="0.49"/>
    <n v="44"/>
    <x v="2"/>
    <s v="Excellent"/>
    <n v="968"/>
    <m/>
    <m/>
  </r>
  <r>
    <x v="20"/>
    <n v="38"/>
    <n v="80"/>
    <n v="0.53"/>
    <n v="13"/>
    <x v="9"/>
    <s v="Average"/>
    <n v="42"/>
    <m/>
    <m/>
  </r>
  <r>
    <x v="21"/>
    <n v="1860"/>
    <n v="3220"/>
    <n v="0.42"/>
    <s v="null"/>
    <x v="10"/>
    <m/>
    <n v="1360"/>
    <m/>
    <m/>
  </r>
  <r>
    <x v="22"/>
    <n v="880"/>
    <n v="1350"/>
    <n v="0.35"/>
    <n v="6"/>
    <x v="5"/>
    <s v="Average"/>
    <n v="470"/>
    <m/>
    <m/>
  </r>
  <r>
    <x v="23"/>
    <n v="1650"/>
    <n v="2150"/>
    <n v="0.23"/>
    <n v="14"/>
    <x v="11"/>
    <s v="Average"/>
    <n v="500"/>
    <m/>
    <m/>
  </r>
  <r>
    <x v="24"/>
    <n v="2048"/>
    <n v="4500"/>
    <n v="0.54"/>
    <n v="7"/>
    <x v="12"/>
    <s v="Average"/>
    <n v="2452"/>
    <m/>
    <m/>
  </r>
  <r>
    <x v="25"/>
    <n v="420"/>
    <n v="647"/>
    <n v="0.35"/>
    <n v="49"/>
    <x v="2"/>
    <s v="Excellent"/>
    <n v="227"/>
    <m/>
    <m/>
  </r>
  <r>
    <x v="26"/>
    <n v="2880"/>
    <n v="3520"/>
    <n v="0.18"/>
    <n v="12"/>
    <x v="6"/>
    <s v="Average"/>
    <n v="640"/>
    <m/>
    <m/>
  </r>
  <r>
    <x v="27"/>
    <n v="1350"/>
    <n v="1990"/>
    <n v="0.32"/>
    <n v="13"/>
    <x v="6"/>
    <s v="Average"/>
    <n v="640"/>
    <m/>
    <m/>
  </r>
  <r>
    <x v="28"/>
    <n v="1758"/>
    <n v="2499"/>
    <n v="0.3"/>
    <n v="20"/>
    <x v="1"/>
    <s v="Average"/>
    <n v="741"/>
    <m/>
    <m/>
  </r>
  <r>
    <x v="29"/>
    <n v="2200"/>
    <n v="4080"/>
    <n v="0.46"/>
    <s v="null"/>
    <x v="10"/>
    <m/>
    <n v="1880"/>
    <m/>
    <m/>
  </r>
  <r>
    <x v="30"/>
    <n v="185"/>
    <n v="382"/>
    <n v="0.52"/>
    <n v="9"/>
    <x v="12"/>
    <s v="Average"/>
    <n v="197"/>
    <m/>
    <m/>
  </r>
  <r>
    <x v="31"/>
    <n v="980"/>
    <n v="1490"/>
    <n v="0.34"/>
    <n v="12"/>
    <x v="3"/>
    <s v="Excellent"/>
    <n v="510"/>
    <m/>
    <m/>
  </r>
  <r>
    <x v="32"/>
    <n v="1820"/>
    <n v="3490"/>
    <n v="0.48"/>
    <n v="9"/>
    <x v="12"/>
    <s v="Average"/>
    <n v="1670"/>
    <m/>
    <m/>
  </r>
  <r>
    <x v="33"/>
    <n v="1940"/>
    <n v="2650"/>
    <n v="0.27"/>
    <n v="20"/>
    <x v="3"/>
    <s v="Excellent"/>
    <n v="710"/>
    <m/>
    <m/>
  </r>
  <r>
    <x v="34"/>
    <n v="1980"/>
    <n v="2699"/>
    <n v="0.27"/>
    <n v="32"/>
    <x v="0"/>
    <s v="Excellent"/>
    <n v="719"/>
    <m/>
    <m/>
  </r>
  <r>
    <x v="35"/>
    <n v="1620"/>
    <n v="2690"/>
    <n v="0.4"/>
    <n v="1"/>
    <x v="8"/>
    <s v="Excellent"/>
    <n v="1070"/>
    <m/>
    <m/>
  </r>
  <r>
    <x v="36"/>
    <n v="171"/>
    <n v="360"/>
    <n v="0.53"/>
    <n v="2"/>
    <x v="8"/>
    <s v="Excellent"/>
    <n v="189"/>
    <m/>
    <m/>
  </r>
  <r>
    <x v="37"/>
    <n v="389"/>
    <n v="656"/>
    <n v="0.41"/>
    <n v="36"/>
    <x v="12"/>
    <s v="Average"/>
    <n v="267"/>
    <m/>
    <m/>
  </r>
  <r>
    <x v="38"/>
    <n v="1980"/>
    <n v="3200"/>
    <n v="0.38"/>
    <n v="2"/>
    <x v="0"/>
    <s v="Excellent"/>
    <n v="1220"/>
    <m/>
    <m/>
  </r>
  <r>
    <x v="39"/>
    <n v="2750"/>
    <n v="4471"/>
    <n v="0.38"/>
    <s v="null"/>
    <x v="10"/>
    <m/>
    <n v="1721"/>
    <m/>
    <m/>
  </r>
  <r>
    <x v="40"/>
    <n v="475"/>
    <n v="931"/>
    <n v="0.49"/>
    <s v="null"/>
    <x v="10"/>
    <m/>
    <n v="456"/>
    <m/>
    <m/>
  </r>
  <r>
    <x v="41"/>
    <n v="238"/>
    <n v="476"/>
    <n v="0.5"/>
    <s v="null"/>
    <x v="10"/>
    <m/>
    <n v="238"/>
    <m/>
    <m/>
  </r>
  <r>
    <x v="42"/>
    <n v="610"/>
    <n v="1060"/>
    <n v="0.42"/>
    <s v="null"/>
    <x v="10"/>
    <m/>
    <n v="450"/>
    <m/>
    <m/>
  </r>
  <r>
    <x v="43"/>
    <n v="2132"/>
    <n v="2169"/>
    <n v="0.02"/>
    <s v="null"/>
    <x v="10"/>
    <m/>
    <n v="37"/>
    <m/>
    <m/>
  </r>
  <r>
    <x v="44"/>
    <n v="999"/>
    <n v="2000"/>
    <n v="0.5"/>
    <s v="null"/>
    <x v="10"/>
    <m/>
    <n v="1001"/>
    <m/>
    <m/>
  </r>
  <r>
    <x v="45"/>
    <n v="1190"/>
    <n v="1785"/>
    <n v="0.33"/>
    <s v="null"/>
    <x v="10"/>
    <m/>
    <n v="595"/>
    <m/>
    <m/>
  </r>
  <r>
    <x v="46"/>
    <n v="671"/>
    <n v="1316"/>
    <n v="0.49"/>
    <s v="null"/>
    <x v="10"/>
    <m/>
    <n v="645"/>
    <m/>
    <m/>
  </r>
  <r>
    <x v="47"/>
    <n v="1200"/>
    <n v="1950"/>
    <n v="0.38"/>
    <s v="null"/>
    <x v="10"/>
    <m/>
    <n v="750"/>
    <m/>
    <m/>
  </r>
  <r>
    <x v="48"/>
    <n v="199"/>
    <n v="504"/>
    <n v="0.61"/>
    <s v="null"/>
    <x v="10"/>
    <m/>
    <n v="305"/>
    <m/>
    <m/>
  </r>
  <r>
    <x v="49"/>
    <n v="299"/>
    <n v="600"/>
    <n v="0.5"/>
    <s v="null"/>
    <x v="10"/>
    <m/>
    <n v="301"/>
    <m/>
    <m/>
  </r>
  <r>
    <x v="50"/>
    <n v="1660"/>
    <n v="1699"/>
    <n v="0.02"/>
    <s v="null"/>
    <x v="10"/>
    <m/>
    <n v="39"/>
    <m/>
    <m/>
  </r>
  <r>
    <x v="51"/>
    <n v="299"/>
    <n v="384"/>
    <n v="0.22"/>
    <s v="null"/>
    <x v="10"/>
    <m/>
    <n v="85"/>
    <m/>
    <m/>
  </r>
  <r>
    <x v="52"/>
    <n v="1459"/>
    <n v="1499"/>
    <n v="0.03"/>
    <s v="null"/>
    <x v="10"/>
    <m/>
    <n v="40"/>
    <m/>
    <m/>
  </r>
  <r>
    <x v="53"/>
    <n v="799"/>
    <n v="1343"/>
    <n v="0.41"/>
    <s v="null"/>
    <x v="10"/>
    <m/>
    <n v="544"/>
    <m/>
    <m/>
  </r>
  <r>
    <x v="54"/>
    <n v="499"/>
    <n v="900"/>
    <n v="0.45"/>
    <s v="null"/>
    <x v="10"/>
    <m/>
    <n v="401"/>
    <m/>
    <m/>
  </r>
  <r>
    <x v="55"/>
    <n v="699"/>
    <n v="1343"/>
    <n v="0.48"/>
    <s v="null"/>
    <x v="10"/>
    <m/>
    <n v="644"/>
    <m/>
    <m/>
  </r>
  <r>
    <x v="56"/>
    <n v="799"/>
    <n v="1567"/>
    <n v="0.49"/>
    <s v="null"/>
    <x v="10"/>
    <m/>
    <n v="768"/>
    <m/>
    <m/>
  </r>
  <r>
    <x v="57"/>
    <n v="2799"/>
    <n v="3810"/>
    <n v="0.27"/>
    <s v="null"/>
    <x v="10"/>
    <m/>
    <n v="1011"/>
    <m/>
    <m/>
  </r>
  <r>
    <x v="54"/>
    <n v="399"/>
    <n v="896"/>
    <n v="0.55000000000000004"/>
    <s v="null"/>
    <x v="10"/>
    <m/>
    <n v="497"/>
    <m/>
    <m/>
  </r>
  <r>
    <x v="58"/>
    <n v="2170"/>
    <n v="2500"/>
    <n v="0.13"/>
    <n v="6"/>
    <x v="13"/>
    <s v="Poor"/>
    <n v="330"/>
    <m/>
    <m/>
  </r>
  <r>
    <x v="59"/>
    <n v="458"/>
    <n v="986"/>
    <n v="0.54"/>
    <n v="10"/>
    <x v="14"/>
    <s v="Average"/>
    <n v="528"/>
    <m/>
    <m/>
  </r>
  <r>
    <x v="60"/>
    <n v="2115"/>
    <n v="4700"/>
    <n v="0.55000000000000004"/>
    <n v="13"/>
    <x v="15"/>
    <s v="Poor"/>
    <n v="2585"/>
    <m/>
    <m/>
  </r>
  <r>
    <x v="61"/>
    <n v="445"/>
    <n v="873"/>
    <n v="0.49"/>
    <n v="69"/>
    <x v="16"/>
    <s v="Poor"/>
    <n v="428"/>
    <m/>
    <m/>
  </r>
  <r>
    <x v="62"/>
    <n v="325"/>
    <n v="680"/>
    <n v="0.52"/>
    <n v="15"/>
    <x v="17"/>
    <s v="Poor"/>
    <n v="355"/>
    <m/>
    <m/>
  </r>
  <r>
    <x v="63"/>
    <n v="1220"/>
    <n v="1555"/>
    <n v="0.22"/>
    <n v="16"/>
    <x v="18"/>
    <s v="Poor"/>
    <n v="335"/>
    <m/>
    <m/>
  </r>
  <r>
    <x v="64"/>
    <n v="990"/>
    <n v="1814"/>
    <n v="0.45"/>
    <n v="6"/>
    <x v="19"/>
    <s v="Poor"/>
    <n v="824"/>
    <m/>
    <m/>
  </r>
  <r>
    <x v="65"/>
    <n v="1000"/>
    <n v="2000"/>
    <n v="0.5"/>
    <n v="7"/>
    <x v="20"/>
    <s v="Poor"/>
    <n v="1000"/>
    <m/>
    <m/>
  </r>
  <r>
    <x v="66"/>
    <n v="3750"/>
    <n v="6143"/>
    <n v="0.39"/>
    <n v="5"/>
    <x v="14"/>
    <s v="Average"/>
    <n v="2393"/>
    <m/>
    <m/>
  </r>
  <r>
    <x v="67"/>
    <n v="382"/>
    <n v="700"/>
    <n v="0.45"/>
    <n v="17"/>
    <x v="21"/>
    <s v="Poor"/>
    <n v="318"/>
    <m/>
    <m/>
  </r>
  <r>
    <x v="68"/>
    <n v="2300"/>
    <n v="3240"/>
    <n v="0.28999999999999998"/>
    <n v="5"/>
    <x v="14"/>
    <s v="Average"/>
    <n v="940"/>
    <m/>
    <m/>
  </r>
  <r>
    <x v="69"/>
    <n v="345"/>
    <n v="602"/>
    <n v="0.43"/>
    <n v="6"/>
    <x v="20"/>
    <s v="Poor"/>
    <n v="257"/>
    <m/>
    <m/>
  </r>
  <r>
    <x v="70"/>
    <n v="509"/>
    <n v="899"/>
    <n v="0.43"/>
    <n v="5"/>
    <x v="14"/>
    <s v="Average"/>
    <n v="390"/>
    <m/>
    <m/>
  </r>
  <r>
    <x v="71"/>
    <n v="968"/>
    <n v="1814"/>
    <n v="0.47"/>
    <n v="6"/>
    <x v="19"/>
    <s v="Poor"/>
    <n v="846"/>
    <m/>
    <m/>
  </r>
  <r>
    <x v="72"/>
    <n v="1570"/>
    <n v="2988"/>
    <n v="0.47"/>
    <n v="7"/>
    <x v="15"/>
    <s v="Poor"/>
    <n v="1418"/>
    <m/>
    <m/>
  </r>
  <r>
    <x v="73"/>
    <n v="790"/>
    <n v="1485"/>
    <n v="0.47"/>
    <s v="null"/>
    <x v="10"/>
    <m/>
    <n v="695"/>
    <m/>
    <m/>
  </r>
  <r>
    <x v="74"/>
    <n v="690"/>
    <n v="1200"/>
    <n v="0.43"/>
    <s v="null"/>
    <x v="10"/>
    <m/>
    <n v="510"/>
    <m/>
    <m/>
  </r>
  <r>
    <x v="75"/>
    <n v="1732"/>
    <n v="1799"/>
    <n v="0.04"/>
    <s v="null"/>
    <x v="10"/>
    <m/>
    <n v="67"/>
    <m/>
    <m/>
  </r>
  <r>
    <x v="76"/>
    <n v="230"/>
    <n v="450"/>
    <n v="0.49"/>
    <s v="null"/>
    <x v="10"/>
    <m/>
    <n v="220"/>
    <m/>
    <m/>
  </r>
  <r>
    <x v="77"/>
    <n v="1189"/>
    <n v="2199"/>
    <n v="0.46"/>
    <n v="1"/>
    <x v="14"/>
    <s v="Average"/>
    <n v="1010"/>
    <m/>
    <m/>
  </r>
  <r>
    <x v="78"/>
    <n v="979"/>
    <n v="1920"/>
    <n v="0.49"/>
    <n v="1"/>
    <x v="8"/>
    <s v="Excellent"/>
    <n v="941"/>
    <m/>
    <m/>
  </r>
  <r>
    <x v="79"/>
    <n v="1460"/>
    <n v="2290"/>
    <n v="0.36"/>
    <s v="null"/>
    <x v="10"/>
    <m/>
    <n v="830"/>
    <m/>
    <m/>
  </r>
  <r>
    <x v="80"/>
    <n v="1666"/>
    <n v="1699"/>
    <n v="0.02"/>
    <s v="null"/>
    <x v="10"/>
    <m/>
    <n v="33"/>
    <m/>
    <m/>
  </r>
  <r>
    <x v="81"/>
    <n v="330"/>
    <n v="647"/>
    <n v="0.49"/>
    <n v="1"/>
    <x v="5"/>
    <s v="Average"/>
    <n v="317"/>
    <m/>
    <m/>
  </r>
  <r>
    <x v="48"/>
    <n v="176"/>
    <n v="345"/>
    <n v="0.49"/>
    <s v="null"/>
    <x v="10"/>
    <m/>
    <n v="169"/>
    <m/>
    <m/>
  </r>
  <r>
    <x v="82"/>
    <n v="1466"/>
    <n v="1699"/>
    <n v="0.14000000000000001"/>
    <s v="null"/>
    <x v="10"/>
    <m/>
    <n v="233"/>
    <m/>
    <m/>
  </r>
  <r>
    <x v="83"/>
    <n v="274"/>
    <n v="537"/>
    <n v="0.49"/>
    <s v="null"/>
    <x v="10"/>
    <m/>
    <n v="263"/>
    <m/>
    <m/>
  </r>
  <r>
    <x v="84"/>
    <n v="799"/>
    <n v="900"/>
    <n v="0.11"/>
    <s v="null"/>
    <x v="10"/>
    <m/>
    <n v="101"/>
    <m/>
    <m/>
  </r>
  <r>
    <x v="56"/>
    <n v="657"/>
    <n v="1288"/>
    <n v="0.49"/>
    <s v="null"/>
    <x v="10"/>
    <m/>
    <n v="631"/>
    <m/>
    <m/>
  </r>
  <r>
    <x v="85"/>
    <n v="1468"/>
    <n v="1699"/>
    <n v="0.14000000000000001"/>
    <s v="null"/>
    <x v="10"/>
    <m/>
    <n v="231"/>
    <m/>
    <m/>
  </r>
  <r>
    <x v="86"/>
    <n v="630"/>
    <n v="1100"/>
    <n v="0.43"/>
    <s v="null"/>
    <x v="10"/>
    <m/>
    <n v="470"/>
    <m/>
    <m/>
  </r>
  <r>
    <x v="87"/>
    <n v="850"/>
    <n v="1700"/>
    <n v="0.5"/>
    <s v="null"/>
    <x v="10"/>
    <m/>
    <n v="850"/>
    <m/>
    <m/>
  </r>
  <r>
    <x v="88"/>
    <n v="1300"/>
    <n v="2500"/>
    <n v="0.48"/>
    <s v="null"/>
    <x v="10"/>
    <m/>
    <n v="1200"/>
    <m/>
    <m/>
  </r>
  <r>
    <x v="89"/>
    <n v="105"/>
    <n v="200"/>
    <n v="0.48"/>
    <s v="null"/>
    <x v="10"/>
    <m/>
    <n v="95"/>
    <m/>
    <m/>
  </r>
  <r>
    <x v="90"/>
    <n v="899"/>
    <n v="1699"/>
    <n v="0.47"/>
    <s v="null"/>
    <x v="10"/>
    <m/>
    <n v="800"/>
    <m/>
    <m/>
  </r>
  <r>
    <x v="91"/>
    <n v="1200"/>
    <n v="2400"/>
    <n v="0.5"/>
    <s v="null"/>
    <x v="10"/>
    <m/>
    <n v="1200"/>
    <m/>
    <m/>
  </r>
  <r>
    <x v="92"/>
    <n v="1526"/>
    <n v="1660"/>
    <n v="0.08"/>
    <s v="null"/>
    <x v="10"/>
    <m/>
    <n v="134"/>
    <m/>
    <m/>
  </r>
  <r>
    <x v="93"/>
    <n v="1462"/>
    <n v="1499"/>
    <n v="0.02"/>
    <s v="null"/>
    <x v="10"/>
    <m/>
    <n v="37"/>
    <m/>
    <m/>
  </r>
  <r>
    <x v="94"/>
    <n v="248"/>
    <n v="486"/>
    <n v="0.49"/>
    <s v="null"/>
    <x v="10"/>
    <m/>
    <n v="238"/>
    <m/>
    <m/>
  </r>
  <r>
    <x v="95"/>
    <n v="3546"/>
    <n v="3699"/>
    <n v="0.04"/>
    <s v="null"/>
    <x v="10"/>
    <m/>
    <n v="153"/>
    <m/>
    <m/>
  </r>
  <r>
    <x v="96"/>
    <n v="525"/>
    <n v="1029"/>
    <n v="0.49"/>
    <s v="null"/>
    <x v="10"/>
    <m/>
    <n v="504"/>
    <m/>
    <m/>
  </r>
  <r>
    <x v="97"/>
    <n v="1080"/>
    <n v="1874"/>
    <n v="0.42"/>
    <s v="null"/>
    <x v="10"/>
    <m/>
    <n v="794"/>
    <m/>
    <m/>
  </r>
  <r>
    <x v="98"/>
    <n v="3640"/>
    <n v="4588"/>
    <n v="0.21"/>
    <n v="1"/>
    <x v="8"/>
    <s v="Excellent"/>
    <n v="948"/>
    <m/>
    <m/>
  </r>
  <r>
    <x v="99"/>
    <n v="1420"/>
    <n v="2420"/>
    <n v="0.41"/>
    <s v="null"/>
    <x v="10"/>
    <m/>
    <n v="1000"/>
    <m/>
    <m/>
  </r>
  <r>
    <x v="100"/>
    <n v="1875"/>
    <n v="1899"/>
    <n v="0.01"/>
    <s v="null"/>
    <x v="10"/>
    <m/>
    <n v="24"/>
    <m/>
    <m/>
  </r>
  <r>
    <x v="101"/>
    <n v="198"/>
    <n v="260"/>
    <n v="0.24"/>
    <s v="null"/>
    <x v="10"/>
    <m/>
    <n v="62"/>
    <m/>
    <m/>
  </r>
  <r>
    <x v="102"/>
    <n v="1150"/>
    <n v="1737"/>
    <n v="0.34"/>
    <s v="null"/>
    <x v="10"/>
    <m/>
    <n v="587"/>
    <m/>
    <m/>
  </r>
  <r>
    <x v="103"/>
    <n v="1190"/>
    <n v="1810"/>
    <n v="0.34"/>
    <s v="null"/>
    <x v="10"/>
    <m/>
    <n v="620"/>
    <m/>
    <m/>
  </r>
  <r>
    <x v="104"/>
    <n v="1658"/>
    <n v="1699"/>
    <n v="0.02"/>
    <s v="null"/>
    <x v="10"/>
    <m/>
    <n v="41"/>
    <m/>
    <m/>
  </r>
  <r>
    <x v="105"/>
    <n v="1768"/>
    <n v="1799"/>
    <n v="0.02"/>
    <s v="null"/>
    <x v="10"/>
    <m/>
    <n v="31"/>
    <m/>
    <m/>
  </r>
  <r>
    <x v="106"/>
    <n v="199"/>
    <n v="553"/>
    <n v="0.64"/>
    <s v="null"/>
    <x v="10"/>
    <m/>
    <n v="354"/>
    <m/>
    <m/>
  </r>
  <r>
    <x v="107"/>
    <n v="450"/>
    <n v="900"/>
    <n v="0.5"/>
    <n v="1"/>
    <x v="22"/>
    <s v="Poor"/>
    <n v="450"/>
    <m/>
    <m/>
  </r>
  <r>
    <x v="108"/>
    <n v="169"/>
    <n v="320"/>
    <n v="0.47"/>
    <s v="null"/>
    <x v="10"/>
    <m/>
    <n v="151"/>
    <m/>
    <m/>
  </r>
  <r>
    <x v="109"/>
    <m/>
    <m/>
    <m/>
    <m/>
    <x v="23"/>
    <m/>
    <m/>
    <m/>
    <m/>
  </r>
  <r>
    <x v="109"/>
    <n v="1188.5"/>
    <n v="1815.5714285714287"/>
    <n v="0.36776785714285715"/>
    <n v="723"/>
    <x v="24"/>
    <m/>
    <m/>
    <m/>
    <m/>
  </r>
  <r>
    <x v="109"/>
    <m/>
    <m/>
    <m/>
    <m/>
    <x v="23"/>
    <m/>
    <m/>
    <m/>
    <m/>
  </r>
  <r>
    <x v="109"/>
    <n v="3750"/>
    <m/>
    <m/>
    <m/>
    <x v="23"/>
    <m/>
    <m/>
    <m/>
    <m/>
  </r>
  <r>
    <x v="109"/>
    <n v="38"/>
    <m/>
    <m/>
    <m/>
    <x v="23"/>
    <m/>
    <m/>
    <m/>
    <m/>
  </r>
  <r>
    <x v="109"/>
    <m/>
    <m/>
    <m/>
    <m/>
    <x v="23"/>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3220"/>
    <x v="0"/>
    <x v="0"/>
    <x v="0"/>
    <s v="Excellent"/>
    <n v="1360"/>
    <m/>
    <s v="High Discount"/>
  </r>
  <r>
    <x v="1"/>
    <x v="1"/>
    <n v="4080"/>
    <x v="1"/>
    <x v="0"/>
    <x v="0"/>
    <s v="Excellent"/>
    <n v="1880"/>
    <m/>
    <s v="High Discount"/>
  </r>
  <r>
    <x v="2"/>
    <x v="2"/>
    <n v="4471"/>
    <x v="2"/>
    <x v="0"/>
    <x v="0"/>
    <s v="Excellent"/>
    <n v="1721"/>
    <m/>
    <s v="Medium Discount"/>
  </r>
  <r>
    <x v="3"/>
    <x v="3"/>
    <n v="931"/>
    <x v="3"/>
    <x v="0"/>
    <x v="0"/>
    <s v="Excellent"/>
    <n v="456"/>
    <m/>
    <s v="High Discount"/>
  </r>
  <r>
    <x v="4"/>
    <x v="4"/>
    <n v="476"/>
    <x v="4"/>
    <x v="0"/>
    <x v="0"/>
    <s v="Excellent"/>
    <n v="238"/>
    <m/>
    <s v="High Discount"/>
  </r>
  <r>
    <x v="5"/>
    <x v="5"/>
    <n v="1060"/>
    <x v="0"/>
    <x v="0"/>
    <x v="0"/>
    <s v="Excellent"/>
    <n v="450"/>
    <m/>
    <s v="High Discount"/>
  </r>
  <r>
    <x v="6"/>
    <x v="6"/>
    <n v="2169"/>
    <x v="5"/>
    <x v="0"/>
    <x v="0"/>
    <s v="Excellent"/>
    <n v="37"/>
    <m/>
    <s v="Low Discount"/>
  </r>
  <r>
    <x v="7"/>
    <x v="7"/>
    <n v="2000"/>
    <x v="4"/>
    <x v="0"/>
    <x v="0"/>
    <s v="Excellent"/>
    <n v="1001"/>
    <m/>
    <s v="High Discount"/>
  </r>
  <r>
    <x v="8"/>
    <x v="8"/>
    <n v="1785"/>
    <x v="6"/>
    <x v="0"/>
    <x v="0"/>
    <s v="Excellent"/>
    <n v="595"/>
    <m/>
    <s v="Medium Discount"/>
  </r>
  <r>
    <x v="9"/>
    <x v="9"/>
    <n v="1316"/>
    <x v="3"/>
    <x v="0"/>
    <x v="0"/>
    <s v="Excellent"/>
    <n v="645"/>
    <m/>
    <s v="High Discount"/>
  </r>
  <r>
    <x v="10"/>
    <x v="10"/>
    <n v="1950"/>
    <x v="2"/>
    <x v="0"/>
    <x v="0"/>
    <s v="Excellent"/>
    <n v="750"/>
    <m/>
    <s v="Medium Discount"/>
  </r>
  <r>
    <x v="11"/>
    <x v="11"/>
    <n v="504"/>
    <x v="7"/>
    <x v="0"/>
    <x v="0"/>
    <s v="Excellent"/>
    <n v="305"/>
    <m/>
    <s v="High Discount"/>
  </r>
  <r>
    <x v="12"/>
    <x v="12"/>
    <n v="600"/>
    <x v="4"/>
    <x v="0"/>
    <x v="0"/>
    <s v="Excellent"/>
    <n v="301"/>
    <m/>
    <s v="High Discount"/>
  </r>
  <r>
    <x v="13"/>
    <x v="13"/>
    <n v="1699"/>
    <x v="5"/>
    <x v="0"/>
    <x v="0"/>
    <s v="Excellent"/>
    <n v="39"/>
    <m/>
    <s v="Low Discount"/>
  </r>
  <r>
    <x v="14"/>
    <x v="12"/>
    <n v="384"/>
    <x v="8"/>
    <x v="0"/>
    <x v="0"/>
    <s v="Excellent"/>
    <n v="85"/>
    <m/>
    <s v="Medium Discount"/>
  </r>
  <r>
    <x v="15"/>
    <x v="14"/>
    <n v="1499"/>
    <x v="9"/>
    <x v="0"/>
    <x v="0"/>
    <s v="Excellent"/>
    <n v="40"/>
    <m/>
    <s v="Low Discount"/>
  </r>
  <r>
    <x v="16"/>
    <x v="15"/>
    <n v="1343"/>
    <x v="10"/>
    <x v="0"/>
    <x v="0"/>
    <s v="Excellent"/>
    <n v="544"/>
    <m/>
    <s v="High Discount"/>
  </r>
  <r>
    <x v="17"/>
    <x v="16"/>
    <n v="900"/>
    <x v="11"/>
    <x v="0"/>
    <x v="0"/>
    <s v="Excellent"/>
    <n v="401"/>
    <m/>
    <s v="High Discount"/>
  </r>
  <r>
    <x v="18"/>
    <x v="17"/>
    <n v="1343"/>
    <x v="12"/>
    <x v="0"/>
    <x v="0"/>
    <s v="Excellent"/>
    <n v="644"/>
    <m/>
    <s v="High Discount"/>
  </r>
  <r>
    <x v="19"/>
    <x v="15"/>
    <n v="1567"/>
    <x v="3"/>
    <x v="0"/>
    <x v="0"/>
    <s v="Excellent"/>
    <n v="768"/>
    <m/>
    <s v="High Discount"/>
  </r>
  <r>
    <x v="20"/>
    <x v="18"/>
    <n v="3810"/>
    <x v="13"/>
    <x v="0"/>
    <x v="0"/>
    <s v="Excellent"/>
    <n v="1011"/>
    <m/>
    <s v="Medium Discount"/>
  </r>
  <r>
    <x v="17"/>
    <x v="19"/>
    <n v="896"/>
    <x v="14"/>
    <x v="0"/>
    <x v="0"/>
    <s v="Excellent"/>
    <n v="497"/>
    <m/>
    <s v="High Discount"/>
  </r>
  <r>
    <x v="21"/>
    <x v="20"/>
    <n v="1485"/>
    <x v="15"/>
    <x v="0"/>
    <x v="0"/>
    <s v="Excellent"/>
    <n v="695"/>
    <m/>
    <s v="High Discount"/>
  </r>
  <r>
    <x v="22"/>
    <x v="21"/>
    <n v="1200"/>
    <x v="16"/>
    <x v="0"/>
    <x v="0"/>
    <s v="Excellent"/>
    <n v="510"/>
    <m/>
    <s v="High Discount"/>
  </r>
  <r>
    <x v="23"/>
    <x v="22"/>
    <n v="1799"/>
    <x v="17"/>
    <x v="0"/>
    <x v="0"/>
    <s v="Excellent"/>
    <n v="67"/>
    <m/>
    <s v="Low Discount"/>
  </r>
  <r>
    <x v="24"/>
    <x v="23"/>
    <n v="450"/>
    <x v="3"/>
    <x v="0"/>
    <x v="0"/>
    <s v="Excellent"/>
    <n v="220"/>
    <m/>
    <s v="High Discount"/>
  </r>
  <r>
    <x v="25"/>
    <x v="24"/>
    <n v="2290"/>
    <x v="18"/>
    <x v="0"/>
    <x v="0"/>
    <s v="Excellent"/>
    <n v="830"/>
    <m/>
    <s v="Medium Discount"/>
  </r>
  <r>
    <x v="26"/>
    <x v="25"/>
    <n v="1699"/>
    <x v="5"/>
    <x v="0"/>
    <x v="0"/>
    <s v="Excellent"/>
    <n v="33"/>
    <m/>
    <s v="Low Discount"/>
  </r>
  <r>
    <x v="11"/>
    <x v="26"/>
    <n v="345"/>
    <x v="3"/>
    <x v="0"/>
    <x v="0"/>
    <s v="Excellent"/>
    <n v="169"/>
    <m/>
    <s v="High Discount"/>
  </r>
  <r>
    <x v="27"/>
    <x v="27"/>
    <n v="1699"/>
    <x v="19"/>
    <x v="0"/>
    <x v="0"/>
    <s v="Excellent"/>
    <n v="233"/>
    <m/>
    <s v="Low Discount"/>
  </r>
  <r>
    <x v="28"/>
    <x v="28"/>
    <n v="537"/>
    <x v="3"/>
    <x v="0"/>
    <x v="0"/>
    <s v="Excellent"/>
    <n v="263"/>
    <m/>
    <s v="High Discount"/>
  </r>
  <r>
    <x v="29"/>
    <x v="15"/>
    <n v="900"/>
    <x v="20"/>
    <x v="0"/>
    <x v="0"/>
    <s v="Excellent"/>
    <n v="101"/>
    <m/>
    <s v="Low Discount"/>
  </r>
  <r>
    <x v="19"/>
    <x v="29"/>
    <n v="1288"/>
    <x v="3"/>
    <x v="0"/>
    <x v="0"/>
    <s v="Excellent"/>
    <n v="631"/>
    <m/>
    <s v="High Discount"/>
  </r>
  <r>
    <x v="30"/>
    <x v="30"/>
    <n v="1699"/>
    <x v="19"/>
    <x v="0"/>
    <x v="0"/>
    <s v="Excellent"/>
    <n v="231"/>
    <m/>
    <s v="Low Discount"/>
  </r>
  <r>
    <x v="31"/>
    <x v="31"/>
    <n v="1100"/>
    <x v="16"/>
    <x v="0"/>
    <x v="0"/>
    <s v="Excellent"/>
    <n v="470"/>
    <m/>
    <s v="High Discount"/>
  </r>
  <r>
    <x v="32"/>
    <x v="32"/>
    <n v="1700"/>
    <x v="4"/>
    <x v="0"/>
    <x v="0"/>
    <s v="Excellent"/>
    <n v="850"/>
    <m/>
    <s v="High Discount"/>
  </r>
  <r>
    <x v="33"/>
    <x v="33"/>
    <n v="2500"/>
    <x v="12"/>
    <x v="0"/>
    <x v="0"/>
    <s v="Excellent"/>
    <n v="1200"/>
    <m/>
    <s v="High Discount"/>
  </r>
  <r>
    <x v="34"/>
    <x v="34"/>
    <n v="200"/>
    <x v="12"/>
    <x v="0"/>
    <x v="0"/>
    <s v="Excellent"/>
    <n v="95"/>
    <m/>
    <s v="High Discount"/>
  </r>
  <r>
    <x v="35"/>
    <x v="35"/>
    <n v="1699"/>
    <x v="15"/>
    <x v="0"/>
    <x v="0"/>
    <s v="Excellent"/>
    <n v="800"/>
    <m/>
    <s v="High Discount"/>
  </r>
  <r>
    <x v="36"/>
    <x v="10"/>
    <n v="2400"/>
    <x v="4"/>
    <x v="0"/>
    <x v="0"/>
    <s v="Excellent"/>
    <n v="1200"/>
    <m/>
    <s v="High Discount"/>
  </r>
  <r>
    <x v="37"/>
    <x v="36"/>
    <n v="1660"/>
    <x v="21"/>
    <x v="0"/>
    <x v="0"/>
    <s v="Excellent"/>
    <n v="134"/>
    <m/>
    <s v="Low Discount"/>
  </r>
  <r>
    <x v="38"/>
    <x v="37"/>
    <n v="1499"/>
    <x v="5"/>
    <x v="0"/>
    <x v="0"/>
    <s v="Excellent"/>
    <n v="37"/>
    <m/>
    <s v="Low Discount"/>
  </r>
  <r>
    <x v="39"/>
    <x v="38"/>
    <n v="486"/>
    <x v="3"/>
    <x v="0"/>
    <x v="0"/>
    <s v="Excellent"/>
    <n v="238"/>
    <m/>
    <s v="High Discount"/>
  </r>
  <r>
    <x v="40"/>
    <x v="39"/>
    <n v="3699"/>
    <x v="17"/>
    <x v="0"/>
    <x v="0"/>
    <s v="Excellent"/>
    <n v="153"/>
    <m/>
    <s v="Low Discount"/>
  </r>
  <r>
    <x v="41"/>
    <x v="40"/>
    <n v="1029"/>
    <x v="3"/>
    <x v="0"/>
    <x v="0"/>
    <s v="Excellent"/>
    <n v="504"/>
    <m/>
    <s v="High Discount"/>
  </r>
  <r>
    <x v="42"/>
    <x v="41"/>
    <n v="1874"/>
    <x v="0"/>
    <x v="0"/>
    <x v="0"/>
    <s v="Excellent"/>
    <n v="794"/>
    <m/>
    <s v="High Discount"/>
  </r>
  <r>
    <x v="43"/>
    <x v="42"/>
    <n v="2420"/>
    <x v="10"/>
    <x v="0"/>
    <x v="0"/>
    <s v="Excellent"/>
    <n v="1000"/>
    <m/>
    <s v="High Discount"/>
  </r>
  <r>
    <x v="44"/>
    <x v="43"/>
    <n v="1899"/>
    <x v="22"/>
    <x v="0"/>
    <x v="0"/>
    <s v="Excellent"/>
    <n v="24"/>
    <m/>
    <s v="Low Discount"/>
  </r>
  <r>
    <x v="45"/>
    <x v="44"/>
    <n v="260"/>
    <x v="23"/>
    <x v="0"/>
    <x v="0"/>
    <s v="Excellent"/>
    <n v="62"/>
    <m/>
    <s v="Medium Discount"/>
  </r>
  <r>
    <x v="46"/>
    <x v="45"/>
    <n v="1737"/>
    <x v="24"/>
    <x v="0"/>
    <x v="0"/>
    <s v="Excellent"/>
    <n v="587"/>
    <m/>
    <s v="Medium Discount"/>
  </r>
  <r>
    <x v="47"/>
    <x v="8"/>
    <n v="1810"/>
    <x v="24"/>
    <x v="0"/>
    <x v="0"/>
    <s v="Excellent"/>
    <n v="620"/>
    <m/>
    <s v="Medium Discount"/>
  </r>
  <r>
    <x v="48"/>
    <x v="46"/>
    <n v="1699"/>
    <x v="5"/>
    <x v="0"/>
    <x v="0"/>
    <s v="Excellent"/>
    <n v="41"/>
    <m/>
    <s v="Low Discount"/>
  </r>
  <r>
    <x v="49"/>
    <x v="47"/>
    <n v="1799"/>
    <x v="5"/>
    <x v="0"/>
    <x v="0"/>
    <s v="Excellent"/>
    <n v="31"/>
    <m/>
    <s v="Low Discount"/>
  </r>
  <r>
    <x v="50"/>
    <x v="11"/>
    <n v="553"/>
    <x v="25"/>
    <x v="0"/>
    <x v="0"/>
    <s v="Excellent"/>
    <n v="354"/>
    <m/>
    <s v="High Discount"/>
  </r>
  <r>
    <x v="51"/>
    <x v="48"/>
    <n v="320"/>
    <x v="15"/>
    <x v="0"/>
    <x v="0"/>
    <s v="Excellent"/>
    <n v="151"/>
    <m/>
    <s v="High Discount"/>
  </r>
  <r>
    <x v="52"/>
    <x v="49"/>
    <n v="684"/>
    <x v="26"/>
    <x v="1"/>
    <x v="1"/>
    <s v="Excellent"/>
    <n v="352"/>
    <m/>
    <s v="High Discount"/>
  </r>
  <r>
    <x v="53"/>
    <x v="50"/>
    <n v="360"/>
    <x v="1"/>
    <x v="1"/>
    <x v="1"/>
    <s v="Excellent"/>
    <n v="165"/>
    <m/>
    <s v="High Discount"/>
  </r>
  <r>
    <x v="54"/>
    <x v="51"/>
    <n v="3971"/>
    <x v="3"/>
    <x v="2"/>
    <x v="1"/>
    <s v="Excellent"/>
    <n v="1946"/>
    <m/>
    <s v="High Discount"/>
  </r>
  <r>
    <x v="55"/>
    <x v="52"/>
    <n v="2690"/>
    <x v="27"/>
    <x v="3"/>
    <x v="1"/>
    <s v="Excellent"/>
    <n v="1070"/>
    <m/>
    <s v="Medium Discount"/>
  </r>
  <r>
    <x v="56"/>
    <x v="53"/>
    <n v="360"/>
    <x v="28"/>
    <x v="1"/>
    <x v="1"/>
    <s v="Excellent"/>
    <n v="189"/>
    <m/>
    <s v="High Discount"/>
  </r>
  <r>
    <x v="57"/>
    <x v="54"/>
    <n v="1920"/>
    <x v="3"/>
    <x v="3"/>
    <x v="1"/>
    <s v="Excellent"/>
    <n v="941"/>
    <m/>
    <s v="High Discount"/>
  </r>
  <r>
    <x v="58"/>
    <x v="55"/>
    <n v="4588"/>
    <x v="29"/>
    <x v="3"/>
    <x v="1"/>
    <s v="Excellent"/>
    <n v="948"/>
    <m/>
    <s v="Medium Discount"/>
  </r>
  <r>
    <x v="59"/>
    <x v="56"/>
    <n v="2356"/>
    <x v="30"/>
    <x v="4"/>
    <x v="2"/>
    <s v="Excellent"/>
    <n v="616"/>
    <m/>
    <s v="Medium Discount"/>
  </r>
  <r>
    <x v="60"/>
    <x v="57"/>
    <n v="2800"/>
    <x v="14"/>
    <x v="4"/>
    <x v="2"/>
    <s v="Excellent"/>
    <n v="1526"/>
    <m/>
    <s v="High Discount"/>
  </r>
  <r>
    <x v="61"/>
    <x v="58"/>
    <n v="1035"/>
    <x v="15"/>
    <x v="5"/>
    <x v="2"/>
    <s v="Excellent"/>
    <n v="483"/>
    <m/>
    <s v="High Discount"/>
  </r>
  <r>
    <x v="62"/>
    <x v="59"/>
    <n v="2499"/>
    <x v="31"/>
    <x v="6"/>
    <x v="3"/>
    <s v="Excellent"/>
    <n v="919"/>
    <m/>
    <s v="Medium Discount"/>
  </r>
  <r>
    <x v="63"/>
    <x v="60"/>
    <n v="1500"/>
    <x v="24"/>
    <x v="7"/>
    <x v="3"/>
    <s v="Excellent"/>
    <n v="510"/>
    <m/>
    <s v="Medium Discount"/>
  </r>
  <r>
    <x v="64"/>
    <x v="61"/>
    <n v="1490"/>
    <x v="24"/>
    <x v="5"/>
    <x v="3"/>
    <s v="Excellent"/>
    <n v="510"/>
    <m/>
    <s v="Medium Discount"/>
  </r>
  <r>
    <x v="65"/>
    <x v="62"/>
    <n v="2650"/>
    <x v="13"/>
    <x v="8"/>
    <x v="3"/>
    <s v="Excellent"/>
    <n v="710"/>
    <m/>
    <s v="Medium Discount"/>
  </r>
  <r>
    <x v="66"/>
    <x v="63"/>
    <n v="2923"/>
    <x v="32"/>
    <x v="9"/>
    <x v="4"/>
    <s v="Excellent"/>
    <n v="724"/>
    <m/>
    <s v="Medium Discount"/>
  </r>
  <r>
    <x v="67"/>
    <x v="64"/>
    <n v="3032"/>
    <x v="23"/>
    <x v="10"/>
    <x v="4"/>
    <s v="Excellent"/>
    <n v="713"/>
    <m/>
    <s v="Medium Discount"/>
  </r>
  <r>
    <x v="68"/>
    <x v="65"/>
    <n v="3699"/>
    <x v="33"/>
    <x v="4"/>
    <x v="4"/>
    <s v="Excellent"/>
    <n v="700"/>
    <m/>
    <s v="Low Discount"/>
  </r>
  <r>
    <x v="69"/>
    <x v="66"/>
    <n v="1966"/>
    <x v="3"/>
    <x v="11"/>
    <x v="4"/>
    <s v="Excellent"/>
    <n v="968"/>
    <m/>
    <s v="High Discount"/>
  </r>
  <r>
    <x v="70"/>
    <x v="67"/>
    <n v="647"/>
    <x v="34"/>
    <x v="12"/>
    <x v="4"/>
    <s v="Excellent"/>
    <n v="227"/>
    <m/>
    <s v="Medium Discount"/>
  </r>
  <r>
    <x v="71"/>
    <x v="68"/>
    <n v="1525"/>
    <x v="2"/>
    <x v="1"/>
    <x v="5"/>
    <s v="Average"/>
    <n v="575"/>
    <m/>
    <s v="Medium Discount"/>
  </r>
  <r>
    <x v="72"/>
    <x v="69"/>
    <n v="860"/>
    <x v="0"/>
    <x v="13"/>
    <x v="5"/>
    <s v="Average"/>
    <n v="359"/>
    <m/>
    <s v="High Discount"/>
  </r>
  <r>
    <x v="73"/>
    <x v="70"/>
    <n v="2699"/>
    <x v="13"/>
    <x v="14"/>
    <x v="5"/>
    <s v="Average"/>
    <n v="719"/>
    <m/>
    <s v="Medium Discount"/>
  </r>
  <r>
    <x v="74"/>
    <x v="70"/>
    <n v="3200"/>
    <x v="2"/>
    <x v="1"/>
    <x v="5"/>
    <s v="Average"/>
    <n v="1220"/>
    <m/>
    <s v="Medium Discount"/>
  </r>
  <r>
    <x v="75"/>
    <x v="71"/>
    <n v="2150"/>
    <x v="35"/>
    <x v="15"/>
    <x v="6"/>
    <s v="Average"/>
    <n v="500"/>
    <m/>
    <s v="Medium Discount"/>
  </r>
  <r>
    <x v="76"/>
    <x v="72"/>
    <n v="4500"/>
    <x v="36"/>
    <x v="6"/>
    <x v="7"/>
    <s v="Average"/>
    <n v="2452"/>
    <m/>
    <s v="High Discount"/>
  </r>
  <r>
    <x v="77"/>
    <x v="73"/>
    <n v="382"/>
    <x v="37"/>
    <x v="16"/>
    <x v="7"/>
    <s v="Average"/>
    <n v="197"/>
    <m/>
    <s v="High Discount"/>
  </r>
  <r>
    <x v="78"/>
    <x v="74"/>
    <n v="3490"/>
    <x v="12"/>
    <x v="16"/>
    <x v="7"/>
    <s v="Average"/>
    <n v="1670"/>
    <m/>
    <s v="High Discount"/>
  </r>
  <r>
    <x v="79"/>
    <x v="75"/>
    <n v="656"/>
    <x v="10"/>
    <x v="17"/>
    <x v="7"/>
    <s v="Average"/>
    <n v="267"/>
    <m/>
    <s v="High Discount"/>
  </r>
  <r>
    <x v="80"/>
    <x v="76"/>
    <n v="2499"/>
    <x v="6"/>
    <x v="16"/>
    <x v="8"/>
    <s v="Average"/>
    <n v="819"/>
    <m/>
    <s v="Medium Discount"/>
  </r>
  <r>
    <x v="81"/>
    <x v="77"/>
    <n v="999"/>
    <x v="15"/>
    <x v="15"/>
    <x v="9"/>
    <s v="Average"/>
    <n v="472"/>
    <m/>
    <s v="High Discount"/>
  </r>
  <r>
    <x v="82"/>
    <x v="15"/>
    <n v="999"/>
    <x v="38"/>
    <x v="5"/>
    <x v="9"/>
    <s v="Average"/>
    <n v="200"/>
    <m/>
    <s v="Medium Discount"/>
  </r>
  <r>
    <x v="83"/>
    <x v="78"/>
    <n v="2499"/>
    <x v="39"/>
    <x v="8"/>
    <x v="9"/>
    <s v="Average"/>
    <n v="741"/>
    <m/>
    <s v="Medium Discount"/>
  </r>
  <r>
    <x v="84"/>
    <x v="65"/>
    <n v="3290"/>
    <x v="40"/>
    <x v="18"/>
    <x v="10"/>
    <s v="Average"/>
    <n v="291"/>
    <m/>
    <s v="Low Discount"/>
  </r>
  <r>
    <x v="85"/>
    <x v="79"/>
    <n v="1580"/>
    <x v="31"/>
    <x v="1"/>
    <x v="10"/>
    <s v="Average"/>
    <n v="592"/>
    <m/>
    <s v="Medium Discount"/>
  </r>
  <r>
    <x v="86"/>
    <x v="80"/>
    <n v="1350"/>
    <x v="34"/>
    <x v="13"/>
    <x v="10"/>
    <s v="Average"/>
    <n v="470"/>
    <m/>
    <s v="Medium Discount"/>
  </r>
  <r>
    <x v="87"/>
    <x v="81"/>
    <n v="647"/>
    <x v="3"/>
    <x v="3"/>
    <x v="10"/>
    <s v="Average"/>
    <n v="317"/>
    <m/>
    <s v="High Discount"/>
  </r>
  <r>
    <x v="88"/>
    <x v="82"/>
    <n v="2929"/>
    <x v="11"/>
    <x v="4"/>
    <x v="11"/>
    <s v="Average"/>
    <n v="1329"/>
    <m/>
    <s v="High Discount"/>
  </r>
  <r>
    <x v="89"/>
    <x v="83"/>
    <n v="3520"/>
    <x v="41"/>
    <x v="5"/>
    <x v="11"/>
    <s v="Average"/>
    <n v="640"/>
    <m/>
    <s v="Low Discount"/>
  </r>
  <r>
    <x v="90"/>
    <x v="84"/>
    <n v="1990"/>
    <x v="42"/>
    <x v="19"/>
    <x v="11"/>
    <s v="Average"/>
    <n v="640"/>
    <m/>
    <s v="Medium Discount"/>
  </r>
  <r>
    <x v="91"/>
    <x v="85"/>
    <n v="80"/>
    <x v="28"/>
    <x v="19"/>
    <x v="12"/>
    <s v="Average"/>
    <n v="42"/>
    <m/>
    <s v="High Discount"/>
  </r>
  <r>
    <x v="92"/>
    <x v="86"/>
    <n v="986"/>
    <x v="36"/>
    <x v="20"/>
    <x v="13"/>
    <s v="Average"/>
    <n v="528"/>
    <m/>
    <s v="High Discount"/>
  </r>
  <r>
    <x v="93"/>
    <x v="87"/>
    <n v="6143"/>
    <x v="43"/>
    <x v="4"/>
    <x v="13"/>
    <s v="Average"/>
    <n v="2393"/>
    <m/>
    <s v="Medium Discount"/>
  </r>
  <r>
    <x v="94"/>
    <x v="88"/>
    <n v="3240"/>
    <x v="44"/>
    <x v="4"/>
    <x v="13"/>
    <s v="Average"/>
    <n v="940"/>
    <m/>
    <s v="Medium Discount"/>
  </r>
  <r>
    <x v="95"/>
    <x v="89"/>
    <n v="899"/>
    <x v="16"/>
    <x v="4"/>
    <x v="13"/>
    <s v="Average"/>
    <n v="390"/>
    <m/>
    <s v="High Discount"/>
  </r>
  <r>
    <x v="96"/>
    <x v="90"/>
    <n v="2199"/>
    <x v="1"/>
    <x v="3"/>
    <x v="13"/>
    <s v="Average"/>
    <n v="1010"/>
    <m/>
    <s v="High Discount"/>
  </r>
  <r>
    <x v="97"/>
    <x v="91"/>
    <n v="1555"/>
    <x v="8"/>
    <x v="21"/>
    <x v="14"/>
    <s v="Poor"/>
    <n v="335"/>
    <m/>
    <s v="Medium Discount"/>
  </r>
  <r>
    <x v="98"/>
    <x v="92"/>
    <n v="873"/>
    <x v="3"/>
    <x v="22"/>
    <x v="15"/>
    <s v="Poor"/>
    <n v="428"/>
    <m/>
    <s v="High Discount"/>
  </r>
  <r>
    <x v="99"/>
    <x v="93"/>
    <n v="680"/>
    <x v="37"/>
    <x v="18"/>
    <x v="16"/>
    <s v="Poor"/>
    <n v="355"/>
    <m/>
    <s v="High Discount"/>
  </r>
  <r>
    <x v="100"/>
    <x v="94"/>
    <n v="700"/>
    <x v="11"/>
    <x v="23"/>
    <x v="17"/>
    <s v="Poor"/>
    <n v="318"/>
    <m/>
    <s v="High Discount"/>
  </r>
  <r>
    <x v="101"/>
    <x v="95"/>
    <n v="2500"/>
    <x v="45"/>
    <x v="13"/>
    <x v="18"/>
    <s v="Poor"/>
    <n v="330"/>
    <m/>
    <s v="Low Discount"/>
  </r>
  <r>
    <x v="102"/>
    <x v="96"/>
    <n v="2000"/>
    <x v="4"/>
    <x v="6"/>
    <x v="19"/>
    <s v="Poor"/>
    <n v="1000"/>
    <m/>
    <s v="High Discount"/>
  </r>
  <r>
    <x v="103"/>
    <x v="97"/>
    <n v="602"/>
    <x v="16"/>
    <x v="13"/>
    <x v="19"/>
    <s v="Poor"/>
    <n v="257"/>
    <m/>
    <s v="High Discount"/>
  </r>
  <r>
    <x v="104"/>
    <x v="60"/>
    <n v="1814"/>
    <x v="11"/>
    <x v="13"/>
    <x v="20"/>
    <s v="Poor"/>
    <n v="824"/>
    <m/>
    <s v="High Discount"/>
  </r>
  <r>
    <x v="105"/>
    <x v="98"/>
    <n v="1814"/>
    <x v="15"/>
    <x v="13"/>
    <x v="20"/>
    <s v="Poor"/>
    <n v="846"/>
    <m/>
    <s v="High Discount"/>
  </r>
  <r>
    <x v="106"/>
    <x v="99"/>
    <n v="4700"/>
    <x v="14"/>
    <x v="19"/>
    <x v="21"/>
    <s v="Poor"/>
    <n v="2585"/>
    <m/>
    <s v="High Discount"/>
  </r>
  <r>
    <x v="107"/>
    <x v="100"/>
    <n v="2988"/>
    <x v="15"/>
    <x v="6"/>
    <x v="21"/>
    <s v="Poor"/>
    <n v="1418"/>
    <m/>
    <s v="High Discount"/>
  </r>
  <r>
    <x v="108"/>
    <x v="101"/>
    <n v="900"/>
    <x v="4"/>
    <x v="3"/>
    <x v="22"/>
    <s v="Poor"/>
    <n v="450"/>
    <m/>
    <s v="High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EA3E3D-FBB3-480B-931F-B4BAFDD5C732}"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4" firstHeaderRow="1" firstDataRow="1" firstDataCol="1"/>
  <pivotFields count="10">
    <pivotField axis="axisRow"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pivotField showAll="0"/>
    <pivotField dataField="1" showAll="0"/>
    <pivotField showAll="0"/>
    <pivotField showAll="0"/>
    <pivotField showAll="0"/>
    <pivotField showAll="0"/>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Sum of Ratings" fld="5" baseField="0"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00A37-5505-4DBA-9558-D6264F2D9FE5}"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3" firstHeaderRow="0" firstDataRow="1" firstDataCol="1"/>
  <pivotFields count="10">
    <pivotField axis="axisRow"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dataField="1" numFmtId="3" showAll="0">
      <items count="103">
        <item x="19"/>
        <item x="85"/>
        <item x="101"/>
        <item x="35"/>
        <item x="77"/>
        <item x="29"/>
        <item x="16"/>
        <item x="96"/>
        <item x="46"/>
        <item x="71"/>
        <item x="39"/>
        <item x="89"/>
        <item x="79"/>
        <item x="47"/>
        <item x="58"/>
        <item x="76"/>
        <item x="15"/>
        <item x="64"/>
        <item x="62"/>
        <item x="36"/>
        <item x="53"/>
        <item x="24"/>
        <item x="57"/>
        <item x="100"/>
        <item x="55"/>
        <item x="38"/>
        <item x="50"/>
        <item x="13"/>
        <item x="65"/>
        <item x="91"/>
        <item x="1"/>
        <item x="12"/>
        <item x="40"/>
        <item x="82"/>
        <item x="80"/>
        <item x="44"/>
        <item x="69"/>
        <item x="51"/>
        <item x="68"/>
        <item x="10"/>
        <item x="83"/>
        <item x="21"/>
        <item x="86"/>
        <item x="0"/>
        <item x="66"/>
        <item x="73"/>
        <item x="30"/>
        <item x="7"/>
        <item x="11"/>
        <item x="18"/>
        <item x="42"/>
        <item x="60"/>
        <item x="92"/>
        <item x="97"/>
        <item x="72"/>
        <item x="43"/>
        <item x="45"/>
        <item x="59"/>
        <item x="8"/>
        <item x="84"/>
        <item x="26"/>
        <item x="94"/>
        <item x="49"/>
        <item x="74"/>
        <item x="88"/>
        <item x="78"/>
        <item x="81"/>
        <item x="87"/>
        <item x="67"/>
        <item x="3"/>
        <item x="9"/>
        <item x="34"/>
        <item x="22"/>
        <item x="98"/>
        <item x="48"/>
        <item x="75"/>
        <item x="14"/>
        <item x="70"/>
        <item x="4"/>
        <item x="27"/>
        <item x="99"/>
        <item x="31"/>
        <item x="20"/>
        <item x="95"/>
        <item x="32"/>
        <item x="33"/>
        <item x="17"/>
        <item x="23"/>
        <item x="56"/>
        <item x="41"/>
        <item x="54"/>
        <item x="2"/>
        <item x="28"/>
        <item x="63"/>
        <item x="6"/>
        <item x="37"/>
        <item x="52"/>
        <item x="25"/>
        <item x="5"/>
        <item x="90"/>
        <item x="93"/>
        <item x="61"/>
        <item t="default"/>
      </items>
    </pivotField>
    <pivotField numFmtId="3" showAll="0"/>
    <pivotField dataField="1" numFmtId="9" showAll="0"/>
    <pivotField dataField="1" showAll="0"/>
    <pivotField dataField="1" showAll="0"/>
    <pivotField showAll="0"/>
    <pivotField numFmtId="3" showAll="0"/>
    <pivotField showAll="0"/>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5">
    <i>
      <x/>
    </i>
    <i i="1">
      <x v="1"/>
    </i>
    <i i="2">
      <x v="2"/>
    </i>
    <i i="3">
      <x v="3"/>
    </i>
    <i i="4">
      <x v="4"/>
    </i>
  </colItems>
  <dataFields count="5">
    <dataField name="Sum of Review" fld="4" baseField="0" baseItem="3"/>
    <dataField name="Average of Ratings" fld="5" subtotal="average" baseField="0" baseItem="3" numFmtId="165"/>
    <dataField name="Average of Discount" fld="3" subtotal="average" baseField="0" baseItem="3" numFmtId="9"/>
    <dataField name="Average of Current price" fld="1" subtotal="average" baseField="0" baseItem="3" numFmtId="3"/>
    <dataField name="Count of Product" fld="0" subtotal="count" baseField="0" baseItem="0"/>
  </dataFields>
  <formats count="2">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62B4D1-D92D-4B47-BA4D-D29BC5B72ACA}"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3" firstHeaderRow="0" firstDataRow="1" firstDataCol="1"/>
  <pivotFields count="10">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3" showAll="0"/>
    <pivotField numFmtId="3" showAll="0"/>
    <pivotField dataField="1" numFmtId="9" showAll="0"/>
    <pivotField dataField="1"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numFmtId="3" showAll="0"/>
    <pivotField showAll="0"/>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3">
    <i>
      <x/>
    </i>
    <i i="1">
      <x v="1"/>
    </i>
    <i i="2">
      <x v="2"/>
    </i>
  </colItems>
  <dataFields count="3">
    <dataField name="Sum of Ratings" fld="5" baseField="0" baseItem="0">
      <extLst>
        <ext xmlns:x14="http://schemas.microsoft.com/office/spreadsheetml/2009/9/main" uri="{E15A36E0-9728-4e99-A89B-3F7291B0FE68}">
          <x14:dataField pivotShowAs="rankDescending"/>
        </ext>
      </extLst>
    </dataField>
    <dataField name="Sum of Discount" fld="3" baseField="0" baseItem="0" numFmtId="9"/>
    <dataField name="Count of Review" fld="4" subtotal="count" baseField="0"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EFEDBA-A87D-409B-B7C9-9645854A37DD}"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0" firstHeaderRow="1" firstDataRow="1" firstDataCol="1"/>
  <pivotFields count="10">
    <pivotField showAll="0"/>
    <pivotField numFmtId="3" showAll="0"/>
    <pivotField numFmtId="3" showAll="0"/>
    <pivotField axis="axisRow"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dataField="1" showAll="0"/>
    <pivotField showAll="0"/>
    <pivotField showAll="0"/>
    <pivotField numFmtId="3" showAll="0"/>
    <pivotField showAll="0"/>
    <pivotField showAll="0"/>
  </pivotFields>
  <rowFields count="1">
    <field x="3"/>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Review"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E02625-EA20-4638-B234-BB0DC4676D03}"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C6" firstHeaderRow="0" firstDataRow="1" firstDataCol="1" rowPageCount="2" colPageCount="1"/>
  <pivotFields count="10">
    <pivotField showAll="0"/>
    <pivotField numFmtId="3" showAll="0"/>
    <pivotField numFmtId="3" showAll="0"/>
    <pivotField axis="axisPage"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dataField="1" showAll="0"/>
    <pivotField axis="axisPage"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numFmtId="3" showAll="0"/>
    <pivotField axis="axisRow" showAll="0">
      <items count="2">
        <item x="0"/>
        <item t="default"/>
      </items>
    </pivotField>
    <pivotField showAll="0"/>
  </pivotFields>
  <rowFields count="1">
    <field x="8"/>
  </rowFields>
  <rowItems count="2">
    <i>
      <x/>
    </i>
    <i t="grand">
      <x/>
    </i>
  </rowItems>
  <colFields count="1">
    <field x="-2"/>
  </colFields>
  <colItems count="2">
    <i>
      <x/>
    </i>
    <i i="1">
      <x v="1"/>
    </i>
  </colItems>
  <pageFields count="2">
    <pageField fld="5" hier="-1"/>
    <pageField fld="3" hier="-1"/>
  </pageFields>
  <dataFields count="2">
    <dataField name="Count of Ratings" fld="5" subtotal="count" baseField="0" baseItem="0"/>
    <dataField name="Count of Review" fld="4" subtotal="count" baseField="0" baseItem="0"/>
  </dataFields>
  <chartFormats count="1">
    <chartFormat chart="0"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C91706-44BD-4BB0-A929-F7045A37807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4" firstHeaderRow="1" firstDataRow="1" firstDataCol="1"/>
  <pivotFields count="1">
    <pivotField axis="axisRow" dataField="1" showAll="0">
      <items count="111">
        <item x="74"/>
        <item x="63"/>
        <item x="71"/>
        <item x="90"/>
        <item x="64"/>
        <item x="98"/>
        <item x="20"/>
        <item x="88"/>
        <item x="67"/>
        <item x="45"/>
        <item x="26"/>
        <item x="84"/>
        <item x="44"/>
        <item x="36"/>
        <item x="10"/>
        <item x="21"/>
        <item x="93"/>
        <item x="102"/>
        <item x="69"/>
        <item x="22"/>
        <item x="91"/>
        <item x="39"/>
        <item x="61"/>
        <item x="3"/>
        <item x="0"/>
        <item x="101"/>
        <item x="83"/>
        <item x="73"/>
        <item x="65"/>
        <item x="25"/>
        <item x="106"/>
        <item x="50"/>
        <item x="35"/>
        <item x="8"/>
        <item x="24"/>
        <item x="105"/>
        <item x="42"/>
        <item x="43"/>
        <item x="100"/>
        <item x="19"/>
        <item x="52"/>
        <item x="104"/>
        <item x="41"/>
        <item x="5"/>
        <item x="57"/>
        <item x="51"/>
        <item x="12"/>
        <item x="9"/>
        <item x="28"/>
        <item x="47"/>
        <item x="7"/>
        <item x="18"/>
        <item x="56"/>
        <item x="11"/>
        <item x="23"/>
        <item x="16"/>
        <item x="85"/>
        <item x="55"/>
        <item x="107"/>
        <item x="70"/>
        <item x="77"/>
        <item x="75"/>
        <item x="82"/>
        <item x="87"/>
        <item x="99"/>
        <item x="58"/>
        <item x="94"/>
        <item x="76"/>
        <item x="54"/>
        <item x="72"/>
        <item x="60"/>
        <item x="2"/>
        <item x="78"/>
        <item x="86"/>
        <item x="46"/>
        <item x="68"/>
        <item x="96"/>
        <item x="81"/>
        <item x="40"/>
        <item x="4"/>
        <item x="80"/>
        <item x="31"/>
        <item x="1"/>
        <item x="15"/>
        <item x="92"/>
        <item x="27"/>
        <item x="29"/>
        <item x="53"/>
        <item x="13"/>
        <item x="14"/>
        <item x="59"/>
        <item x="66"/>
        <item x="38"/>
        <item x="89"/>
        <item x="33"/>
        <item x="79"/>
        <item x="34"/>
        <item x="6"/>
        <item x="48"/>
        <item x="17"/>
        <item x="49"/>
        <item x="97"/>
        <item x="32"/>
        <item x="37"/>
        <item x="108"/>
        <item x="30"/>
        <item x="103"/>
        <item x="62"/>
        <item x="95"/>
        <item x="109"/>
        <item t="default"/>
      </items>
    </pivotField>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7F150C-0A04-4983-8DA2-0708345F9B68}"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4" firstHeaderRow="0" firstDataRow="1" firstDataCol="1"/>
  <pivotFields count="10">
    <pivotField axis="axisRow" showAll="0" measureFilter="1">
      <items count="110">
        <item x="74"/>
        <item x="63"/>
        <item x="71"/>
        <item x="90"/>
        <item x="64"/>
        <item x="98"/>
        <item x="20"/>
        <item x="88"/>
        <item x="67"/>
        <item x="45"/>
        <item x="26"/>
        <item x="84"/>
        <item x="44"/>
        <item x="36"/>
        <item x="10"/>
        <item x="21"/>
        <item x="93"/>
        <item x="102"/>
        <item x="69"/>
        <item x="22"/>
        <item x="91"/>
        <item x="39"/>
        <item x="61"/>
        <item x="3"/>
        <item x="0"/>
        <item x="101"/>
        <item x="83"/>
        <item x="73"/>
        <item x="65"/>
        <item x="25"/>
        <item x="106"/>
        <item x="50"/>
        <item x="35"/>
        <item x="8"/>
        <item x="24"/>
        <item x="105"/>
        <item x="42"/>
        <item x="43"/>
        <item x="100"/>
        <item x="19"/>
        <item x="52"/>
        <item x="104"/>
        <item x="41"/>
        <item x="5"/>
        <item x="57"/>
        <item x="51"/>
        <item x="12"/>
        <item x="9"/>
        <item x="28"/>
        <item x="47"/>
        <item x="7"/>
        <item x="18"/>
        <item x="56"/>
        <item x="11"/>
        <item x="23"/>
        <item x="16"/>
        <item x="85"/>
        <item x="55"/>
        <item x="107"/>
        <item x="70"/>
        <item x="77"/>
        <item x="75"/>
        <item x="82"/>
        <item x="87"/>
        <item x="99"/>
        <item x="58"/>
        <item x="94"/>
        <item x="76"/>
        <item x="54"/>
        <item x="72"/>
        <item x="60"/>
        <item x="2"/>
        <item x="78"/>
        <item x="86"/>
        <item x="46"/>
        <item x="68"/>
        <item x="96"/>
        <item x="81"/>
        <item x="40"/>
        <item x="4"/>
        <item x="80"/>
        <item x="31"/>
        <item x="1"/>
        <item x="15"/>
        <item x="92"/>
        <item x="27"/>
        <item x="29"/>
        <item x="53"/>
        <item x="13"/>
        <item x="14"/>
        <item x="59"/>
        <item x="66"/>
        <item x="38"/>
        <item x="89"/>
        <item x="33"/>
        <item x="79"/>
        <item x="34"/>
        <item x="6"/>
        <item x="48"/>
        <item x="17"/>
        <item x="49"/>
        <item x="97"/>
        <item x="32"/>
        <item x="37"/>
        <item x="108"/>
        <item x="30"/>
        <item x="103"/>
        <item x="62"/>
        <item x="95"/>
        <item t="default"/>
      </items>
    </pivotField>
    <pivotField numFmtId="3" showAll="0">
      <items count="103">
        <item x="85"/>
        <item x="34"/>
        <item x="48"/>
        <item x="53"/>
        <item x="26"/>
        <item x="73"/>
        <item x="50"/>
        <item x="44"/>
        <item x="11"/>
        <item x="23"/>
        <item x="4"/>
        <item x="38"/>
        <item x="28"/>
        <item x="12"/>
        <item x="93"/>
        <item x="81"/>
        <item x="49"/>
        <item x="97"/>
        <item x="94"/>
        <item x="75"/>
        <item x="19"/>
        <item x="67"/>
        <item x="92"/>
        <item x="101"/>
        <item x="86"/>
        <item x="3"/>
        <item x="16"/>
        <item x="69"/>
        <item x="89"/>
        <item x="40"/>
        <item x="77"/>
        <item x="58"/>
        <item x="5"/>
        <item x="31"/>
        <item x="29"/>
        <item x="9"/>
        <item x="21"/>
        <item x="17"/>
        <item x="20"/>
        <item x="15"/>
        <item x="32"/>
        <item x="80"/>
        <item x="35"/>
        <item x="68"/>
        <item x="98"/>
        <item x="54"/>
        <item x="61"/>
        <item x="79"/>
        <item x="60"/>
        <item x="66"/>
        <item x="7"/>
        <item x="96"/>
        <item x="41"/>
        <item x="45"/>
        <item x="90"/>
        <item x="8"/>
        <item x="10"/>
        <item x="91"/>
        <item x="57"/>
        <item x="33"/>
        <item x="84"/>
        <item x="42"/>
        <item x="14"/>
        <item x="24"/>
        <item x="37"/>
        <item x="27"/>
        <item x="30"/>
        <item x="36"/>
        <item x="100"/>
        <item x="59"/>
        <item x="82"/>
        <item x="52"/>
        <item x="71"/>
        <item x="46"/>
        <item x="13"/>
        <item x="25"/>
        <item x="76"/>
        <item x="22"/>
        <item x="56"/>
        <item x="78"/>
        <item x="47"/>
        <item x="74"/>
        <item x="0"/>
        <item x="43"/>
        <item x="62"/>
        <item x="70"/>
        <item x="51"/>
        <item x="72"/>
        <item x="99"/>
        <item x="6"/>
        <item x="95"/>
        <item x="63"/>
        <item x="1"/>
        <item x="88"/>
        <item x="64"/>
        <item x="2"/>
        <item x="18"/>
        <item x="83"/>
        <item x="65"/>
        <item x="39"/>
        <item x="55"/>
        <item x="87"/>
        <item t="default"/>
      </items>
    </pivotField>
    <pivotField numFmtId="3" showAll="0"/>
    <pivotField dataField="1" numFmtId="9" showAll="0">
      <items count="47">
        <item x="22"/>
        <item x="5"/>
        <item x="9"/>
        <item x="17"/>
        <item x="21"/>
        <item x="40"/>
        <item x="20"/>
        <item x="45"/>
        <item x="19"/>
        <item x="41"/>
        <item x="33"/>
        <item x="38"/>
        <item x="29"/>
        <item x="8"/>
        <item x="35"/>
        <item x="23"/>
        <item x="32"/>
        <item x="30"/>
        <item x="13"/>
        <item x="44"/>
        <item x="39"/>
        <item x="42"/>
        <item x="6"/>
        <item x="24"/>
        <item x="34"/>
        <item x="18"/>
        <item x="31"/>
        <item x="2"/>
        <item x="43"/>
        <item x="27"/>
        <item x="10"/>
        <item x="0"/>
        <item x="16"/>
        <item x="11"/>
        <item x="1"/>
        <item x="15"/>
        <item x="12"/>
        <item x="3"/>
        <item x="4"/>
        <item x="26"/>
        <item x="37"/>
        <item x="28"/>
        <item x="36"/>
        <item x="14"/>
        <item x="7"/>
        <item x="25"/>
        <item t="default"/>
      </items>
    </pivotField>
    <pivotField dataField="1" showAll="0">
      <items count="25">
        <item x="3"/>
        <item x="1"/>
        <item x="2"/>
        <item x="4"/>
        <item x="13"/>
        <item x="6"/>
        <item x="16"/>
        <item x="20"/>
        <item x="5"/>
        <item x="19"/>
        <item x="15"/>
        <item x="18"/>
        <item x="21"/>
        <item x="23"/>
        <item x="8"/>
        <item x="9"/>
        <item x="14"/>
        <item x="17"/>
        <item x="7"/>
        <item x="11"/>
        <item x="12"/>
        <item x="10"/>
        <item x="22"/>
        <item x="0"/>
        <item t="default"/>
      </items>
    </pivotField>
    <pivotField dataField="1" showAll="0">
      <items count="24">
        <item x="22"/>
        <item x="21"/>
        <item x="20"/>
        <item x="19"/>
        <item x="18"/>
        <item x="17"/>
        <item x="16"/>
        <item x="15"/>
        <item x="14"/>
        <item x="13"/>
        <item x="12"/>
        <item x="11"/>
        <item x="10"/>
        <item x="9"/>
        <item x="8"/>
        <item x="7"/>
        <item x="6"/>
        <item x="5"/>
        <item x="4"/>
        <item x="3"/>
        <item x="2"/>
        <item x="1"/>
        <item x="0"/>
        <item t="default"/>
      </items>
    </pivotField>
    <pivotField showAll="0"/>
    <pivotField numFmtId="3" showAll="0"/>
    <pivotField showAll="0"/>
    <pivotField showAll="0"/>
  </pivotFields>
  <rowFields count="1">
    <field x="0"/>
  </rowFields>
  <rowItems count="11">
    <i>
      <x v="20"/>
    </i>
    <i>
      <x v="30"/>
    </i>
    <i>
      <x v="31"/>
    </i>
    <i>
      <x v="39"/>
    </i>
    <i>
      <x v="52"/>
    </i>
    <i>
      <x v="53"/>
    </i>
    <i>
      <x v="67"/>
    </i>
    <i>
      <x v="70"/>
    </i>
    <i>
      <x v="84"/>
    </i>
    <i>
      <x v="99"/>
    </i>
    <i t="grand">
      <x/>
    </i>
  </rowItems>
  <colFields count="1">
    <field x="-2"/>
  </colFields>
  <colItems count="3">
    <i>
      <x/>
    </i>
    <i i="1">
      <x v="1"/>
    </i>
    <i i="2">
      <x v="2"/>
    </i>
  </colItems>
  <dataFields count="3">
    <dataField name="Sum of Discount" fld="3" baseField="0" baseItem="0" numFmtId="9"/>
    <dataField name="Sum of Ratings" fld="5" baseField="0" baseItem="0"/>
    <dataField name="Sum of Review"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3C1CAB-3089-4218-9523-6CB7206CC874}"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0" firstHeaderRow="1" firstDataRow="1" firstDataCol="1"/>
  <pivotFields count="10">
    <pivotField showAll="0">
      <items count="110">
        <item x="74"/>
        <item x="63"/>
        <item x="71"/>
        <item x="90"/>
        <item x="64"/>
        <item x="98"/>
        <item x="20"/>
        <item x="88"/>
        <item x="67"/>
        <item x="45"/>
        <item x="26"/>
        <item x="84"/>
        <item x="44"/>
        <item x="36"/>
        <item x="10"/>
        <item x="21"/>
        <item x="93"/>
        <item x="102"/>
        <item x="69"/>
        <item x="22"/>
        <item x="91"/>
        <item x="39"/>
        <item x="61"/>
        <item x="3"/>
        <item x="0"/>
        <item x="101"/>
        <item x="83"/>
        <item x="73"/>
        <item x="65"/>
        <item x="25"/>
        <item x="106"/>
        <item x="50"/>
        <item x="35"/>
        <item x="8"/>
        <item x="24"/>
        <item x="105"/>
        <item x="42"/>
        <item x="43"/>
        <item x="100"/>
        <item x="19"/>
        <item x="52"/>
        <item x="104"/>
        <item x="41"/>
        <item x="5"/>
        <item x="57"/>
        <item x="51"/>
        <item x="12"/>
        <item x="9"/>
        <item x="28"/>
        <item x="47"/>
        <item x="7"/>
        <item x="18"/>
        <item x="56"/>
        <item x="11"/>
        <item x="23"/>
        <item x="16"/>
        <item x="85"/>
        <item x="55"/>
        <item x="107"/>
        <item x="70"/>
        <item x="77"/>
        <item x="75"/>
        <item x="82"/>
        <item x="87"/>
        <item x="99"/>
        <item x="58"/>
        <item x="94"/>
        <item x="76"/>
        <item x="54"/>
        <item x="72"/>
        <item x="60"/>
        <item x="2"/>
        <item x="78"/>
        <item x="86"/>
        <item x="46"/>
        <item x="68"/>
        <item x="96"/>
        <item x="81"/>
        <item x="40"/>
        <item x="4"/>
        <item x="80"/>
        <item x="31"/>
        <item x="1"/>
        <item x="15"/>
        <item x="92"/>
        <item x="27"/>
        <item x="29"/>
        <item x="53"/>
        <item x="13"/>
        <item x="14"/>
        <item x="59"/>
        <item x="66"/>
        <item x="38"/>
        <item x="89"/>
        <item x="33"/>
        <item x="79"/>
        <item x="34"/>
        <item x="6"/>
        <item x="48"/>
        <item x="17"/>
        <item x="49"/>
        <item x="97"/>
        <item x="32"/>
        <item x="37"/>
        <item x="108"/>
        <item x="30"/>
        <item x="103"/>
        <item x="62"/>
        <item x="95"/>
        <item t="default"/>
      </items>
    </pivotField>
    <pivotField numFmtId="3" showAll="0">
      <items count="103">
        <item x="85"/>
        <item x="34"/>
        <item x="48"/>
        <item x="53"/>
        <item x="26"/>
        <item x="73"/>
        <item x="50"/>
        <item x="44"/>
        <item x="11"/>
        <item x="23"/>
        <item x="4"/>
        <item x="38"/>
        <item x="28"/>
        <item x="12"/>
        <item x="93"/>
        <item x="81"/>
        <item x="49"/>
        <item x="97"/>
        <item x="94"/>
        <item x="75"/>
        <item x="19"/>
        <item x="67"/>
        <item x="92"/>
        <item x="101"/>
        <item x="86"/>
        <item x="3"/>
        <item x="16"/>
        <item x="69"/>
        <item x="89"/>
        <item x="40"/>
        <item x="77"/>
        <item x="58"/>
        <item x="5"/>
        <item x="31"/>
        <item x="29"/>
        <item x="9"/>
        <item x="21"/>
        <item x="17"/>
        <item x="20"/>
        <item x="15"/>
        <item x="32"/>
        <item x="80"/>
        <item x="35"/>
        <item x="68"/>
        <item x="98"/>
        <item x="54"/>
        <item x="61"/>
        <item x="79"/>
        <item x="60"/>
        <item x="66"/>
        <item x="7"/>
        <item x="96"/>
        <item x="41"/>
        <item x="45"/>
        <item x="90"/>
        <item x="8"/>
        <item x="10"/>
        <item x="91"/>
        <item x="57"/>
        <item x="33"/>
        <item x="84"/>
        <item x="42"/>
        <item x="14"/>
        <item x="24"/>
        <item x="37"/>
        <item x="27"/>
        <item x="30"/>
        <item x="36"/>
        <item x="100"/>
        <item x="59"/>
        <item x="82"/>
        <item x="52"/>
        <item x="71"/>
        <item x="46"/>
        <item x="13"/>
        <item x="25"/>
        <item x="76"/>
        <item x="22"/>
        <item x="56"/>
        <item x="78"/>
        <item x="47"/>
        <item x="74"/>
        <item x="0"/>
        <item x="43"/>
        <item x="62"/>
        <item x="70"/>
        <item x="51"/>
        <item x="72"/>
        <item x="99"/>
        <item x="6"/>
        <item x="95"/>
        <item x="63"/>
        <item x="1"/>
        <item x="88"/>
        <item x="64"/>
        <item x="2"/>
        <item x="18"/>
        <item x="83"/>
        <item x="65"/>
        <item x="39"/>
        <item x="55"/>
        <item x="87"/>
        <item t="default"/>
      </items>
    </pivotField>
    <pivotField numFmtId="3" showAll="0"/>
    <pivotField axis="axisRow" numFmtId="9" showAll="0">
      <items count="47">
        <item x="22"/>
        <item x="5"/>
        <item x="9"/>
        <item x="17"/>
        <item x="21"/>
        <item x="40"/>
        <item x="20"/>
        <item x="45"/>
        <item x="19"/>
        <item x="41"/>
        <item x="33"/>
        <item x="38"/>
        <item x="29"/>
        <item x="8"/>
        <item x="35"/>
        <item x="23"/>
        <item x="32"/>
        <item x="30"/>
        <item x="13"/>
        <item x="44"/>
        <item x="39"/>
        <item x="42"/>
        <item x="6"/>
        <item x="24"/>
        <item x="34"/>
        <item x="18"/>
        <item x="31"/>
        <item x="2"/>
        <item x="43"/>
        <item x="27"/>
        <item x="10"/>
        <item x="0"/>
        <item x="16"/>
        <item x="11"/>
        <item x="1"/>
        <item x="15"/>
        <item x="12"/>
        <item x="3"/>
        <item x="4"/>
        <item x="26"/>
        <item x="37"/>
        <item x="28"/>
        <item x="36"/>
        <item x="14"/>
        <item x="7"/>
        <item x="25"/>
        <item t="default"/>
      </items>
    </pivotField>
    <pivotField showAll="0">
      <items count="25">
        <item x="3"/>
        <item x="1"/>
        <item x="2"/>
        <item x="4"/>
        <item x="13"/>
        <item x="6"/>
        <item x="16"/>
        <item x="20"/>
        <item x="5"/>
        <item x="19"/>
        <item x="15"/>
        <item x="18"/>
        <item x="21"/>
        <item x="23"/>
        <item x="8"/>
        <item x="9"/>
        <item x="14"/>
        <item x="17"/>
        <item x="7"/>
        <item x="11"/>
        <item x="12"/>
        <item x="10"/>
        <item x="22"/>
        <item x="0"/>
        <item t="default"/>
      </items>
    </pivotField>
    <pivotField dataField="1" showAll="0">
      <items count="24">
        <item x="22"/>
        <item x="21"/>
        <item x="20"/>
        <item x="19"/>
        <item x="18"/>
        <item x="17"/>
        <item x="16"/>
        <item x="15"/>
        <item x="14"/>
        <item x="13"/>
        <item x="12"/>
        <item x="11"/>
        <item x="10"/>
        <item x="9"/>
        <item x="8"/>
        <item x="7"/>
        <item x="6"/>
        <item x="5"/>
        <item x="4"/>
        <item x="3"/>
        <item x="2"/>
        <item x="1"/>
        <item x="0"/>
        <item t="default"/>
      </items>
    </pivotField>
    <pivotField showAll="0"/>
    <pivotField numFmtId="3" showAll="0"/>
    <pivotField showAll="0"/>
    <pivotField showAll="0"/>
  </pivotFields>
  <rowFields count="1">
    <field x="3"/>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Ratings" fld="5"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164A7E-99B9-4893-AA9C-D051BEBA6ED5}"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3" firstHeaderRow="1" firstDataRow="1" firstDataCol="1"/>
  <pivotFields count="10">
    <pivotField axis="axisRow" showAll="0">
      <items count="110">
        <item x="74"/>
        <item x="63"/>
        <item x="71"/>
        <item x="90"/>
        <item x="64"/>
        <item x="98"/>
        <item x="20"/>
        <item x="88"/>
        <item x="67"/>
        <item x="45"/>
        <item x="26"/>
        <item x="84"/>
        <item x="44"/>
        <item x="36"/>
        <item x="10"/>
        <item x="21"/>
        <item x="93"/>
        <item x="102"/>
        <item x="69"/>
        <item x="22"/>
        <item x="91"/>
        <item x="39"/>
        <item x="61"/>
        <item x="3"/>
        <item x="0"/>
        <item x="101"/>
        <item x="83"/>
        <item x="73"/>
        <item x="65"/>
        <item x="25"/>
        <item x="106"/>
        <item x="50"/>
        <item x="35"/>
        <item x="8"/>
        <item x="24"/>
        <item x="105"/>
        <item x="42"/>
        <item x="43"/>
        <item x="100"/>
        <item x="19"/>
        <item x="52"/>
        <item x="104"/>
        <item x="41"/>
        <item x="5"/>
        <item x="57"/>
        <item x="51"/>
        <item x="12"/>
        <item x="9"/>
        <item x="28"/>
        <item x="47"/>
        <item x="7"/>
        <item x="18"/>
        <item x="56"/>
        <item x="11"/>
        <item x="23"/>
        <item x="16"/>
        <item x="85"/>
        <item x="55"/>
        <item x="107"/>
        <item x="70"/>
        <item x="77"/>
        <item x="75"/>
        <item x="82"/>
        <item x="87"/>
        <item x="99"/>
        <item x="58"/>
        <item x="94"/>
        <item x="76"/>
        <item x="54"/>
        <item x="72"/>
        <item x="60"/>
        <item x="2"/>
        <item x="78"/>
        <item x="86"/>
        <item x="46"/>
        <item x="68"/>
        <item x="96"/>
        <item x="81"/>
        <item x="40"/>
        <item x="4"/>
        <item x="80"/>
        <item x="31"/>
        <item x="1"/>
        <item x="15"/>
        <item x="92"/>
        <item x="27"/>
        <item x="29"/>
        <item x="53"/>
        <item x="13"/>
        <item x="14"/>
        <item x="59"/>
        <item x="66"/>
        <item x="38"/>
        <item x="89"/>
        <item x="33"/>
        <item x="79"/>
        <item x="34"/>
        <item x="6"/>
        <item x="48"/>
        <item x="17"/>
        <item x="49"/>
        <item x="97"/>
        <item x="32"/>
        <item x="37"/>
        <item x="108"/>
        <item x="30"/>
        <item x="103"/>
        <item x="62"/>
        <item x="95"/>
        <item t="default"/>
      </items>
    </pivotField>
    <pivotField numFmtId="3" showAll="0">
      <items count="103">
        <item x="85"/>
        <item x="34"/>
        <item x="48"/>
        <item x="53"/>
        <item x="26"/>
        <item x="73"/>
        <item x="50"/>
        <item x="44"/>
        <item x="11"/>
        <item x="23"/>
        <item x="4"/>
        <item x="38"/>
        <item x="28"/>
        <item x="12"/>
        <item x="93"/>
        <item x="81"/>
        <item x="49"/>
        <item x="97"/>
        <item x="94"/>
        <item x="75"/>
        <item x="19"/>
        <item x="67"/>
        <item x="92"/>
        <item x="101"/>
        <item x="86"/>
        <item x="3"/>
        <item x="16"/>
        <item x="69"/>
        <item x="89"/>
        <item x="40"/>
        <item x="77"/>
        <item x="58"/>
        <item x="5"/>
        <item x="31"/>
        <item x="29"/>
        <item x="9"/>
        <item x="21"/>
        <item x="17"/>
        <item x="20"/>
        <item x="15"/>
        <item x="32"/>
        <item x="80"/>
        <item x="35"/>
        <item x="68"/>
        <item x="98"/>
        <item x="54"/>
        <item x="61"/>
        <item x="79"/>
        <item x="60"/>
        <item x="66"/>
        <item x="7"/>
        <item x="96"/>
        <item x="41"/>
        <item x="45"/>
        <item x="90"/>
        <item x="8"/>
        <item x="10"/>
        <item x="91"/>
        <item x="57"/>
        <item x="33"/>
        <item x="84"/>
        <item x="42"/>
        <item x="14"/>
        <item x="24"/>
        <item x="37"/>
        <item x="27"/>
        <item x="30"/>
        <item x="36"/>
        <item x="100"/>
        <item x="59"/>
        <item x="82"/>
        <item x="52"/>
        <item x="71"/>
        <item x="46"/>
        <item x="13"/>
        <item x="25"/>
        <item x="76"/>
        <item x="22"/>
        <item x="56"/>
        <item x="78"/>
        <item x="47"/>
        <item x="74"/>
        <item x="0"/>
        <item x="43"/>
        <item x="62"/>
        <item x="70"/>
        <item x="51"/>
        <item x="72"/>
        <item x="99"/>
        <item x="6"/>
        <item x="95"/>
        <item x="63"/>
        <item x="1"/>
        <item x="88"/>
        <item x="64"/>
        <item x="2"/>
        <item x="18"/>
        <item x="83"/>
        <item x="65"/>
        <item x="39"/>
        <item x="55"/>
        <item x="87"/>
        <item t="default"/>
      </items>
    </pivotField>
    <pivotField numFmtId="3" showAll="0"/>
    <pivotField numFmtId="9" showAll="0">
      <items count="47">
        <item x="22"/>
        <item x="5"/>
        <item x="9"/>
        <item x="17"/>
        <item x="21"/>
        <item x="40"/>
        <item x="20"/>
        <item x="45"/>
        <item x="19"/>
        <item x="41"/>
        <item x="33"/>
        <item x="38"/>
        <item x="29"/>
        <item x="8"/>
        <item x="35"/>
        <item x="23"/>
        <item x="32"/>
        <item x="30"/>
        <item x="13"/>
        <item x="44"/>
        <item x="39"/>
        <item x="42"/>
        <item x="6"/>
        <item x="24"/>
        <item x="34"/>
        <item x="18"/>
        <item x="31"/>
        <item x="2"/>
        <item x="43"/>
        <item x="27"/>
        <item x="10"/>
        <item x="0"/>
        <item x="16"/>
        <item x="11"/>
        <item x="1"/>
        <item x="15"/>
        <item x="12"/>
        <item x="3"/>
        <item x="4"/>
        <item x="26"/>
        <item x="37"/>
        <item x="28"/>
        <item x="36"/>
        <item x="14"/>
        <item x="7"/>
        <item x="25"/>
        <item t="default"/>
      </items>
    </pivotField>
    <pivotField dataField="1" showAll="0">
      <items count="25">
        <item x="3"/>
        <item x="1"/>
        <item x="2"/>
        <item x="4"/>
        <item x="13"/>
        <item x="6"/>
        <item x="16"/>
        <item x="20"/>
        <item x="5"/>
        <item x="19"/>
        <item x="15"/>
        <item x="18"/>
        <item x="21"/>
        <item x="23"/>
        <item x="8"/>
        <item x="9"/>
        <item x="14"/>
        <item x="17"/>
        <item x="7"/>
        <item x="11"/>
        <item x="12"/>
        <item x="10"/>
        <item x="22"/>
        <item x="0"/>
        <item t="default"/>
      </items>
    </pivotField>
    <pivotField showAll="0">
      <items count="24">
        <item x="22"/>
        <item x="21"/>
        <item x="20"/>
        <item x="19"/>
        <item x="18"/>
        <item x="17"/>
        <item x="16"/>
        <item x="15"/>
        <item x="14"/>
        <item x="13"/>
        <item x="12"/>
        <item x="11"/>
        <item x="10"/>
        <item x="9"/>
        <item x="8"/>
        <item x="7"/>
        <item x="6"/>
        <item x="5"/>
        <item x="4"/>
        <item x="3"/>
        <item x="2"/>
        <item x="1"/>
        <item x="0"/>
        <item t="default"/>
      </items>
    </pivotField>
    <pivotField showAll="0"/>
    <pivotField numFmtId="3" showAll="0"/>
    <pivotField showAll="0"/>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Sum of ratings" fld="4"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07599A-6977-4E2F-8E87-A2E21C821F66}"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4" firstHeaderRow="1" firstDataRow="1" firstDataCol="1"/>
  <pivotFields count="10">
    <pivotField axis="axisRow"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pivotField showAll="0"/>
    <pivotField dataField="1" showAll="0">
      <items count="26">
        <item x="22"/>
        <item x="15"/>
        <item x="19"/>
        <item x="20"/>
        <item x="13"/>
        <item x="21"/>
        <item x="17"/>
        <item x="16"/>
        <item x="18"/>
        <item x="14"/>
        <item x="9"/>
        <item x="6"/>
        <item x="24"/>
        <item x="5"/>
        <item x="1"/>
        <item x="7"/>
        <item x="12"/>
        <item x="11"/>
        <item x="0"/>
        <item x="2"/>
        <item x="3"/>
        <item x="4"/>
        <item x="8"/>
        <item x="10"/>
        <item x="23"/>
        <item t="default"/>
      </items>
    </pivotField>
    <pivotField showAll="0"/>
    <pivotField showAll="0"/>
    <pivotField showAll="0"/>
    <pivotField showAll="0"/>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Max of Ratings"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E46B663-173A-4D6F-BDF1-854644F9185C}" sourceName="Product">
  <pivotTables>
    <pivotTable tabId="38" name="PivotTable6"/>
    <pivotTable tabId="39" name="PivotTable7"/>
    <pivotTable tabId="40" name="PivotTable8"/>
  </pivotTables>
  <data>
    <tabular pivotCacheId="235390636">
      <items count="109">
        <i x="74" s="1"/>
        <i x="63" s="1"/>
        <i x="71" s="1"/>
        <i x="90" s="1"/>
        <i x="64" s="1"/>
        <i x="98" s="1"/>
        <i x="20" s="1"/>
        <i x="88" s="1"/>
        <i x="67" s="1"/>
        <i x="45" s="1"/>
        <i x="26" s="1"/>
        <i x="84" s="1"/>
        <i x="44" s="1"/>
        <i x="36" s="1"/>
        <i x="10" s="1"/>
        <i x="21" s="1"/>
        <i x="93" s="1"/>
        <i x="102" s="1"/>
        <i x="69" s="1"/>
        <i x="22" s="1"/>
        <i x="91" s="1"/>
        <i x="39" s="1"/>
        <i x="61" s="1"/>
        <i x="3" s="1"/>
        <i x="0" s="1"/>
        <i x="101" s="1"/>
        <i x="83" s="1"/>
        <i x="73" s="1"/>
        <i x="65" s="1"/>
        <i x="25" s="1"/>
        <i x="106" s="1"/>
        <i x="50" s="1"/>
        <i x="35" s="1"/>
        <i x="8" s="1"/>
        <i x="24" s="1"/>
        <i x="105" s="1"/>
        <i x="42" s="1"/>
        <i x="43" s="1"/>
        <i x="100" s="1"/>
        <i x="19" s="1"/>
        <i x="52" s="1"/>
        <i x="104" s="1"/>
        <i x="41" s="1"/>
        <i x="5" s="1"/>
        <i x="57" s="1"/>
        <i x="51" s="1"/>
        <i x="12" s="1"/>
        <i x="9" s="1"/>
        <i x="28" s="1"/>
        <i x="47" s="1"/>
        <i x="7" s="1"/>
        <i x="18" s="1"/>
        <i x="56" s="1"/>
        <i x="11" s="1"/>
        <i x="23" s="1"/>
        <i x="16" s="1"/>
        <i x="85" s="1"/>
        <i x="55" s="1"/>
        <i x="107" s="1"/>
        <i x="70" s="1"/>
        <i x="77" s="1"/>
        <i x="75" s="1"/>
        <i x="82" s="1"/>
        <i x="87" s="1"/>
        <i x="99" s="1"/>
        <i x="58" s="1"/>
        <i x="94" s="1"/>
        <i x="76" s="1"/>
        <i x="54" s="1"/>
        <i x="72" s="1"/>
        <i x="60" s="1"/>
        <i x="2" s="1"/>
        <i x="78" s="1"/>
        <i x="86" s="1"/>
        <i x="46" s="1"/>
        <i x="68" s="1"/>
        <i x="96" s="1"/>
        <i x="81" s="1"/>
        <i x="40" s="1"/>
        <i x="4" s="1"/>
        <i x="80" s="1"/>
        <i x="31" s="1"/>
        <i x="1" s="1"/>
        <i x="15" s="1"/>
        <i x="92" s="1"/>
        <i x="27" s="1"/>
        <i x="29" s="1"/>
        <i x="53" s="1"/>
        <i x="13" s="1"/>
        <i x="14" s="1"/>
        <i x="59" s="1"/>
        <i x="66" s="1"/>
        <i x="38" s="1"/>
        <i x="89" s="1"/>
        <i x="33" s="1"/>
        <i x="79" s="1"/>
        <i x="34" s="1"/>
        <i x="6" s="1"/>
        <i x="48" s="1"/>
        <i x="17" s="1"/>
        <i x="49" s="1"/>
        <i x="97" s="1"/>
        <i x="32" s="1"/>
        <i x="37" s="1"/>
        <i x="108" s="1"/>
        <i x="30" s="1"/>
        <i x="103" s="1"/>
        <i x="62" s="1"/>
        <i x="9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 xr10:uid="{98E28782-F460-4F35-85D9-A949415016E9}" sourceName="Current price">
  <pivotTables>
    <pivotTable tabId="38" name="PivotTable6"/>
    <pivotTable tabId="39" name="PivotTable7"/>
    <pivotTable tabId="40" name="PivotTable8"/>
  </pivotTables>
  <data>
    <tabular pivotCacheId="235390636">
      <items count="102">
        <i x="85" s="1"/>
        <i x="34" s="1"/>
        <i x="48" s="1"/>
        <i x="53" s="1"/>
        <i x="26" s="1"/>
        <i x="73" s="1"/>
        <i x="50" s="1"/>
        <i x="44" s="1"/>
        <i x="11" s="1"/>
        <i x="23" s="1"/>
        <i x="4" s="1"/>
        <i x="38" s="1"/>
        <i x="28" s="1"/>
        <i x="12" s="1"/>
        <i x="93" s="1"/>
        <i x="81" s="1"/>
        <i x="49" s="1"/>
        <i x="97" s="1"/>
        <i x="94" s="1"/>
        <i x="75" s="1"/>
        <i x="19" s="1"/>
        <i x="67" s="1"/>
        <i x="92" s="1"/>
        <i x="101" s="1"/>
        <i x="86" s="1"/>
        <i x="3" s="1"/>
        <i x="16" s="1"/>
        <i x="69" s="1"/>
        <i x="89" s="1"/>
        <i x="40" s="1"/>
        <i x="77" s="1"/>
        <i x="58" s="1"/>
        <i x="5" s="1"/>
        <i x="31" s="1"/>
        <i x="29" s="1"/>
        <i x="9" s="1"/>
        <i x="21" s="1"/>
        <i x="17" s="1"/>
        <i x="20" s="1"/>
        <i x="15" s="1"/>
        <i x="32" s="1"/>
        <i x="80" s="1"/>
        <i x="35" s="1"/>
        <i x="68" s="1"/>
        <i x="98" s="1"/>
        <i x="54" s="1"/>
        <i x="61" s="1"/>
        <i x="79" s="1"/>
        <i x="60" s="1"/>
        <i x="66" s="1"/>
        <i x="7" s="1"/>
        <i x="96" s="1"/>
        <i x="41" s="1"/>
        <i x="45" s="1"/>
        <i x="90" s="1"/>
        <i x="8" s="1"/>
        <i x="10" s="1"/>
        <i x="91" s="1"/>
        <i x="57" s="1"/>
        <i x="33" s="1"/>
        <i x="84" s="1"/>
        <i x="42" s="1"/>
        <i x="14" s="1"/>
        <i x="24" s="1"/>
        <i x="37" s="1"/>
        <i x="27" s="1"/>
        <i x="30" s="1"/>
        <i x="36" s="1"/>
        <i x="100" s="1"/>
        <i x="59" s="1"/>
        <i x="82" s="1"/>
        <i x="52" s="1"/>
        <i x="71" s="1"/>
        <i x="46" s="1"/>
        <i x="13" s="1"/>
        <i x="25" s="1"/>
        <i x="76" s="1"/>
        <i x="22" s="1"/>
        <i x="56" s="1"/>
        <i x="78" s="1"/>
        <i x="47" s="1"/>
        <i x="74" s="1"/>
        <i x="0" s="1"/>
        <i x="43" s="1"/>
        <i x="62" s="1"/>
        <i x="70" s="1"/>
        <i x="51" s="1"/>
        <i x="72" s="1"/>
        <i x="99" s="1"/>
        <i x="6" s="1"/>
        <i x="95" s="1"/>
        <i x="63" s="1"/>
        <i x="1" s="1"/>
        <i x="88" s="1"/>
        <i x="64" s="1"/>
        <i x="2" s="1"/>
        <i x="18" s="1"/>
        <i x="83" s="1"/>
        <i x="65" s="1"/>
        <i x="39" s="1"/>
        <i x="55" s="1"/>
        <i x="8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A7DDC281-EE11-4495-A041-CD9F7C7E90D1}" sourceName="Discount">
  <pivotTables>
    <pivotTable tabId="38" name="PivotTable6"/>
    <pivotTable tabId="39" name="PivotTable7"/>
    <pivotTable tabId="40" name="PivotTable8"/>
  </pivotTables>
  <data>
    <tabular pivotCacheId="235390636">
      <items count="46">
        <i x="22" s="1"/>
        <i x="5" s="1"/>
        <i x="9" s="1"/>
        <i x="17" s="1"/>
        <i x="21" s="1"/>
        <i x="40" s="1"/>
        <i x="20" s="1"/>
        <i x="45" s="1"/>
        <i x="19" s="1"/>
        <i x="41" s="1"/>
        <i x="33" s="1"/>
        <i x="38" s="1"/>
        <i x="29" s="1"/>
        <i x="8" s="1"/>
        <i x="35" s="1"/>
        <i x="23" s="1"/>
        <i x="32" s="1"/>
        <i x="30" s="1"/>
        <i x="13" s="1"/>
        <i x="44" s="1"/>
        <i x="39" s="1"/>
        <i x="42" s="1"/>
        <i x="6" s="1"/>
        <i x="24" s="1"/>
        <i x="34" s="1"/>
        <i x="18" s="1"/>
        <i x="31" s="1"/>
        <i x="2" s="1"/>
        <i x="43" s="1"/>
        <i x="27" s="1"/>
        <i x="10" s="1"/>
        <i x="0" s="1"/>
        <i x="16" s="1"/>
        <i x="11" s="1"/>
        <i x="1" s="1"/>
        <i x="15" s="1"/>
        <i x="12" s="1"/>
        <i x="3" s="1"/>
        <i x="4" s="1"/>
        <i x="26" s="1"/>
        <i x="37" s="1"/>
        <i x="28" s="1"/>
        <i x="36" s="1"/>
        <i x="14" s="1"/>
        <i x="7" s="1"/>
        <i x="2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7505D613-E596-4334-87D4-5A9BF006EE56}" sourceName="Review">
  <pivotTables>
    <pivotTable tabId="38" name="PivotTable6"/>
    <pivotTable tabId="39" name="PivotTable7"/>
    <pivotTable tabId="40" name="PivotTable8"/>
  </pivotTables>
  <data>
    <tabular pivotCacheId="235390636">
      <items count="24">
        <i x="3" s="1"/>
        <i x="1" s="1"/>
        <i x="2" s="1"/>
        <i x="4" s="1"/>
        <i x="13" s="1"/>
        <i x="6" s="1"/>
        <i x="16" s="1"/>
        <i x="20" s="1"/>
        <i x="5" s="1"/>
        <i x="19" s="1"/>
        <i x="15" s="1"/>
        <i x="18" s="1"/>
        <i x="21" s="1"/>
        <i x="23" s="1"/>
        <i x="8" s="1"/>
        <i x="9" s="1"/>
        <i x="14" s="1"/>
        <i x="17" s="1"/>
        <i x="7" s="1"/>
        <i x="11" s="1"/>
        <i x="12" s="1"/>
        <i x="10" s="1"/>
        <i x="2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 xr10:uid="{393E59FC-3967-4148-A7F4-DC9D2B5DADA9}" sourceName="Ratings">
  <pivotTables>
    <pivotTable tabId="38" name="PivotTable6"/>
    <pivotTable tabId="39" name="PivotTable7"/>
    <pivotTable tabId="40" name="PivotTable8"/>
  </pivotTables>
  <data>
    <tabular pivotCacheId="235390636">
      <items count="23">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8DDFF55-B1F8-405A-B938-EAF52F1EDAF2}" cache="Slicer_Product" caption="Product" rowHeight="251883"/>
  <slicer name="Current price" xr10:uid="{685A0C97-0532-417C-A5E9-0D42BC957483}" cache="Slicer_Current_price" caption="Current price" rowHeight="251883"/>
  <slicer name="Discount" xr10:uid="{C72387BE-AC49-4035-B940-84B57A214600}" cache="Slicer_Discount" caption="Discount" rowHeight="251883"/>
  <slicer name="Review" xr10:uid="{9D744573-7DDF-4D98-83EC-AB98F14B0EB3}" cache="Slicer_Review" caption="Review" rowHeight="251883"/>
  <slicer name="Ratings" xr10:uid="{794550AE-7199-4C7D-BC20-705379F0E90E}" cache="Slicer_Ratings" caption="Rating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8557DA-EDB2-4A63-A287-CD2B6A03ED5A}" name="Table2" displayName="Table2" ref="A1:XFD1048576" totalsRowShown="0">
  <autoFilter ref="A1:XFD1048576" xr:uid="{798557DA-EDB2-4A63-A287-CD2B6A03ED5A}"/>
  <tableColumns count="16384">
    <tableColumn id="1" xr3:uid="{2D773FEB-4419-44DA-B101-53CA0A3BA967}" name="Column16379"/>
    <tableColumn id="2" xr3:uid="{090D8F66-1724-4847-8DC2-CFD9714E3D04}" name="Current price"/>
    <tableColumn id="3" xr3:uid="{874E2131-3E6F-4768-9FFF-6C41E6C4D861}" name="old price"/>
    <tableColumn id="4" xr3:uid="{2811E2ED-9E67-4AE9-BA70-9C5EDFAB337C}" name="Discount"/>
    <tableColumn id="5" xr3:uid="{CCA6897F-F9B8-4D79-AA87-873770886E29}" name="Review"/>
    <tableColumn id="6" xr3:uid="{68ECDDE1-88DD-497D-A5A0-E84FE3AC2025}" name="Ratingd"/>
    <tableColumn id="7" xr3:uid="{64E4500B-011D-47F4-98C4-0B1089ED9621}" name="Column1"/>
    <tableColumn id="8" xr3:uid="{D45E94D0-A4EF-47FC-A766-525279E3140B}" name="Column2"/>
    <tableColumn id="9" xr3:uid="{DEAFAE77-8DCC-48A7-A981-4A76522ACC2F}" name="Column3"/>
    <tableColumn id="10" xr3:uid="{60294795-2BB1-4563-A25F-7B8A9667368F}" name="Column4"/>
    <tableColumn id="11" xr3:uid="{BCFC1DFF-4A16-49C7-8CDD-4BC4A07179B8}" name="Column5"/>
    <tableColumn id="12" xr3:uid="{5D2ACF07-69B5-48AE-861B-1658DCD0CFEE}" name="Column6"/>
    <tableColumn id="13" xr3:uid="{6E540FC3-FE7C-4EF4-9C33-6CCBCAB3BDD6}" name="Column7"/>
    <tableColumn id="14" xr3:uid="{02595D84-BA0D-4668-85CD-CA095C7A7075}" name="Column8"/>
    <tableColumn id="15" xr3:uid="{DDBCA4B7-F552-4CF7-B518-829263605AF9}" name="Column9"/>
    <tableColumn id="16" xr3:uid="{A35EC4E4-3B75-42C7-93F8-BE3911FF4E26}" name="Column10"/>
    <tableColumn id="17" xr3:uid="{8145E65B-D6F3-405F-96EA-AFE2CCFA2A37}" name="Column11"/>
    <tableColumn id="18" xr3:uid="{176AF455-82D6-443B-BEDE-59791872B735}" name="Column12"/>
    <tableColumn id="19" xr3:uid="{EBA21CF8-FD96-4E10-9045-433B622C4EB0}" name="Column13"/>
    <tableColumn id="20" xr3:uid="{95179C9B-B3CB-463A-8739-72B3876119BC}" name="Column14"/>
    <tableColumn id="21" xr3:uid="{5613A37A-D634-440C-9FA6-2722A0A25914}" name="Column15"/>
    <tableColumn id="22" xr3:uid="{E16B12CB-15F2-48BB-9CC3-76DFEE32476B}" name="Column16"/>
    <tableColumn id="23" xr3:uid="{31FCFA69-74A9-463C-939B-6CA548025023}" name="Column17"/>
    <tableColumn id="24" xr3:uid="{3338F404-BA9F-44A1-84E3-74F27666FBB3}" name="Column18"/>
    <tableColumn id="25" xr3:uid="{D9EEC33B-4893-4B34-AA48-90E66DB18C0B}" name="Column19"/>
    <tableColumn id="26" xr3:uid="{E4A252C2-97FA-47C9-A5B6-C47F7B5CE484}" name="Column20"/>
    <tableColumn id="27" xr3:uid="{5280C327-508A-4624-8499-59A78AA9B29D}" name="Column21"/>
    <tableColumn id="28" xr3:uid="{BAF9F4DE-791C-4D74-980F-14B629571FC8}" name="Column22"/>
    <tableColumn id="29" xr3:uid="{E7A0FDCB-F6A9-48E5-96F7-34DAF26BE571}" name="Column23"/>
    <tableColumn id="30" xr3:uid="{8F84EA1C-93BA-40CC-8AA2-F001BE254DAA}" name="Column24"/>
    <tableColumn id="31" xr3:uid="{D9593BB2-0DB1-4761-A2C1-D0F4376FC6BB}" name="Column25"/>
    <tableColumn id="32" xr3:uid="{A666ACC3-EDE4-46F6-8B74-70378E3028BF}" name="Column26"/>
    <tableColumn id="33" xr3:uid="{C3D27788-ABDC-4F3B-B162-7A55F4982BB2}" name="Column27"/>
    <tableColumn id="34" xr3:uid="{5AE85CB0-5A7F-47F0-9836-0D2A72E766A2}" name="Column28"/>
    <tableColumn id="35" xr3:uid="{067BD3B0-8BCB-4636-9EFD-FD57BB6A5AD0}" name="Column29"/>
    <tableColumn id="36" xr3:uid="{0364C7CF-2178-48E4-B0F9-10A203E6348F}" name="Column30"/>
    <tableColumn id="37" xr3:uid="{17E2AC0B-C53F-40ED-A2DA-3CB7710504C8}" name="Column31"/>
    <tableColumn id="38" xr3:uid="{62A85472-1CD6-4BF7-A2CA-852A80ECBA10}" name="Column32"/>
    <tableColumn id="39" xr3:uid="{ED2C0779-0804-49FA-A5E1-BBECAA667B05}" name="Column33"/>
    <tableColumn id="40" xr3:uid="{81B8DF4E-6398-4B16-8473-C1C6DA6D58BC}" name="Column34"/>
    <tableColumn id="41" xr3:uid="{4323941B-B0E3-4C7A-8EF3-66DF1AA66A5A}" name="Column35"/>
    <tableColumn id="42" xr3:uid="{342410EF-1567-4490-AA96-2B067DD5E80D}" name="Column36"/>
    <tableColumn id="43" xr3:uid="{0AD194CC-5DFB-4049-A861-E667E63F9CC5}" name="Column37"/>
    <tableColumn id="44" xr3:uid="{E205C361-576F-4BFD-B2FE-15455B14F581}" name="Column38"/>
    <tableColumn id="45" xr3:uid="{F08772E8-BEAC-4799-91FB-68FCD143D397}" name="Column39"/>
    <tableColumn id="46" xr3:uid="{593696B5-71F5-4010-A683-B3548A09A1F7}" name="Column40"/>
    <tableColumn id="47" xr3:uid="{A27366B0-0DA5-423D-A94E-769F5D69FC2C}" name="Column41"/>
    <tableColumn id="48" xr3:uid="{496EA8FC-C3DC-475A-B8C9-1F38D50E8E8E}" name="Column42"/>
    <tableColumn id="49" xr3:uid="{21E6DD27-2A57-474E-8F8A-1257F7E27A6D}" name="Column43"/>
    <tableColumn id="50" xr3:uid="{7D4F4E0C-BC8A-4BD8-8F10-558A72FA9396}" name="Column44"/>
    <tableColumn id="51" xr3:uid="{82592DF9-ADC9-4F9D-BA55-199B0CD21AE5}" name="Column45"/>
    <tableColumn id="52" xr3:uid="{095089CF-A93F-48A5-B8C4-8A29F63CFC7B}" name="Column46"/>
    <tableColumn id="53" xr3:uid="{F92C563E-45D8-4312-A819-FA61947FDE0C}" name="Column47"/>
    <tableColumn id="54" xr3:uid="{512ACA26-A7A7-45BF-90F5-93769FF7DCCE}" name="Column48"/>
    <tableColumn id="55" xr3:uid="{4E6257EB-5703-4584-ACC5-734D33D81C9D}" name="Column49"/>
    <tableColumn id="56" xr3:uid="{026FD0DA-1590-491C-BEE4-4EB86137BAB8}" name="Column50"/>
    <tableColumn id="57" xr3:uid="{A3EC435E-FCDD-4B69-BBAB-0D3BFA2AD94E}" name="Column51"/>
    <tableColumn id="58" xr3:uid="{B615E0BF-C4DB-4743-9599-E8558D67A827}" name="Column52"/>
    <tableColumn id="59" xr3:uid="{84D877AE-E36D-4846-BC91-F25069102340}" name="Column53"/>
    <tableColumn id="60" xr3:uid="{B65058A9-F95E-4121-AED5-BEBC79ABCBE1}" name="Column54"/>
    <tableColumn id="61" xr3:uid="{5D348293-DC3A-4C47-B3C0-47D9AC13C451}" name="Column55"/>
    <tableColumn id="62" xr3:uid="{3E746F6E-18A1-4786-91D3-43139A9D9DB8}" name="Column56"/>
    <tableColumn id="63" xr3:uid="{6B4092EF-6F88-495B-95E7-564A3929E174}" name="Column57"/>
    <tableColumn id="64" xr3:uid="{009885BB-C76B-4FD8-85AE-CF79BC034B1A}" name="Column58"/>
    <tableColumn id="65" xr3:uid="{9FE7C2EA-E077-4D2F-A0AB-17D50FFD1E19}" name="Column59"/>
    <tableColumn id="66" xr3:uid="{E2801875-BFAD-43AC-85A5-21E4297A2F5F}" name="Column60"/>
    <tableColumn id="67" xr3:uid="{2E974D62-0AF2-4C55-A7E7-A10BA07C7F0C}" name="Column61"/>
    <tableColumn id="68" xr3:uid="{3209FCD9-A824-4B84-B97F-F277172CFB96}" name="Column62"/>
    <tableColumn id="69" xr3:uid="{A7AA5B75-C26A-4D37-A9F0-19DD80C30CC0}" name="Column63"/>
    <tableColumn id="70" xr3:uid="{9344A9DE-3A77-4413-9EDF-3951DCC626DE}" name="Column64"/>
    <tableColumn id="71" xr3:uid="{549F4A2D-9835-4831-A1BE-B9D7A6316F76}" name="Column65"/>
    <tableColumn id="72" xr3:uid="{70F9E9FA-180D-41BE-A813-C46359722244}" name="Column66"/>
    <tableColumn id="73" xr3:uid="{F6A77394-676C-4EE2-A6C9-19D536A96FBA}" name="Column67"/>
    <tableColumn id="74" xr3:uid="{62270DAB-C67C-46A8-8C5F-A62530138ECD}" name="Column68"/>
    <tableColumn id="75" xr3:uid="{780EE516-7368-4CFB-8B45-0493AF399EBC}" name="Column69"/>
    <tableColumn id="76" xr3:uid="{3886663F-05D8-431C-BB74-AAA9B9B32838}" name="Column70"/>
    <tableColumn id="77" xr3:uid="{E391839D-CF32-4262-BEBA-36B401A614F1}" name="Column71"/>
    <tableColumn id="78" xr3:uid="{AA990C98-07AE-4D14-9BF8-A888EA5BAED6}" name="Column72"/>
    <tableColumn id="79" xr3:uid="{5A6AEEF8-DF6D-4484-B4B8-A9662C9A4CFF}" name="Column73"/>
    <tableColumn id="80" xr3:uid="{A69F5507-E053-497A-8303-56FF1E5619EA}" name="Column74"/>
    <tableColumn id="81" xr3:uid="{046B363B-E886-48FF-87F1-12916F6C9A03}" name="Column75"/>
    <tableColumn id="82" xr3:uid="{8B26D931-B8EE-48BE-9682-D86626A837A9}" name="Column76"/>
    <tableColumn id="83" xr3:uid="{4BD2F52B-DAF9-4AC1-B019-D07F337BE8CE}" name="Column77"/>
    <tableColumn id="84" xr3:uid="{60702C4D-782C-4218-8540-82D33BEC4228}" name="Column78"/>
    <tableColumn id="85" xr3:uid="{31425CE1-7E74-4C5C-B4AC-344D1DD89CC8}" name="Column79"/>
    <tableColumn id="86" xr3:uid="{15265FD7-17C3-4998-8772-0F72BEA0F4D6}" name="Column80"/>
    <tableColumn id="87" xr3:uid="{4AFF9A2D-9520-4354-A1DB-20EDBA9D61E9}" name="Column81"/>
    <tableColumn id="88" xr3:uid="{98EEFB10-FF81-4F0A-96EE-7246CAC3459B}" name="Column82"/>
    <tableColumn id="89" xr3:uid="{B43770D6-77BF-4225-8CF6-A2E91A9C47DC}" name="Column83"/>
    <tableColumn id="90" xr3:uid="{99FCCF63-154B-45DD-AC30-1241C84B184A}" name="Column84"/>
    <tableColumn id="91" xr3:uid="{2A81B514-AAEC-4F3C-8360-9EEEEECF63A3}" name="Column85"/>
    <tableColumn id="92" xr3:uid="{F7B9D597-8DFF-400B-B787-198DF98798A9}" name="Column86"/>
    <tableColumn id="93" xr3:uid="{08B12935-B500-45BC-ACAB-A5430875DFEA}" name="Column87"/>
    <tableColumn id="94" xr3:uid="{C6869E8F-B6F2-41F8-AED1-E426C719A8E2}" name="Column88"/>
    <tableColumn id="95" xr3:uid="{D38383D0-AD81-4712-A8E6-30320B452720}" name="Column89"/>
    <tableColumn id="96" xr3:uid="{745C56C1-911A-4835-A87E-E2E4E4872AA7}" name="Column90"/>
    <tableColumn id="97" xr3:uid="{72A0FA1C-1349-4C4D-B18F-38E715684E4F}" name="Column91"/>
    <tableColumn id="98" xr3:uid="{3FAF5F85-95BC-4AB8-A0CE-EA6B44DBEC09}" name="Column92"/>
    <tableColumn id="99" xr3:uid="{698DC1B8-5ED1-4678-9EBF-2D6FDC731B38}" name="Column93"/>
    <tableColumn id="100" xr3:uid="{87556DB6-740D-4215-A23C-40617D4D0A64}" name="Column94"/>
    <tableColumn id="101" xr3:uid="{ED94CFCA-7A8B-4517-9A8B-666D3E21189B}" name="Column95"/>
    <tableColumn id="102" xr3:uid="{A9029B1B-8472-4880-982A-8A1C40C65CE3}" name="Column96"/>
    <tableColumn id="103" xr3:uid="{CE41DDAC-8066-4D06-B791-DD3A8957BD1A}" name="Column97"/>
    <tableColumn id="104" xr3:uid="{FDF0E212-25BD-4D79-B197-E0506735C553}" name="Column98"/>
    <tableColumn id="105" xr3:uid="{E966CA9A-B4BD-473D-961E-262CC635B749}" name="Column99"/>
    <tableColumn id="106" xr3:uid="{93A3AC2B-BD51-43C2-8685-464D482BA857}" name="Column100"/>
    <tableColumn id="107" xr3:uid="{9FDD479F-9085-428F-9558-902255C931E9}" name="Column101"/>
    <tableColumn id="108" xr3:uid="{EE42E577-35B7-40F3-8275-11D4582DFE46}" name="Column102"/>
    <tableColumn id="109" xr3:uid="{7B41D2C7-3733-45AB-9651-C862B6BE8DF5}" name="Column103"/>
    <tableColumn id="110" xr3:uid="{2D749EEF-E56E-4A06-89A4-63E129F20253}" name="Column104"/>
    <tableColumn id="111" xr3:uid="{1BB4A73B-803C-486B-B76B-B995AB4AF009}" name="Column105"/>
    <tableColumn id="112" xr3:uid="{28D032EA-3703-4A7D-AA2D-B0530D279FBE}" name="Column106"/>
    <tableColumn id="113" xr3:uid="{B08EC203-6265-4B8B-81DB-40066A41EED1}" name="Column107"/>
    <tableColumn id="114" xr3:uid="{535B64DF-3B7B-49CA-8478-2E95F20FF43E}" name="Column108"/>
    <tableColumn id="115" xr3:uid="{77CC263B-3F7C-46BF-94B3-4B73FF92C3E4}" name="Column109"/>
    <tableColumn id="116" xr3:uid="{604C9785-6309-430A-B74F-2B7FA0847284}" name="Column110"/>
    <tableColumn id="117" xr3:uid="{776BC224-0501-47AD-B7E5-D3BBCF9C4A61}" name="Column111"/>
    <tableColumn id="118" xr3:uid="{B6C160A7-F7E4-47CA-9FE6-5F1AD7EE78F8}" name="Column112"/>
    <tableColumn id="119" xr3:uid="{0C9A9A4D-E2A6-4FAA-A5F6-2B7C39CBAA07}" name="Column113"/>
    <tableColumn id="120" xr3:uid="{DC193EA9-C9C5-4EC5-A4DC-28A0B802B1BF}" name="Column114"/>
    <tableColumn id="121" xr3:uid="{BB7B86A8-A373-43BA-ACFA-85EFDEAB2F4F}" name="Column115"/>
    <tableColumn id="122" xr3:uid="{6FA66033-260B-4A95-B5E8-7FC5F75A6D70}" name="Column116"/>
    <tableColumn id="123" xr3:uid="{C2FF8217-3215-4EAF-80C3-742E9D2FB50A}" name="Column117"/>
    <tableColumn id="124" xr3:uid="{2C3D53E9-1381-40CC-8E10-71DC89CB79A6}" name="Column118"/>
    <tableColumn id="125" xr3:uid="{61611251-3591-40D0-8BF4-D994CFEDD721}" name="Column119"/>
    <tableColumn id="126" xr3:uid="{63ECC158-AC68-44E6-9941-19F5DF126419}" name="Column120"/>
    <tableColumn id="127" xr3:uid="{FD3EFE2B-F422-44E0-A907-5C97E9C28532}" name="Column121"/>
    <tableColumn id="128" xr3:uid="{4F10C0D8-8DB3-405C-819E-E5E3C7E6C40A}" name="Column122"/>
    <tableColumn id="129" xr3:uid="{7EB06544-8E3D-4198-9BB5-6A481D37A55B}" name="Column123"/>
    <tableColumn id="130" xr3:uid="{FD2DB516-6AB2-44A8-AC1C-82C9E7343786}" name="Column124"/>
    <tableColumn id="131" xr3:uid="{04320A0D-E524-4BC9-A2E1-83F334C72542}" name="Column125"/>
    <tableColumn id="132" xr3:uid="{DACB8961-BA70-4F83-8AFF-0C98916690FD}" name="Column126"/>
    <tableColumn id="133" xr3:uid="{2605DA67-542D-46CB-9F62-99478BD0FBEF}" name="Column127"/>
    <tableColumn id="134" xr3:uid="{BDA04063-ECFB-4653-8E8C-763A1D16C1AB}" name="Column128"/>
    <tableColumn id="135" xr3:uid="{12AE7FF8-C7CB-4921-932E-BFEC3C2D58F3}" name="Column129"/>
    <tableColumn id="136" xr3:uid="{C6C7996B-6D1C-4CB7-9738-3CDA4F79E556}" name="Column130"/>
    <tableColumn id="137" xr3:uid="{90794929-8E8C-4DE9-93D4-D80F0211CE39}" name="Column131"/>
    <tableColumn id="138" xr3:uid="{40D79A0C-93F8-408B-B660-6C332CF66E83}" name="Column132"/>
    <tableColumn id="139" xr3:uid="{78D936D8-6436-4FA8-ACAC-46322E9CF3A1}" name="Column133"/>
    <tableColumn id="140" xr3:uid="{8E417D61-9446-48B4-8372-BA8C84F8B664}" name="Column134"/>
    <tableColumn id="141" xr3:uid="{BF2455E4-5CBE-417F-8A4F-7A8AC7E8C25C}" name="Column135"/>
    <tableColumn id="142" xr3:uid="{88049807-2D11-463A-92F2-9A56D953C7A8}" name="Column136"/>
    <tableColumn id="143" xr3:uid="{B591262D-D478-4FEB-BE24-0FFE35EE3542}" name="Column137"/>
    <tableColumn id="144" xr3:uid="{917E2A83-7DE4-491B-BC54-94C609FFB9AE}" name="Column138"/>
    <tableColumn id="145" xr3:uid="{C24786B4-9EF8-4AD9-AE6F-B40C30FD4A67}" name="Column139"/>
    <tableColumn id="146" xr3:uid="{97F24A8C-2AE7-4D5D-B7ED-FBF0D03EFDA2}" name="Column140"/>
    <tableColumn id="147" xr3:uid="{D9CCF0C1-06E9-449E-8E38-616D669F0FC4}" name="Column141"/>
    <tableColumn id="148" xr3:uid="{F6EB4479-7D96-4573-B548-1C38B5BDA840}" name="Column142"/>
    <tableColumn id="149" xr3:uid="{5D6BD7B3-3456-4606-974E-705C05BC56CE}" name="Column143"/>
    <tableColumn id="150" xr3:uid="{B1BAE751-B0D1-4140-9866-CB1F9BCE6F2B}" name="Column144"/>
    <tableColumn id="151" xr3:uid="{D61BD18B-1DF8-467C-A559-AC50D3C34A20}" name="Column145"/>
    <tableColumn id="152" xr3:uid="{E31B4E37-4B77-4117-9FD9-C202DE6DF19A}" name="Column146"/>
    <tableColumn id="153" xr3:uid="{3469788D-8E6E-45AD-965F-2D2ED9058D16}" name="Column147"/>
    <tableColumn id="154" xr3:uid="{293402E1-D857-4FCA-9745-D95F81484EA0}" name="Column148"/>
    <tableColumn id="155" xr3:uid="{358BBC1A-72E8-4CE1-9A16-F06535887595}" name="Column149"/>
    <tableColumn id="156" xr3:uid="{9DA67084-1DC3-40E9-AB19-435F36AE97D0}" name="Column150"/>
    <tableColumn id="157" xr3:uid="{D1C29E39-4385-4E86-923F-8EDB6C27593F}" name="Column151"/>
    <tableColumn id="158" xr3:uid="{0008FBDA-F87B-4844-AEA3-5CC4BDA4FF2A}" name="Column152"/>
    <tableColumn id="159" xr3:uid="{2AA030B1-6C5A-49F6-B260-663AA73E9C2A}" name="Column153"/>
    <tableColumn id="160" xr3:uid="{F4CF6F4B-5607-4699-9694-86072682B071}" name="Column154"/>
    <tableColumn id="161" xr3:uid="{ABE022FF-B6F0-4DB4-B1BB-347E996B1F0C}" name="Column155"/>
    <tableColumn id="162" xr3:uid="{33FD2B77-E84B-4382-9B8B-6F15EB5097D9}" name="Column156"/>
    <tableColumn id="163" xr3:uid="{54DD9B86-B425-4E5F-ABF7-F05DAE0A09ED}" name="Column157"/>
    <tableColumn id="164" xr3:uid="{3B5C9372-0EE1-40B2-BD7D-86AA64F466B2}" name="Column158"/>
    <tableColumn id="165" xr3:uid="{91E37BFD-EC3A-46A6-9750-3192B7E71000}" name="Column159"/>
    <tableColumn id="166" xr3:uid="{2DA9E7A3-09D9-4189-9B2D-22C2F36F73AE}" name="Column160"/>
    <tableColumn id="167" xr3:uid="{7BC9E515-F944-4C59-9233-EBC3FC8F2C6A}" name="Column161"/>
    <tableColumn id="168" xr3:uid="{5EC23A23-9C77-4939-8466-D96F7BD9B9C4}" name="Column162"/>
    <tableColumn id="169" xr3:uid="{AFA07404-2894-433C-95CD-1CB24826091B}" name="Column163"/>
    <tableColumn id="170" xr3:uid="{CA701D08-CFD0-49DA-A240-5B1F6E671A90}" name="Column164"/>
    <tableColumn id="171" xr3:uid="{B6C093FC-8B5C-492B-AD11-A2EF960CA343}" name="Column165"/>
    <tableColumn id="172" xr3:uid="{AC348DC2-B970-4345-BF01-4E2D1DF1A028}" name="Column166"/>
    <tableColumn id="173" xr3:uid="{A7C04444-EDC7-4295-85C6-C2162C0C2090}" name="Column167"/>
    <tableColumn id="174" xr3:uid="{D572710D-BBE4-486C-BA23-9B06CC99A552}" name="Column168"/>
    <tableColumn id="175" xr3:uid="{8E9A7929-0E30-4770-82B1-90C40E22797A}" name="Column169"/>
    <tableColumn id="176" xr3:uid="{DAF1455C-308C-4D03-A855-52FAFA7F1423}" name="Column170"/>
    <tableColumn id="177" xr3:uid="{27DEDBAD-E799-49CD-866D-1DE5AE7F29AC}" name="Column171"/>
    <tableColumn id="178" xr3:uid="{7F2C8A2B-A11E-44E3-BE8E-E2193F67FA9F}" name="Column172"/>
    <tableColumn id="179" xr3:uid="{885CC290-1916-4A0C-976B-A76D6D889574}" name="Column173"/>
    <tableColumn id="180" xr3:uid="{178362FC-2039-4A7D-9524-BF3FAE018EA5}" name="Column174"/>
    <tableColumn id="181" xr3:uid="{2D2187A8-4740-4F21-8C97-E8FEEBD70E64}" name="Column175"/>
    <tableColumn id="182" xr3:uid="{2BB6F46A-DF12-40D1-B202-582F49E7AB66}" name="Column176"/>
    <tableColumn id="183" xr3:uid="{AC381B67-0AE0-4031-845C-CDFC0B2A27CE}" name="Column177"/>
    <tableColumn id="184" xr3:uid="{05F4B221-9B5C-4CD4-95A0-A4DE3B715334}" name="Column178"/>
    <tableColumn id="185" xr3:uid="{97FC0D78-F86D-498D-96BF-4B22435431EF}" name="Column179"/>
    <tableColumn id="186" xr3:uid="{43A73EFE-FD88-4B65-91D7-97AA0B085938}" name="Column180"/>
    <tableColumn id="187" xr3:uid="{18E23843-549C-44A8-94DE-95965AAFD160}" name="Column181"/>
    <tableColumn id="188" xr3:uid="{991FDDC8-8680-44D7-A6FF-76A6D01638BA}" name="Column182"/>
    <tableColumn id="189" xr3:uid="{F8B8B04A-F568-4358-AB93-918627F5A934}" name="Column183"/>
    <tableColumn id="190" xr3:uid="{9900C03B-C258-427C-A14B-84EE26CCA7F6}" name="Column184"/>
    <tableColumn id="191" xr3:uid="{C51B73DF-D66E-4836-B405-A07BA1427F27}" name="Column185"/>
    <tableColumn id="192" xr3:uid="{B6D89D0C-4415-4A39-8679-C96268F88B36}" name="Column186"/>
    <tableColumn id="193" xr3:uid="{28DCC9A7-829E-4077-8173-229558FFD759}" name="Column187"/>
    <tableColumn id="194" xr3:uid="{93944309-A3BF-4F10-9284-5638A523616A}" name="Column188"/>
    <tableColumn id="195" xr3:uid="{0EEA8539-AF85-4B0A-9867-4F7861DA6647}" name="Column189"/>
    <tableColumn id="196" xr3:uid="{6FBF25EC-93DE-4B0A-9D00-70775B730BB2}" name="Column190"/>
    <tableColumn id="197" xr3:uid="{56BECDED-F768-4788-BC77-35AD18CD1900}" name="Column191"/>
    <tableColumn id="198" xr3:uid="{BC2C7618-DA38-47F6-BBD7-DCDEDAFC6724}" name="Column192"/>
    <tableColumn id="199" xr3:uid="{D36C86A7-CA66-4C9F-861F-C164EFF5CAB9}" name="Column193"/>
    <tableColumn id="200" xr3:uid="{4B9FB6FB-886C-403F-8FA7-355F5640D3D4}" name="Column194"/>
    <tableColumn id="201" xr3:uid="{C60AA432-F4E4-47FF-A54D-9DF1A4095436}" name="Column195"/>
    <tableColumn id="202" xr3:uid="{EC8ADF14-F3E1-4ECD-852C-588A7D1B497E}" name="Column196"/>
    <tableColumn id="203" xr3:uid="{6A91FF67-0843-4CE9-A43C-EB6423E301A2}" name="Column197"/>
    <tableColumn id="204" xr3:uid="{F865A64B-6335-4081-B9C5-10A2824BCBB5}" name="Column198"/>
    <tableColumn id="205" xr3:uid="{9C19B031-347C-4D86-BAB4-3063B6E6B7BE}" name="Column199"/>
    <tableColumn id="206" xr3:uid="{12D2DBA3-714D-41BE-B1AB-E1B647078553}" name="Column200"/>
    <tableColumn id="207" xr3:uid="{64558B82-2EFE-4FF1-85C5-2997024E9FED}" name="Column201"/>
    <tableColumn id="208" xr3:uid="{5289D25A-3A7B-4595-99F7-2481F35F82A4}" name="Column202"/>
    <tableColumn id="209" xr3:uid="{00CA8E28-A478-4B7A-AEB1-D11E0022891E}" name="Column203"/>
    <tableColumn id="210" xr3:uid="{9C1D576E-C478-40FF-9BDD-095CBC496E9D}" name="Column204"/>
    <tableColumn id="211" xr3:uid="{E2862924-BBAA-4BEE-B6A9-BA66DF0F9B36}" name="Column205"/>
    <tableColumn id="212" xr3:uid="{45ADDF0C-0B86-461C-A3F2-8F1339029392}" name="Column206"/>
    <tableColumn id="213" xr3:uid="{C46680A2-0CB5-489C-96E5-3D87BCE6250C}" name="Column207"/>
    <tableColumn id="214" xr3:uid="{BFC19ECC-D537-44CA-B15A-30B04BB9992C}" name="Column208"/>
    <tableColumn id="215" xr3:uid="{F07492A8-2CAC-4532-ACBA-5781CCBACAD2}" name="Column209"/>
    <tableColumn id="216" xr3:uid="{3C8677C0-3AAC-46A2-BE0E-FC378A191063}" name="Column210"/>
    <tableColumn id="217" xr3:uid="{6A00E023-C566-4EC2-9221-7980D73EDB1E}" name="Column211"/>
    <tableColumn id="218" xr3:uid="{AE0A063F-8F7B-4E81-B4AA-B2FD7910CB3F}" name="Column212"/>
    <tableColumn id="219" xr3:uid="{C87DE63E-FEDA-4539-A687-72ED7599B3B4}" name="Column213"/>
    <tableColumn id="220" xr3:uid="{F00D06AD-994A-4AC8-9A3B-38C168613DF6}" name="Column214"/>
    <tableColumn id="221" xr3:uid="{6BFBE56D-E562-4814-AFE5-4D8424AA0B1C}" name="Column215"/>
    <tableColumn id="222" xr3:uid="{05F2633D-FE7D-487A-A0A1-A9E15A718048}" name="Column216"/>
    <tableColumn id="223" xr3:uid="{C69E0E4C-A2AD-48AE-8CC5-B1326537C79C}" name="Column217"/>
    <tableColumn id="224" xr3:uid="{32003A5B-5198-4291-8D28-E92385DE8595}" name="Column218"/>
    <tableColumn id="225" xr3:uid="{BDC5CCEE-071E-4375-9EFE-4AF560E3434F}" name="Column219"/>
    <tableColumn id="226" xr3:uid="{597F0C5B-06E5-48D3-A44C-1CB75A42D67C}" name="Column220"/>
    <tableColumn id="227" xr3:uid="{6B465605-E078-4291-9D9C-53AA9BD8F0F1}" name="Column221"/>
    <tableColumn id="228" xr3:uid="{438B84A2-ED19-4029-A87A-4BFC062F7558}" name="Column222"/>
    <tableColumn id="229" xr3:uid="{DB7A706A-4D50-4106-BAFB-C02D0CC4C6EA}" name="Column223"/>
    <tableColumn id="230" xr3:uid="{F91C40B5-D26F-4D7A-820C-2406D8D31AD3}" name="Column224"/>
    <tableColumn id="231" xr3:uid="{B19CC982-8066-462D-AAF7-9DF3FD52F8D3}" name="Column225"/>
    <tableColumn id="232" xr3:uid="{88663585-49D6-4DDB-B513-573D2C75399C}" name="Column226"/>
    <tableColumn id="233" xr3:uid="{9A1592A2-532C-494E-9CA6-D9375AD52CF7}" name="Column227"/>
    <tableColumn id="234" xr3:uid="{EB0DA9E9-CE2B-4D12-92AA-6C62BC7B68AB}" name="Column228"/>
    <tableColumn id="235" xr3:uid="{11E741B6-8EC5-47C8-8678-C224F09B0F6E}" name="Column229"/>
    <tableColumn id="236" xr3:uid="{89611C03-67A6-4CC5-9F9B-E3C94D631FA2}" name="Column230"/>
    <tableColumn id="237" xr3:uid="{7CAE67E8-6629-40BF-A3F7-6E0B341B8BCB}" name="Column231"/>
    <tableColumn id="238" xr3:uid="{BBD2C566-D6C5-49A3-936F-CE01DFA4B97D}" name="Column232"/>
    <tableColumn id="239" xr3:uid="{B333CF58-8D7C-4723-B2F9-B05EEA4AEBF4}" name="Column233"/>
    <tableColumn id="240" xr3:uid="{0A1DB0B7-C0FF-4381-AB08-D2E557FC00FF}" name="Column234"/>
    <tableColumn id="241" xr3:uid="{8146299C-8850-4F8C-8D51-FDB1C021CDE7}" name="Column235"/>
    <tableColumn id="242" xr3:uid="{6164901F-ED1A-47F9-B8E8-07341A3434F5}" name="Column236"/>
    <tableColumn id="243" xr3:uid="{C9AFB152-D0FE-4481-A2F3-76BDE865AC10}" name="Column237"/>
    <tableColumn id="244" xr3:uid="{C77897DE-97F2-4856-86B1-FF1A64A885EF}" name="Column238"/>
    <tableColumn id="245" xr3:uid="{7687D295-2FD0-4465-A8FF-2D460D74A470}" name="Column239"/>
    <tableColumn id="246" xr3:uid="{88222B39-3876-4F81-AFFD-23190CFC9E3D}" name="Column240"/>
    <tableColumn id="247" xr3:uid="{44035921-E3D3-4E52-B413-1DFB0D1C2733}" name="Column241"/>
    <tableColumn id="248" xr3:uid="{74DCEFE0-7522-4738-A081-A02B5A6EA49B}" name="Column242"/>
    <tableColumn id="249" xr3:uid="{2AA60EE9-06C6-40D1-855A-8EF0431552F6}" name="Column243"/>
    <tableColumn id="250" xr3:uid="{FA9AD09B-708B-4C03-97DA-941A21AA2673}" name="Column244"/>
    <tableColumn id="251" xr3:uid="{9B68931B-F12F-4ABE-B56E-73C193856323}" name="Column245"/>
    <tableColumn id="252" xr3:uid="{668D4605-3F3D-46BF-8075-53686980AD2D}" name="Column246"/>
    <tableColumn id="253" xr3:uid="{C688F6CC-0D32-4FB8-94D8-110C8F0081F9}" name="Column247"/>
    <tableColumn id="254" xr3:uid="{3F0FF1E4-6092-4BE7-8974-9F11E3FDD2CD}" name="Column248"/>
    <tableColumn id="255" xr3:uid="{69697E28-D3A6-4148-A8E0-8E998887858A}" name="Column249"/>
    <tableColumn id="256" xr3:uid="{40EF1DB6-C79F-464C-A594-417E992B87B9}" name="Column250"/>
    <tableColumn id="257" xr3:uid="{DF270D04-FCCB-4175-BC7B-B5CF4D9D1D97}" name="Column251"/>
    <tableColumn id="258" xr3:uid="{E9A947A5-EE3B-4FD5-9388-3DC85112D618}" name="Column252"/>
    <tableColumn id="259" xr3:uid="{4F0D0272-A3DE-4F08-9336-0045DEF6DD92}" name="Column253"/>
    <tableColumn id="260" xr3:uid="{A702DED5-74E0-4C5E-8041-73624B230D49}" name="Column254"/>
    <tableColumn id="261" xr3:uid="{AC42C1D3-B789-41CE-97D5-0DBC9D16FB80}" name="Column255"/>
    <tableColumn id="262" xr3:uid="{FABDF4C3-8A9A-4502-B8E3-B10DFD981238}" name="Column256"/>
    <tableColumn id="263" xr3:uid="{E59E2E03-29A0-4B15-B17A-DF12A4CF3748}" name="Column257"/>
    <tableColumn id="264" xr3:uid="{3310DE8D-13D9-48FC-860D-E36A795B94D4}" name="Column258"/>
    <tableColumn id="265" xr3:uid="{C31DE54F-BC8B-4064-ABBF-5AD254EAB28F}" name="Column259"/>
    <tableColumn id="266" xr3:uid="{90DFD6D5-737F-4EA8-8A1E-1421EA36583A}" name="Column260"/>
    <tableColumn id="267" xr3:uid="{9BF9E5E6-543F-4281-AC35-4C257AFAAD8B}" name="Column261"/>
    <tableColumn id="268" xr3:uid="{87BAC6C1-337B-44A9-8232-094422A15175}" name="Column262"/>
    <tableColumn id="269" xr3:uid="{3838884E-EEB7-471B-B1AD-325DB181B674}" name="Column263"/>
    <tableColumn id="270" xr3:uid="{1AA91470-5922-4E94-BC66-B464D184B47F}" name="Column264"/>
    <tableColumn id="271" xr3:uid="{62C15C67-CAFD-405E-B437-9368227139E1}" name="Column265"/>
    <tableColumn id="272" xr3:uid="{C955A2BB-452C-4E98-845F-92648E516723}" name="Column266"/>
    <tableColumn id="273" xr3:uid="{6B01BF75-5A2A-4ACC-A6D3-0FD650417321}" name="Column267"/>
    <tableColumn id="274" xr3:uid="{C22D3C9B-4121-4BA4-8CF3-20F262AA4579}" name="Column268"/>
    <tableColumn id="275" xr3:uid="{5305A93F-1F96-4989-AF7F-931367FCA62B}" name="Column269"/>
    <tableColumn id="276" xr3:uid="{20D6DBAA-3D34-41B7-BD19-D5636551FA62}" name="Column270"/>
    <tableColumn id="277" xr3:uid="{1919309D-56A3-4898-8C93-2C14C08D33ED}" name="Column271"/>
    <tableColumn id="278" xr3:uid="{72572E84-A3B0-4BC4-A9BB-8839B27BA999}" name="Column272"/>
    <tableColumn id="279" xr3:uid="{3B0106B1-7F5F-4E7B-9DDB-E0E639FFCB06}" name="Column273"/>
    <tableColumn id="280" xr3:uid="{3B1C72BA-0E23-407B-A4A9-016475A688D2}" name="Column274"/>
    <tableColumn id="281" xr3:uid="{CF9A25CE-5DBA-4906-899C-5CF72ECFBBBB}" name="Column275"/>
    <tableColumn id="282" xr3:uid="{E672B8FB-ED65-4E43-9192-B3B1EDFB41FB}" name="Column276"/>
    <tableColumn id="283" xr3:uid="{24C4FFA5-2A05-4F3F-B7C1-394DC933EDEC}" name="Column277"/>
    <tableColumn id="284" xr3:uid="{79BEE94B-C972-4EE7-B67D-4055B44DC1FC}" name="Column278"/>
    <tableColumn id="285" xr3:uid="{24E4E7E7-0C49-464C-B9DF-5A80FA8212F1}" name="Column279"/>
    <tableColumn id="286" xr3:uid="{34D56953-FFE5-4693-886B-C76BEE8C2128}" name="Column280"/>
    <tableColumn id="287" xr3:uid="{8C7B28A5-9D00-4886-A8A1-503B4E27B19E}" name="Column281"/>
    <tableColumn id="288" xr3:uid="{8177975B-E0EE-4D22-9511-38C319792F23}" name="Column282"/>
    <tableColumn id="289" xr3:uid="{057D3DD2-DD5E-4AC2-9BE1-EE9FA8294FD0}" name="Column283"/>
    <tableColumn id="290" xr3:uid="{5E968514-3874-42AD-8AF7-91E7BAA9D1B5}" name="Column284"/>
    <tableColumn id="291" xr3:uid="{5FC28DCC-0DFB-47B5-AE2B-DEE0B412519B}" name="Column285"/>
    <tableColumn id="292" xr3:uid="{EB8FDEC3-855C-44C3-B106-D608A8390B8B}" name="Column286"/>
    <tableColumn id="293" xr3:uid="{3C40B045-CEE3-4D74-A7EC-5E7143F74195}" name="Column287"/>
    <tableColumn id="294" xr3:uid="{A244D521-A6B6-4DE3-B957-FE2098A9F3B5}" name="Column288"/>
    <tableColumn id="295" xr3:uid="{B1AA26C4-63AC-4B88-9787-CE1AEE8E2275}" name="Column289"/>
    <tableColumn id="296" xr3:uid="{C233F3F5-CE51-4533-95FA-8A854C0F696C}" name="Column290"/>
    <tableColumn id="297" xr3:uid="{7B37C7A4-01D1-4E88-A3DA-EC989B32ADFC}" name="Column291"/>
    <tableColumn id="298" xr3:uid="{ACD58914-B509-48F0-9230-E103409B1F5B}" name="Column292"/>
    <tableColumn id="299" xr3:uid="{C795079F-BA42-40F0-A682-38C1C0A11912}" name="Column293"/>
    <tableColumn id="300" xr3:uid="{D4BFEB3F-A898-465A-AB49-615D192A9A24}" name="Column294"/>
    <tableColumn id="301" xr3:uid="{BD946156-2987-435C-9086-D64A8C211CE1}" name="Column295"/>
    <tableColumn id="302" xr3:uid="{9171123F-0165-4DA7-BA0C-12CB79BD4299}" name="Column296"/>
    <tableColumn id="303" xr3:uid="{08CF5977-7366-4B4B-8D05-02AE0788EF64}" name="Column297"/>
    <tableColumn id="304" xr3:uid="{210F704B-E490-4524-AFA8-5DFE05FD942F}" name="Column298"/>
    <tableColumn id="305" xr3:uid="{488F4EC9-5C26-4F63-ACBE-2A2310E7D914}" name="Column299"/>
    <tableColumn id="306" xr3:uid="{17861A8A-1E93-4F0E-83D1-3D8C97E5E8CF}" name="Column300"/>
    <tableColumn id="307" xr3:uid="{446531E5-C3F9-49DA-98EB-F7FBBEC838CC}" name="Column301"/>
    <tableColumn id="308" xr3:uid="{A14646A7-382A-450C-AA14-750DD6743914}" name="Column302"/>
    <tableColumn id="309" xr3:uid="{3DC3F5D7-AEC2-4F09-AFC1-6153DBE48FEB}" name="Column303"/>
    <tableColumn id="310" xr3:uid="{DFFA908A-0CE2-4A7A-8C10-92B4440D48F2}" name="Column304"/>
    <tableColumn id="311" xr3:uid="{FDA0E992-E7E1-4A7E-AA28-D0E7E11BFE17}" name="Column305"/>
    <tableColumn id="312" xr3:uid="{4B053CBF-392D-44CA-BD9A-9D26C7AD8B6D}" name="Column306"/>
    <tableColumn id="313" xr3:uid="{74B4F893-8322-41A6-AF39-490433439A5A}" name="Column307"/>
    <tableColumn id="314" xr3:uid="{37EA2D8D-CBB4-4C84-9435-EC90A6463C39}" name="Column308"/>
    <tableColumn id="315" xr3:uid="{8FF2216C-BD9E-49B2-8B4A-087CB68C3A39}" name="Column309"/>
    <tableColumn id="316" xr3:uid="{20BDE124-B471-4BE2-AF7F-BBD28BBB608D}" name="Column310"/>
    <tableColumn id="317" xr3:uid="{8636DB51-CDF1-4909-8271-B80FA1B0A754}" name="Column311"/>
    <tableColumn id="318" xr3:uid="{6FF6EF9C-6906-44F3-8CA7-06CB65F98397}" name="Column312"/>
    <tableColumn id="319" xr3:uid="{0F7DD0BC-4262-421D-AEFA-F03056DA9AD9}" name="Column313"/>
    <tableColumn id="320" xr3:uid="{128B4B55-54D7-4C8B-AB90-79D9C5DED4D2}" name="Column314"/>
    <tableColumn id="321" xr3:uid="{1FA13504-8847-4904-B78F-9EC966A04D67}" name="Column315"/>
    <tableColumn id="322" xr3:uid="{746804D6-A80B-4793-8540-4D226E77B29D}" name="Column316"/>
    <tableColumn id="323" xr3:uid="{C124CFEF-EA30-4C97-9E7D-20040E0F07B4}" name="Column317"/>
    <tableColumn id="324" xr3:uid="{FBC1209B-04B5-4FAD-A384-47BB6083922C}" name="Column318"/>
    <tableColumn id="325" xr3:uid="{9C2B43DD-C487-4B9D-82DD-164C47F08154}" name="Column319"/>
    <tableColumn id="326" xr3:uid="{294DF069-EE4A-4ECB-A089-34C94FB9418D}" name="Column320"/>
    <tableColumn id="327" xr3:uid="{E82F8EED-CA96-4FD0-8828-D5CD535938AC}" name="Column321"/>
    <tableColumn id="328" xr3:uid="{C6090E64-23AE-46E9-B66B-7F762920D948}" name="Column322"/>
    <tableColumn id="329" xr3:uid="{36B24255-6B9C-45AF-8366-479F5DE93224}" name="Column323"/>
    <tableColumn id="330" xr3:uid="{6D42DFA6-B094-4A7C-AC80-FC13CFDCCF71}" name="Column324"/>
    <tableColumn id="331" xr3:uid="{694FBD14-AED7-40A0-9F0E-44ADB0269A09}" name="Column325"/>
    <tableColumn id="332" xr3:uid="{CC031243-1402-44A2-A416-07EB38E5EF9D}" name="Column326"/>
    <tableColumn id="333" xr3:uid="{3039ED61-8B51-4044-9336-8A2E905E2495}" name="Column327"/>
    <tableColumn id="334" xr3:uid="{35D09C08-3748-4E41-B06D-B259B0627536}" name="Column328"/>
    <tableColumn id="335" xr3:uid="{C8624F85-D29F-4F58-8589-1F45BF3ACE5C}" name="Column329"/>
    <tableColumn id="336" xr3:uid="{5FCA3219-F365-4580-8615-9DEBD5ABAF55}" name="Column330"/>
    <tableColumn id="337" xr3:uid="{26C17909-0AA5-41D3-B9F6-5A9DCE38BFA7}" name="Column331"/>
    <tableColumn id="338" xr3:uid="{83219A3B-13E3-4935-9D32-79B3EFEDD524}" name="Column332"/>
    <tableColumn id="339" xr3:uid="{FDFFE73E-7C72-4465-954D-FED1F9148426}" name="Column333"/>
    <tableColumn id="340" xr3:uid="{35235C21-8131-4F3D-BEBD-99DB907FC1D3}" name="Column334"/>
    <tableColumn id="341" xr3:uid="{E634A581-80A6-4D95-B80B-1B1BB2FD9BF5}" name="Column335"/>
    <tableColumn id="342" xr3:uid="{142E259B-7AEC-49A9-B069-75E814279501}" name="Column336"/>
    <tableColumn id="343" xr3:uid="{F1DA617F-E0E5-47D2-BFEA-0EFFC5052CE9}" name="Column337"/>
    <tableColumn id="344" xr3:uid="{E7DCCC98-E94E-480D-AAC9-E09ACCA5837F}" name="Column338"/>
    <tableColumn id="345" xr3:uid="{2215B60F-2D7D-486D-A614-22F596C5698A}" name="Column339"/>
    <tableColumn id="346" xr3:uid="{AE1202E5-6CA1-44BC-B966-D258A72AD4E2}" name="Column340"/>
    <tableColumn id="347" xr3:uid="{3F3CD29D-DC70-442F-A3C8-497253CEF256}" name="Column341"/>
    <tableColumn id="348" xr3:uid="{190221B3-3D34-4EE3-A4AE-6E00B86F18E6}" name="Column342"/>
    <tableColumn id="349" xr3:uid="{980809CC-3037-4499-8623-B8D279599148}" name="Column343"/>
    <tableColumn id="350" xr3:uid="{412D0F67-C958-4CE6-9104-0AF87C473CE5}" name="Column344"/>
    <tableColumn id="351" xr3:uid="{FD59144A-1AB0-43CD-BA8F-21811746D27F}" name="Column345"/>
    <tableColumn id="352" xr3:uid="{BE82F98C-FACB-4A0F-A52A-F4711D9EE7B6}" name="Column346"/>
    <tableColumn id="353" xr3:uid="{6046A372-5790-4D90-A15F-55659EECE6CB}" name="Column347"/>
    <tableColumn id="354" xr3:uid="{943EF123-B1D0-4A08-A90C-1B0E8BD70208}" name="Column348"/>
    <tableColumn id="355" xr3:uid="{4392290E-D80E-47EA-9522-33179A59D1F4}" name="Column349"/>
    <tableColumn id="356" xr3:uid="{0BA1FA2E-7984-40D5-8655-4C70DE279CA5}" name="Column350"/>
    <tableColumn id="357" xr3:uid="{0C168ECD-61AE-4AAB-8324-E06918DECCE5}" name="Column351"/>
    <tableColumn id="358" xr3:uid="{7E716ED2-1B12-460C-BBA7-47013EC53201}" name="Column352"/>
    <tableColumn id="359" xr3:uid="{7C6D6264-A864-4ADC-AAEE-DD5BBE6DBBDE}" name="Column353"/>
    <tableColumn id="360" xr3:uid="{839F8DE8-A781-4BE7-80F9-682970673FE4}" name="Column354"/>
    <tableColumn id="361" xr3:uid="{F863BA79-3AF2-434F-AEC6-B0DDBD060BF4}" name="Column355"/>
    <tableColumn id="362" xr3:uid="{32154029-CFCC-43E2-A1DE-CD2731C146F4}" name="Column356"/>
    <tableColumn id="363" xr3:uid="{86E5F6CF-CCD8-47FB-8A7C-42B507761C18}" name="Column357"/>
    <tableColumn id="364" xr3:uid="{F6473CDB-962D-4F9D-BAED-090D51DE0A53}" name="Column358"/>
    <tableColumn id="365" xr3:uid="{F0506A58-FF88-43E1-84A7-A74BB3203F4E}" name="Column359"/>
    <tableColumn id="366" xr3:uid="{F0D4CE95-352D-435C-A7A0-0E1C17F4F59F}" name="Column360"/>
    <tableColumn id="367" xr3:uid="{FE9C1C02-A233-4721-9209-DFC704F0685F}" name="Column361"/>
    <tableColumn id="368" xr3:uid="{B071EA9B-C80F-4163-B5BA-0CBE1A08EFA7}" name="Column362"/>
    <tableColumn id="369" xr3:uid="{DDDB440D-01B4-4F42-90DA-E2DC2239B0B7}" name="Column363"/>
    <tableColumn id="370" xr3:uid="{4233A2B7-1531-40EF-A6C7-D4F09B196971}" name="Column364"/>
    <tableColumn id="371" xr3:uid="{53C9A1D9-A6B0-427B-BCA2-CFC7D9E97300}" name="Column365"/>
    <tableColumn id="372" xr3:uid="{B462313D-46AA-4144-BBFC-AA681CA1BCE0}" name="Column366"/>
    <tableColumn id="373" xr3:uid="{621E33A9-9299-43AD-91E6-66C78847E4D7}" name="Column367"/>
    <tableColumn id="374" xr3:uid="{B3DF53B7-FDE7-41CB-80A0-10F01EC9D8DB}" name="Column368"/>
    <tableColumn id="375" xr3:uid="{EA94F930-D0A3-45A0-A535-9F68DC014FB7}" name="Column369"/>
    <tableColumn id="376" xr3:uid="{B429E816-AB7B-420C-BAFD-DCC7B615010E}" name="Column370"/>
    <tableColumn id="377" xr3:uid="{9C4C435F-2CA9-48DC-AD6C-816F4127308D}" name="Column371"/>
    <tableColumn id="378" xr3:uid="{64D19693-BC18-4258-93FD-90EBE2130EFA}" name="Column372"/>
    <tableColumn id="379" xr3:uid="{F9A57A74-2609-450B-8630-CF23D94DFD27}" name="Column373"/>
    <tableColumn id="380" xr3:uid="{C88EB422-9F44-4433-8D45-39F101CFFA6E}" name="Column374"/>
    <tableColumn id="381" xr3:uid="{D364FE2B-B3DA-4AAE-AF11-415F661BB49F}" name="Column375"/>
    <tableColumn id="382" xr3:uid="{34FE4A30-7092-4CB4-97D6-F606BC717821}" name="Column376"/>
    <tableColumn id="383" xr3:uid="{54FC24B4-9C68-4392-9D3C-A9F06F68C859}" name="Column377"/>
    <tableColumn id="384" xr3:uid="{5D93DF12-2735-424C-A148-5345C231B15C}" name="Column378"/>
    <tableColumn id="385" xr3:uid="{00EB7F28-57B8-49C8-8499-953D157FD2BF}" name="Column379"/>
    <tableColumn id="386" xr3:uid="{5EA7CACF-E49F-4D73-9F5C-2203BC859423}" name="Column380"/>
    <tableColumn id="387" xr3:uid="{5719D95A-DBE9-4089-AA83-7438424A1A05}" name="Column381"/>
    <tableColumn id="388" xr3:uid="{571E46A6-59E9-4693-A170-95E50742B895}" name="Column382"/>
    <tableColumn id="389" xr3:uid="{360060D3-BF30-4AF0-AD58-FEA905BD4E6E}" name="Column383"/>
    <tableColumn id="390" xr3:uid="{823B26E2-553A-4927-9BB4-1CC792EC0E84}" name="Column384"/>
    <tableColumn id="391" xr3:uid="{B4083073-C8E4-42FD-8AEE-F90C2710F4B5}" name="Column385"/>
    <tableColumn id="392" xr3:uid="{1F222B81-813A-4FF9-A416-D2080DBF6381}" name="Column386"/>
    <tableColumn id="393" xr3:uid="{7A0DED91-1CE0-4904-91FE-C321764FE676}" name="Column387"/>
    <tableColumn id="394" xr3:uid="{07FA529B-3476-45A7-8F31-9513CAF29B6A}" name="Column388"/>
    <tableColumn id="395" xr3:uid="{4B95D803-D5E6-42C8-8AB5-BD5EFD9BA844}" name="Column389"/>
    <tableColumn id="396" xr3:uid="{43A35D57-1DFE-49B5-B5B7-180164E1264B}" name="Column390"/>
    <tableColumn id="397" xr3:uid="{2F6A63B4-5F2B-4B0D-ADED-B05EE4E8ECEC}" name="Column391"/>
    <tableColumn id="398" xr3:uid="{B12BAC23-E604-4543-BC18-51BC7D605EDD}" name="Column392"/>
    <tableColumn id="399" xr3:uid="{46AAD10E-71C1-4317-85F8-B9D1AA177472}" name="Column393"/>
    <tableColumn id="400" xr3:uid="{9D411E2D-69DD-4DE5-9E97-030DDCE84830}" name="Column394"/>
    <tableColumn id="401" xr3:uid="{3A6012BF-69B1-4223-AB7E-857E19783412}" name="Column395"/>
    <tableColumn id="402" xr3:uid="{69C01548-7420-4CEC-92E3-56EC91245AF8}" name="Column396"/>
    <tableColumn id="403" xr3:uid="{3A270E23-0C09-4F13-A017-3362844470D9}" name="Column397"/>
    <tableColumn id="404" xr3:uid="{EF91707E-70A0-476B-B754-52B8A8AB7FB7}" name="Column398"/>
    <tableColumn id="405" xr3:uid="{8EE5E087-5275-44E2-AFFA-1F6EA3C8215B}" name="Column399"/>
    <tableColumn id="406" xr3:uid="{0E07BE31-270D-44E0-A616-8A71D4236668}" name="Column400"/>
    <tableColumn id="407" xr3:uid="{77ACD772-BCC1-4E65-975A-1190112EE35D}" name="Column401"/>
    <tableColumn id="408" xr3:uid="{ADA64646-A25C-4DD7-A97F-6E0549574CF6}" name="Column402"/>
    <tableColumn id="409" xr3:uid="{8D4F7B52-F2A0-4E1A-AFA0-16633E2396FF}" name="Column403"/>
    <tableColumn id="410" xr3:uid="{5BD9BF99-5FA9-4B17-82E3-086F4297D84A}" name="Column404"/>
    <tableColumn id="411" xr3:uid="{6FF2E41A-8B34-4232-807F-BF69EA216AEC}" name="Column405"/>
    <tableColumn id="412" xr3:uid="{5D5358BA-3603-4F17-9FF3-7D2A0B6AC439}" name="Column406"/>
    <tableColumn id="413" xr3:uid="{EEDF859C-B4BE-4B1B-B29F-02DFF2787935}" name="Column407"/>
    <tableColumn id="414" xr3:uid="{B8017C58-6A4D-4032-8F79-33853D08A9ED}" name="Column408"/>
    <tableColumn id="415" xr3:uid="{DFA7423C-1443-445B-865C-B443E99B3CD4}" name="Column409"/>
    <tableColumn id="416" xr3:uid="{97718913-B0CD-4019-985F-8061FC3CB7E6}" name="Column410"/>
    <tableColumn id="417" xr3:uid="{F59D7D4D-2587-434A-B7FE-D3F32A1BEC1B}" name="Column411"/>
    <tableColumn id="418" xr3:uid="{C0E8D810-65A4-4854-8E03-B506689344E0}" name="Column412"/>
    <tableColumn id="419" xr3:uid="{FC20D22A-E92D-4FD9-8913-A3787977BF37}" name="Column413"/>
    <tableColumn id="420" xr3:uid="{53F0DEE3-E7D6-4AF9-91FC-4DFBBE6CA55B}" name="Column414"/>
    <tableColumn id="421" xr3:uid="{A0A5A808-F29B-4240-9B7E-B92653B1B087}" name="Column415"/>
    <tableColumn id="422" xr3:uid="{907F3B7B-409A-42C9-B080-E02C0911304D}" name="Column416"/>
    <tableColumn id="423" xr3:uid="{CE9F5ECB-0BD8-4368-BC06-0C4B89A792F7}" name="Column417"/>
    <tableColumn id="424" xr3:uid="{25251B3B-837B-47F2-8123-56B67EB77C90}" name="Column418"/>
    <tableColumn id="425" xr3:uid="{0908AB3A-2580-4163-8531-9AC7CB54C0A0}" name="Column419"/>
    <tableColumn id="426" xr3:uid="{71A2CF30-D693-4555-BBDC-EBE4029CF7C6}" name="Column420"/>
    <tableColumn id="427" xr3:uid="{1587D267-9976-4848-BFA8-F0D82877D14C}" name="Column421"/>
    <tableColumn id="428" xr3:uid="{8FC7AC1E-2F88-424C-A95B-3726478379E0}" name="Column422"/>
    <tableColumn id="429" xr3:uid="{DC1BAE0B-C016-4A4C-8044-018644302397}" name="Column423"/>
    <tableColumn id="430" xr3:uid="{58B20BF7-C284-4084-98B2-A3B3086E8BE9}" name="Column424"/>
    <tableColumn id="431" xr3:uid="{DFFDE705-9D18-4C10-A75B-4E4AA0A165B2}" name="Column425"/>
    <tableColumn id="432" xr3:uid="{DC66A7A8-1179-4074-A5B7-79AB00CA0346}" name="Column426"/>
    <tableColumn id="433" xr3:uid="{15F3F181-7F49-4FBA-BB92-B033FA505756}" name="Column427"/>
    <tableColumn id="434" xr3:uid="{873FA223-8C35-470D-A277-3AB656E34170}" name="Column428"/>
    <tableColumn id="435" xr3:uid="{C9ECD43F-2157-43F8-B5D8-686AADCB4BFD}" name="Column429"/>
    <tableColumn id="436" xr3:uid="{409122F6-07DB-4F8A-A9CA-5A92A629E86B}" name="Column430"/>
    <tableColumn id="437" xr3:uid="{96D079A4-29E4-43D5-B108-2BE78DAF3A9D}" name="Column431"/>
    <tableColumn id="438" xr3:uid="{E39ABE74-2833-4BE5-87E1-135DA0529A73}" name="Column432"/>
    <tableColumn id="439" xr3:uid="{E2B3BCBE-066F-4078-AC63-F4040C18D154}" name="Column433"/>
    <tableColumn id="440" xr3:uid="{E4626DE2-A0C9-4FE2-8062-DFE95DD92389}" name="Column434"/>
    <tableColumn id="441" xr3:uid="{BA693CC5-7382-4079-9E4C-81A0CFC29F8A}" name="Column435"/>
    <tableColumn id="442" xr3:uid="{3D110AA3-B7DA-4A0E-B7AE-0422BF86FAD0}" name="Column436"/>
    <tableColumn id="443" xr3:uid="{E07AC096-A6F1-4B52-AE25-76FC2E298CE5}" name="Column437"/>
    <tableColumn id="444" xr3:uid="{A590DAC6-3A3D-4AAC-9671-F3F77DDC4B54}" name="Column438"/>
    <tableColumn id="445" xr3:uid="{CAFDEAD2-12C4-4046-8494-98DA7FBE303A}" name="Column439"/>
    <tableColumn id="446" xr3:uid="{AE98004C-B62A-4782-82F7-25C1AA2A5309}" name="Column440"/>
    <tableColumn id="447" xr3:uid="{33E47636-0067-4A14-85D0-64CC698B858E}" name="Column441"/>
    <tableColumn id="448" xr3:uid="{6DA5B45C-4B28-4B19-9F1D-FF7B44F0DEFB}" name="Column442"/>
    <tableColumn id="449" xr3:uid="{B79127CE-204C-48AE-8D94-B423EE0E9E37}" name="Column443"/>
    <tableColumn id="450" xr3:uid="{D475D2CC-9001-4D3F-BB10-6750D7B2932A}" name="Column444"/>
    <tableColumn id="451" xr3:uid="{472D643C-E0CE-42BD-A83D-E150CB8B1B80}" name="Column445"/>
    <tableColumn id="452" xr3:uid="{72EF3763-7769-468B-AE9C-567DE371A452}" name="Column446"/>
    <tableColumn id="453" xr3:uid="{36B2B62D-893C-4360-A0A0-D089A8C366AB}" name="Column447"/>
    <tableColumn id="454" xr3:uid="{B577184B-C261-4736-A5F2-AE25A4639891}" name="Column448"/>
    <tableColumn id="455" xr3:uid="{A5BD945E-6482-4789-9B6F-C259D6070444}" name="Column449"/>
    <tableColumn id="456" xr3:uid="{410041FB-88F0-4D1F-A81E-EFD64CF0A394}" name="Column450"/>
    <tableColumn id="457" xr3:uid="{6AC7DC9B-42E3-4143-87A2-AADBA72CBEDA}" name="Column451"/>
    <tableColumn id="458" xr3:uid="{2DCFD234-A57C-4D05-B941-17481F002A54}" name="Column452"/>
    <tableColumn id="459" xr3:uid="{08E4266D-1AB8-4637-BA35-9BEBED7C2482}" name="Column453"/>
    <tableColumn id="460" xr3:uid="{FD7D48AC-9F56-4B27-B36F-0FA452A38770}" name="Column454"/>
    <tableColumn id="461" xr3:uid="{12C8565D-89AB-40F8-8D2D-DE6FCC87885A}" name="Column455"/>
    <tableColumn id="462" xr3:uid="{31DB4613-FA50-466F-B291-DFA14B2986CE}" name="Column456"/>
    <tableColumn id="463" xr3:uid="{856335EC-15DE-49B9-B13B-E8E6FE2CE957}" name="Column457"/>
    <tableColumn id="464" xr3:uid="{176DB1E7-6C81-46F0-A191-E1EF0E5FCA81}" name="Column458"/>
    <tableColumn id="465" xr3:uid="{A33D0032-0A19-4400-8525-6277A5B77678}" name="Column459"/>
    <tableColumn id="466" xr3:uid="{96DFE509-CC19-48B3-9CFE-D4410F71E2E6}" name="Column460"/>
    <tableColumn id="467" xr3:uid="{05F77B7C-B7F9-4AED-8EC5-2F43CEA2BFB1}" name="Column461"/>
    <tableColumn id="468" xr3:uid="{4D636CD5-B7FC-4638-9DB2-3FB3742818D0}" name="Column462"/>
    <tableColumn id="469" xr3:uid="{24953272-5447-41F6-A205-99C6F80AFB87}" name="Column463"/>
    <tableColumn id="470" xr3:uid="{0467A96F-AE1F-4ED5-986D-40D660585663}" name="Column464"/>
    <tableColumn id="471" xr3:uid="{05116417-C67D-408D-9611-3BAF76FEAF89}" name="Column465"/>
    <tableColumn id="472" xr3:uid="{B0E5194F-89D6-4C89-8DF1-6B5CF11E663A}" name="Column466"/>
    <tableColumn id="473" xr3:uid="{8DFAB8EC-E8E8-4A32-9E4F-426CC28A2DA2}" name="Column467"/>
    <tableColumn id="474" xr3:uid="{C8ACA21F-2141-47CA-823E-8CEF75DF79D8}" name="Column468"/>
    <tableColumn id="475" xr3:uid="{C010436C-FBE4-4DD3-B6D0-A98457673A15}" name="Column469"/>
    <tableColumn id="476" xr3:uid="{9FE41471-69F1-4110-AA34-CF3A465BD74B}" name="Column470"/>
    <tableColumn id="477" xr3:uid="{BA96EAA5-E4E3-4065-9E1E-CDCFBBC32596}" name="Column471"/>
    <tableColumn id="478" xr3:uid="{4E4703C7-EB54-4BC8-978D-794BE1A933DC}" name="Column472"/>
    <tableColumn id="479" xr3:uid="{FD2162F5-A047-4F7A-A4BE-7A8DFDE26763}" name="Column473"/>
    <tableColumn id="480" xr3:uid="{3948BE8B-5C85-435E-A3AC-809AF7138C35}" name="Column474"/>
    <tableColumn id="481" xr3:uid="{A99E156A-6FC8-49CD-ADCC-2780B02C1BA5}" name="Column475"/>
    <tableColumn id="482" xr3:uid="{6E33DC99-9997-440B-A76A-ADB13C6A8D7C}" name="Column476"/>
    <tableColumn id="483" xr3:uid="{58C90632-D3F9-4D09-A568-7665C8B0F685}" name="Column477"/>
    <tableColumn id="484" xr3:uid="{12660CAB-E53D-4200-9F5C-BE22A1C51B19}" name="Column478"/>
    <tableColumn id="485" xr3:uid="{DD7D1B65-2BCB-4FD2-BE07-2E1D4E4B4C53}" name="Column479"/>
    <tableColumn id="486" xr3:uid="{B146764C-9AC5-41F8-84AF-2FA8AC3924DF}" name="Column480"/>
    <tableColumn id="487" xr3:uid="{6A6EA159-6C71-4AC9-9801-600FDB1417D4}" name="Column481"/>
    <tableColumn id="488" xr3:uid="{94B34634-1C8A-488E-A8A0-8900B4456C41}" name="Column482"/>
    <tableColumn id="489" xr3:uid="{31019F2D-6154-4FCE-8AA4-8BFCB952CCAB}" name="Column483"/>
    <tableColumn id="490" xr3:uid="{33AD677E-389F-49F8-8A92-4226CF4A9551}" name="Column484"/>
    <tableColumn id="491" xr3:uid="{524741B6-980D-427B-9B85-5EC0CD2AEFFF}" name="Column485"/>
    <tableColumn id="492" xr3:uid="{9604BB2B-CE0A-4CE6-ADED-4C92732CF89F}" name="Column486"/>
    <tableColumn id="493" xr3:uid="{88F360F9-9A0F-4DE3-80A4-6FC31105E3D9}" name="Column487"/>
    <tableColumn id="494" xr3:uid="{5101A256-40D9-4CAB-8830-5BB84D7319AA}" name="Column488"/>
    <tableColumn id="495" xr3:uid="{CDAC95B2-91CF-4C72-A2F0-5645803467A0}" name="Column489"/>
    <tableColumn id="496" xr3:uid="{929CF63F-3998-4444-9F08-9AC53365B7CE}" name="Column490"/>
    <tableColumn id="497" xr3:uid="{3316C5D9-EA49-43EE-A6FB-23B008DE2EDD}" name="Column491"/>
    <tableColumn id="498" xr3:uid="{44E8CFF7-8C17-4800-86E6-8A79B2F82AFC}" name="Column492"/>
    <tableColumn id="499" xr3:uid="{049FDBFE-2C44-4D93-9307-E32BC30A0DF4}" name="Column493"/>
    <tableColumn id="500" xr3:uid="{C815293B-E75A-4EEB-A987-F3B3C8524F86}" name="Column494"/>
    <tableColumn id="501" xr3:uid="{D72055C5-90C7-48F0-AB35-251883FCF05D}" name="Column495"/>
    <tableColumn id="502" xr3:uid="{82933481-6A33-444A-93C9-37C5292E3660}" name="Column496"/>
    <tableColumn id="503" xr3:uid="{1B8668ED-32FF-452A-B685-C899180F1CB8}" name="Column497"/>
    <tableColumn id="504" xr3:uid="{82C4341E-E4FB-4360-B28C-76F13217F84D}" name="Column498"/>
    <tableColumn id="505" xr3:uid="{96ADE10D-A658-4803-9386-9A47EFC52DB4}" name="Column499"/>
    <tableColumn id="506" xr3:uid="{10A9002B-5898-415D-AF0A-E09BA4024535}" name="Column500"/>
    <tableColumn id="507" xr3:uid="{DA2F4A1C-20AA-43C7-95A6-A7DD5003A027}" name="Column501"/>
    <tableColumn id="508" xr3:uid="{9358DA5C-EB54-48CD-90D5-C4D16AE16FDD}" name="Column502"/>
    <tableColumn id="509" xr3:uid="{0A9D3370-0A2C-421C-BD7B-6CD8C9F4A140}" name="Column503"/>
    <tableColumn id="510" xr3:uid="{1B5BFD70-554A-4767-9106-0C5D185FDA90}" name="Column504"/>
    <tableColumn id="511" xr3:uid="{73F64187-AF70-4FA0-9316-C0BA4ADE5637}" name="Column505"/>
    <tableColumn id="512" xr3:uid="{7F539F7F-2A0A-4F70-8C90-10A597C19562}" name="Column506"/>
    <tableColumn id="513" xr3:uid="{586AC420-584B-4725-8F76-BA64B8150CF2}" name="Column507"/>
    <tableColumn id="514" xr3:uid="{171DDE81-62D8-491F-B2CF-D5CBE79BE68A}" name="Column508"/>
    <tableColumn id="515" xr3:uid="{4ACE14B0-9E08-4255-A1BE-22E323D80F77}" name="Column509"/>
    <tableColumn id="516" xr3:uid="{DE9AAE16-BCB2-4151-BB2C-7F08694869AE}" name="Column510"/>
    <tableColumn id="517" xr3:uid="{EA31252B-FE84-4D4B-9E58-5B8C19D8E17A}" name="Column511"/>
    <tableColumn id="518" xr3:uid="{67CBB0B0-FCAA-463E-ACF6-2A29147ADC80}" name="Column512"/>
    <tableColumn id="519" xr3:uid="{8374C730-E981-473D-BA7A-5BEE62362AE7}" name="Column513"/>
    <tableColumn id="520" xr3:uid="{B3601482-66AF-4640-B7D6-4CAAC23743DE}" name="Column514"/>
    <tableColumn id="521" xr3:uid="{2F7FA4C9-CCB0-4B01-8E44-2E33714045C6}" name="Column515"/>
    <tableColumn id="522" xr3:uid="{BA16DD4C-C236-45E8-9C25-C81F7918B76B}" name="Column516"/>
    <tableColumn id="523" xr3:uid="{3CB4C7A8-118B-4978-A03B-4EBAD49C5FE7}" name="Column517"/>
    <tableColumn id="524" xr3:uid="{283A9522-69EC-45E1-A2A5-40F598C5B6E8}" name="Column518"/>
    <tableColumn id="525" xr3:uid="{8D9B7115-E86D-48B0-B217-21E1543F99F4}" name="Column519"/>
    <tableColumn id="526" xr3:uid="{6F0342B1-3E02-4BD9-B5B7-B1AB9B49BEA1}" name="Column520"/>
    <tableColumn id="527" xr3:uid="{0316E88D-8B95-4C86-BFDF-07E546386363}" name="Column521"/>
    <tableColumn id="528" xr3:uid="{B31C6F08-718A-41B5-91F6-4ACEB18E0BBE}" name="Column522"/>
    <tableColumn id="529" xr3:uid="{3E03B0EF-F956-4D9C-A16F-87777DD1C5FA}" name="Column523"/>
    <tableColumn id="530" xr3:uid="{26DB35E4-B4B1-4BD8-8185-44CFC9A28385}" name="Column524"/>
    <tableColumn id="531" xr3:uid="{31118B4E-F8A8-4AF1-9E3F-EBB5A87864C8}" name="Column525"/>
    <tableColumn id="532" xr3:uid="{82D42EFE-F6A3-4C4B-A044-8493D8B1E3E8}" name="Column526"/>
    <tableColumn id="533" xr3:uid="{209E4C27-8127-4DDC-8C40-9F0EC57B9FF2}" name="Column527"/>
    <tableColumn id="534" xr3:uid="{B1105158-6E07-47E8-9AE8-CF438B92B382}" name="Column528"/>
    <tableColumn id="535" xr3:uid="{88DA7E48-56E5-4B84-8E3D-25295FD60C9B}" name="Column529"/>
    <tableColumn id="536" xr3:uid="{5FC81548-F3B8-42F0-9D5C-FB669C3B5D39}" name="Column530"/>
    <tableColumn id="537" xr3:uid="{A7F8B335-E9CA-4C6A-AA90-4EE3E307D0BC}" name="Column531"/>
    <tableColumn id="538" xr3:uid="{654EB026-7289-46B4-9525-45A6D9AE169D}" name="Column532"/>
    <tableColumn id="539" xr3:uid="{74849058-BBDE-4538-87A1-6CB7B280151A}" name="Column533"/>
    <tableColumn id="540" xr3:uid="{89DC7B46-4DC7-4637-900D-28748FCE8E8A}" name="Column534"/>
    <tableColumn id="541" xr3:uid="{357C588D-5963-4BA0-87D5-590B57203EB0}" name="Column535"/>
    <tableColumn id="542" xr3:uid="{EC130271-21E6-4559-816E-AA1A33030E7E}" name="Column536"/>
    <tableColumn id="543" xr3:uid="{20ADCCFD-E99A-4619-93E2-FEE819CC5330}" name="Column537"/>
    <tableColumn id="544" xr3:uid="{5E756BB4-9BAD-4FDB-A4C7-DF6AAC3D8378}" name="Column538"/>
    <tableColumn id="545" xr3:uid="{902788F0-6890-4241-9D5B-827C58A474D0}" name="Column539"/>
    <tableColumn id="546" xr3:uid="{5026371F-4581-4460-9138-89CA91C79EA7}" name="Column540"/>
    <tableColumn id="547" xr3:uid="{9EA56F32-8D89-4100-81D1-FC65F72B41FF}" name="Column541"/>
    <tableColumn id="548" xr3:uid="{581A8CCA-DC6C-4245-B5D9-3BB0CBD3F5AA}" name="Column542"/>
    <tableColumn id="549" xr3:uid="{AE7E05BA-2898-4E56-80D0-2771F3F0EC05}" name="Column543"/>
    <tableColumn id="550" xr3:uid="{128D9DFB-24A7-401B-A2D7-A68ADC04B7E0}" name="Column544"/>
    <tableColumn id="551" xr3:uid="{9836E1B6-1A5B-443C-8C92-11563C3A6D6D}" name="Column545"/>
    <tableColumn id="552" xr3:uid="{67B8BE52-2E98-423E-A2F8-8BD6F5B9A71D}" name="Column546"/>
    <tableColumn id="553" xr3:uid="{512838DA-571B-4E75-B1B1-9B88E47498F4}" name="Column547"/>
    <tableColumn id="554" xr3:uid="{D2B56EDE-4F08-448F-87D8-65D6FDAF93C9}" name="Column548"/>
    <tableColumn id="555" xr3:uid="{32C0BFB6-00F6-43AE-8518-6D40F5F48958}" name="Column549"/>
    <tableColumn id="556" xr3:uid="{C807E2B2-A00A-469D-9CE9-98F1F8C03A55}" name="Column550"/>
    <tableColumn id="557" xr3:uid="{996145D9-9FFE-4E7A-A6FB-51D0FF4E6F59}" name="Column551"/>
    <tableColumn id="558" xr3:uid="{7CAC70DA-AE59-4369-B8F3-553887E49339}" name="Column552"/>
    <tableColumn id="559" xr3:uid="{D2D1066B-98C6-4AA1-AC71-3C4B5C1CD572}" name="Column553"/>
    <tableColumn id="560" xr3:uid="{E87C63FD-790B-4DF0-A26E-C7872E87C8AC}" name="Column554"/>
    <tableColumn id="561" xr3:uid="{36A322E3-22D7-4794-85E8-9395B94C7A01}" name="Column555"/>
    <tableColumn id="562" xr3:uid="{7A6FFD55-9819-4B6C-BF85-DE901E7FAA3E}" name="Column556"/>
    <tableColumn id="563" xr3:uid="{88523A2D-0ED3-4426-8493-2C33703B8039}" name="Column557"/>
    <tableColumn id="564" xr3:uid="{D1AB9AAB-38A5-492A-AD18-9F5E41F809DB}" name="Column558"/>
    <tableColumn id="565" xr3:uid="{97B8A2FC-5728-427F-8508-F9B6FBFDD369}" name="Column559"/>
    <tableColumn id="566" xr3:uid="{B2EC42D5-B148-4896-9C4E-885A58621043}" name="Column560"/>
    <tableColumn id="567" xr3:uid="{2CAD63F7-87E5-4240-B83F-ECFFB97C200D}" name="Column561"/>
    <tableColumn id="568" xr3:uid="{35319128-203C-4384-99A4-46F93A3D359A}" name="Column562"/>
    <tableColumn id="569" xr3:uid="{CCBDFD1E-98B4-42BD-9E98-1E914FFF4F4E}" name="Column563"/>
    <tableColumn id="570" xr3:uid="{0292F210-6DE0-45BD-B249-222AF539634B}" name="Column564"/>
    <tableColumn id="571" xr3:uid="{AF234A93-A5AC-4F34-A452-30352EBB7DDE}" name="Column565"/>
    <tableColumn id="572" xr3:uid="{3F554772-584E-48DD-8F71-CC4BE6029812}" name="Column566"/>
    <tableColumn id="573" xr3:uid="{DB0E562A-FC7D-4EB4-A203-5180F20F41BB}" name="Column567"/>
    <tableColumn id="574" xr3:uid="{B12A3B5D-769F-40C6-BF3F-E9BEA88351ED}" name="Column568"/>
    <tableColumn id="575" xr3:uid="{B9744DFB-CB14-4C90-9415-084E5A80323C}" name="Column569"/>
    <tableColumn id="576" xr3:uid="{0BED9EF3-DE92-48E5-B8EC-D96921504E54}" name="Column570"/>
    <tableColumn id="577" xr3:uid="{83989352-FE98-447C-936B-29FAC8E9259D}" name="Column571"/>
    <tableColumn id="578" xr3:uid="{6D280503-AF77-4506-9E79-D184092BBD58}" name="Column572"/>
    <tableColumn id="579" xr3:uid="{DF8B6D5E-7A74-4884-9EAE-6B4D7DC4A2A4}" name="Column573"/>
    <tableColumn id="580" xr3:uid="{56919B5A-695B-4CB0-969A-4F35F036F1B3}" name="Column574"/>
    <tableColumn id="581" xr3:uid="{593484C2-E82C-4804-AFAC-AEF0EB90B760}" name="Column575"/>
    <tableColumn id="582" xr3:uid="{78DE0D80-38A3-466A-AC34-600A3F82B38B}" name="Column576"/>
    <tableColumn id="583" xr3:uid="{89FF064D-BEAD-40FB-8244-964824FFCECE}" name="Column577"/>
    <tableColumn id="584" xr3:uid="{A2C3C063-D394-4D7B-9875-76889EBAD99E}" name="Column578"/>
    <tableColumn id="585" xr3:uid="{C645E364-8F67-416A-B1CB-CAB2B84BD6BC}" name="Column579"/>
    <tableColumn id="586" xr3:uid="{1E87CDE2-4D78-4CB6-931D-2C44DDB8E52C}" name="Column580"/>
    <tableColumn id="587" xr3:uid="{D415E743-93C4-4D50-AC64-26741BD2F43F}" name="Column581"/>
    <tableColumn id="588" xr3:uid="{57BDE806-B6CA-44B9-A8BE-4C45DC394084}" name="Column582"/>
    <tableColumn id="589" xr3:uid="{AD134409-A017-4E69-BCF0-FF89059734DD}" name="Column583"/>
    <tableColumn id="590" xr3:uid="{B0E2768E-0EC1-46CB-BEE2-734570B313E2}" name="Column584"/>
    <tableColumn id="591" xr3:uid="{4864168A-A022-45CD-930F-149C92928543}" name="Column585"/>
    <tableColumn id="592" xr3:uid="{8B5110AE-5692-492F-9C49-3758BCB89AFE}" name="Column586"/>
    <tableColumn id="593" xr3:uid="{375A6E3F-46BA-441E-AF2C-DE338A7ABAAD}" name="Column587"/>
    <tableColumn id="594" xr3:uid="{F44B2014-C332-46BD-8F66-C41AF8B56854}" name="Column588"/>
    <tableColumn id="595" xr3:uid="{DE881263-200A-405F-8752-9A14A8ACD4FF}" name="Column589"/>
    <tableColumn id="596" xr3:uid="{2E043CE4-B0C5-4F9E-BFEC-E31F47653E32}" name="Column590"/>
    <tableColumn id="597" xr3:uid="{B4F43829-11CD-4897-8C7F-AF820814F55B}" name="Column591"/>
    <tableColumn id="598" xr3:uid="{643A5387-5721-4146-B6D5-A5D0DDDF84FE}" name="Column592"/>
    <tableColumn id="599" xr3:uid="{F8AB2DE8-1E65-4761-9F0F-700AFF9183E9}" name="Column593"/>
    <tableColumn id="600" xr3:uid="{AC9493B3-5422-41BB-80B4-4B69DF5DC2E0}" name="Column594"/>
    <tableColumn id="601" xr3:uid="{CDD6F6AA-730D-4F39-BD72-EBF2592F458C}" name="Column595"/>
    <tableColumn id="602" xr3:uid="{468BAEF0-E68E-4650-B540-F61F16743DF4}" name="Column596"/>
    <tableColumn id="603" xr3:uid="{CE10B23F-617F-43B6-AFED-D6F66979E16C}" name="Column597"/>
    <tableColumn id="604" xr3:uid="{959CCD96-1059-4C17-9866-6B95F9DB69D0}" name="Column598"/>
    <tableColumn id="605" xr3:uid="{2EDE45DB-3E24-42EC-9233-53A45C56D9C9}" name="Column599"/>
    <tableColumn id="606" xr3:uid="{2667EC13-B391-4088-8A99-249206AA6428}" name="Column600"/>
    <tableColumn id="607" xr3:uid="{2BD4A539-F324-4AC7-B614-36BC2C233071}" name="Column601"/>
    <tableColumn id="608" xr3:uid="{EE1F5833-B426-40F6-9B07-371C68A71E72}" name="Column602"/>
    <tableColumn id="609" xr3:uid="{5C67DB38-AA88-437D-9E47-26778CA2D605}" name="Column603"/>
    <tableColumn id="610" xr3:uid="{AE231B4B-D8E5-4F09-BA81-BE68A0675451}" name="Column604"/>
    <tableColumn id="611" xr3:uid="{3E7E20D2-1FD8-4EB9-9A89-FD448F166D27}" name="Column605"/>
    <tableColumn id="612" xr3:uid="{73EBF25B-EAB9-4836-A7B9-94C630C04233}" name="Column606"/>
    <tableColumn id="613" xr3:uid="{BE82E3B7-B8CD-4EB7-90EB-5B9A233DAF0E}" name="Column607"/>
    <tableColumn id="614" xr3:uid="{925A9AF3-DA5F-47AC-B9AD-97FFB014BCC0}" name="Column608"/>
    <tableColumn id="615" xr3:uid="{2CCB6713-E493-4F2C-83A3-731F312483A7}" name="Column609"/>
    <tableColumn id="616" xr3:uid="{AA3E92EA-5B48-4A78-9F8D-14E755238D3F}" name="Column610"/>
    <tableColumn id="617" xr3:uid="{01E6D6F1-F3E6-475E-8B16-49DD6B66D39E}" name="Column611"/>
    <tableColumn id="618" xr3:uid="{A3E59AF4-1CE3-44C7-B683-28737C10026E}" name="Column612"/>
    <tableColumn id="619" xr3:uid="{35F6206D-3A50-4099-B681-8211AB9DA09A}" name="Column613"/>
    <tableColumn id="620" xr3:uid="{36F052F2-BB98-4B7E-90BD-96FEF747144A}" name="Column614"/>
    <tableColumn id="621" xr3:uid="{B2B8FAD3-892F-47F0-AAC9-011880050E46}" name="Column615"/>
    <tableColumn id="622" xr3:uid="{A21A0327-8105-442F-AE27-B3945F6872A7}" name="Column616"/>
    <tableColumn id="623" xr3:uid="{26A55E95-0101-4A7B-B8B3-C9E1181FBDBF}" name="Column617"/>
    <tableColumn id="624" xr3:uid="{EB305450-685F-488F-8EAD-FF7AECCF910A}" name="Column618"/>
    <tableColumn id="625" xr3:uid="{8DE16E0E-9380-44C9-AC8F-86BBCD5A1867}" name="Column619"/>
    <tableColumn id="626" xr3:uid="{DC2C0E95-ED85-425F-A893-353E7F14012A}" name="Column620"/>
    <tableColumn id="627" xr3:uid="{3098D940-7ABC-4F02-88D5-53054634D6AD}" name="Column621"/>
    <tableColumn id="628" xr3:uid="{B4615288-CD42-4939-82E0-5A6850F2E97C}" name="Column622"/>
    <tableColumn id="629" xr3:uid="{DBAEBD83-3E19-41DF-A548-42733CCFADC2}" name="Column623"/>
    <tableColumn id="630" xr3:uid="{168C93F3-1978-40F4-82CE-B362F7CD2383}" name="Column624"/>
    <tableColumn id="631" xr3:uid="{BA12ADA1-3A64-4B88-8FE3-8FC1C1B16458}" name="Column625"/>
    <tableColumn id="632" xr3:uid="{7CBDCB3F-8B40-4A9D-8305-1500A44F2460}" name="Column626"/>
    <tableColumn id="633" xr3:uid="{D7193061-33F9-44C7-A91B-6D65F3CE5A8D}" name="Column627"/>
    <tableColumn id="634" xr3:uid="{1D595A31-504B-47E0-9586-3724533AC943}" name="Column628"/>
    <tableColumn id="635" xr3:uid="{4A03578F-A523-4002-A841-C9947A3D1CC5}" name="Column629"/>
    <tableColumn id="636" xr3:uid="{F5D5F77D-3B6B-4DE7-9560-6D82BAA00FE5}" name="Column630"/>
    <tableColumn id="637" xr3:uid="{F45B0F30-5524-4D1A-9DC8-6EFB5DF35D82}" name="Column631"/>
    <tableColumn id="638" xr3:uid="{C964A3A0-4474-440D-9EE5-CCE013EF9098}" name="Column632"/>
    <tableColumn id="639" xr3:uid="{661C63FC-9FD4-4006-9659-47194F085CF9}" name="Column633"/>
    <tableColumn id="640" xr3:uid="{13A3E17A-E7F6-4F4D-ADE7-FCAFAB1987BC}" name="Column634"/>
    <tableColumn id="641" xr3:uid="{31B1B08F-8B05-4CFC-97E0-D13B17DE45EF}" name="Column635"/>
    <tableColumn id="642" xr3:uid="{F6AC8B89-A5E3-4018-A238-B1AAF2C2F926}" name="Column636"/>
    <tableColumn id="643" xr3:uid="{33AF49F9-F114-4ACD-82E8-540C798B84DE}" name="Column637"/>
    <tableColumn id="644" xr3:uid="{8140A32C-6818-462D-9183-570670A5C509}" name="Column638"/>
    <tableColumn id="645" xr3:uid="{03ABD4A7-D36D-4E6C-A48A-FEDD833278A9}" name="Column639"/>
    <tableColumn id="646" xr3:uid="{AA3C1C05-752C-465C-823F-FDD6570A0124}" name="Column640"/>
    <tableColumn id="647" xr3:uid="{E594CFCF-2811-47D6-9BFA-4A7D9ABC1BDF}" name="Column641"/>
    <tableColumn id="648" xr3:uid="{A118AC3A-09B6-4368-80B0-C2C0F0411565}" name="Column642"/>
    <tableColumn id="649" xr3:uid="{3E24FDE3-02CD-498B-ABBF-F12420A30830}" name="Column643"/>
    <tableColumn id="650" xr3:uid="{74179A7B-4DA8-4237-8CB1-944155E50351}" name="Column644"/>
    <tableColumn id="651" xr3:uid="{B7A20658-2EF5-4E21-A326-E723CB2C3DFF}" name="Column645"/>
    <tableColumn id="652" xr3:uid="{F4EF3D97-C07D-4AE7-8947-3D8E85F71F39}" name="Column646"/>
    <tableColumn id="653" xr3:uid="{CFA8512E-D4DF-4EB4-8C1B-488D89331ED2}" name="Column647"/>
    <tableColumn id="654" xr3:uid="{BADB47E7-803C-4E7B-B09E-CCC365F56A71}" name="Column648"/>
    <tableColumn id="655" xr3:uid="{70608F4D-D423-4176-BFB6-C8B4E2E42CFA}" name="Column649"/>
    <tableColumn id="656" xr3:uid="{0E60FBCF-D447-4E31-AD57-30B2298135A1}" name="Column650"/>
    <tableColumn id="657" xr3:uid="{61019CC7-9183-4497-856C-3357881467AD}" name="Column651"/>
    <tableColumn id="658" xr3:uid="{BCD0136F-1CAB-4BBD-87C3-190875E67DAA}" name="Column652"/>
    <tableColumn id="659" xr3:uid="{1AD42A8A-C4D3-449E-98E5-FD821C9FA72B}" name="Column653"/>
    <tableColumn id="660" xr3:uid="{935A066C-AF25-46F4-A5E3-6FCEB333231E}" name="Column654"/>
    <tableColumn id="661" xr3:uid="{C0216512-56C6-4C8B-810C-B8DDE6F17FC9}" name="Column655"/>
    <tableColumn id="662" xr3:uid="{ABE697F1-1295-4FD3-80A2-A2B6A2D97DBC}" name="Column656"/>
    <tableColumn id="663" xr3:uid="{3EAE92AD-2E98-4E55-BC13-6CB290ED34F0}" name="Column657"/>
    <tableColumn id="664" xr3:uid="{CD475126-0092-4D95-8D3E-4D8205C35019}" name="Column658"/>
    <tableColumn id="665" xr3:uid="{A1596E5B-E7EA-4872-8E1B-119A1A98732E}" name="Column659"/>
    <tableColumn id="666" xr3:uid="{09EE8C5E-DFC9-48CD-92DA-529D26B7C8D7}" name="Column660"/>
    <tableColumn id="667" xr3:uid="{E6F63D0A-4EC7-4651-94FA-E8D17ECC24DF}" name="Column661"/>
    <tableColumn id="668" xr3:uid="{DE1AA08D-25B8-4F17-880A-CC06C3FB077F}" name="Column662"/>
    <tableColumn id="669" xr3:uid="{6FDF223C-6750-4319-BF77-C82DBBB7042A}" name="Column663"/>
    <tableColumn id="670" xr3:uid="{B772BF92-D9E9-43B4-AAA5-D0F543529BFF}" name="Column664"/>
    <tableColumn id="671" xr3:uid="{AC02CF50-206E-47EE-BC49-1CBA4AE953A7}" name="Column665"/>
    <tableColumn id="672" xr3:uid="{E0352622-C9D1-4AE4-9300-FE51936A2CA7}" name="Column666"/>
    <tableColumn id="673" xr3:uid="{772AF45E-B6EE-433E-B077-0D404B8691B2}" name="Column667"/>
    <tableColumn id="674" xr3:uid="{1913C05C-5B19-4820-821A-650338CDB629}" name="Column668"/>
    <tableColumn id="675" xr3:uid="{03ED33E2-9B21-443A-BE26-E870DE2FCC85}" name="Column669"/>
    <tableColumn id="676" xr3:uid="{3ACBC44F-F7F0-44A0-8B52-8D2DA42852AB}" name="Column670"/>
    <tableColumn id="677" xr3:uid="{150831DA-41C8-48F4-A2A3-4B5761657DC3}" name="Column671"/>
    <tableColumn id="678" xr3:uid="{99D4ECB3-75AB-4B13-955C-34A8EA4E88CD}" name="Column672"/>
    <tableColumn id="679" xr3:uid="{4146F4FA-91CF-4BC9-ABEC-79335FE2671E}" name="Column673"/>
    <tableColumn id="680" xr3:uid="{A392DC1F-20BA-4FD4-8CFA-7BF9BC7D66D6}" name="Column674"/>
    <tableColumn id="681" xr3:uid="{649358E0-09B4-4E5F-8038-4DC879F740BD}" name="Column675"/>
    <tableColumn id="682" xr3:uid="{43D46D16-4A74-453A-960D-1F4002685D50}" name="Column676"/>
    <tableColumn id="683" xr3:uid="{8A086E15-BCEE-4B60-8494-E839D5642BE1}" name="Column677"/>
    <tableColumn id="684" xr3:uid="{3A1140D6-F5D9-49E7-B0A7-E0DAA1997F6F}" name="Column678"/>
    <tableColumn id="685" xr3:uid="{A410BDF4-83C8-4195-96F2-82C6FF7F9E6A}" name="Column679"/>
    <tableColumn id="686" xr3:uid="{FCAFDFF4-3EAB-4C2A-A4DE-66CE0FBC0D6D}" name="Column680"/>
    <tableColumn id="687" xr3:uid="{5E113FA8-9F44-4D41-99BD-5EA5A3B9F7A0}" name="Column681"/>
    <tableColumn id="688" xr3:uid="{37C6578E-4640-4DF1-9129-52F8FEEECA06}" name="Column682"/>
    <tableColumn id="689" xr3:uid="{7FB4AA30-4C1D-44A1-8158-360C671B7DC1}" name="Column683"/>
    <tableColumn id="690" xr3:uid="{9051130E-FDA2-4F20-86A1-D7380C46AA9A}" name="Column684"/>
    <tableColumn id="691" xr3:uid="{0C162BE9-EF17-4C5A-B299-15AD8F740ED5}" name="Column685"/>
    <tableColumn id="692" xr3:uid="{60DFD22E-030B-42E7-B17F-995F686C4AB4}" name="Column686"/>
    <tableColumn id="693" xr3:uid="{733F41C5-B92C-4B36-9BF6-27EC067C5705}" name="Column687"/>
    <tableColumn id="694" xr3:uid="{E6A7F44D-3945-4696-8072-2E689B50E341}" name="Column688"/>
    <tableColumn id="695" xr3:uid="{90CBACAE-B086-4EBB-B258-A5A513EE9769}" name="Column689"/>
    <tableColumn id="696" xr3:uid="{15551754-8574-489B-A02D-F5127B1B3291}" name="Column690"/>
    <tableColumn id="697" xr3:uid="{08F571CE-F0A8-4AC5-96D1-51FC8EA92886}" name="Column691"/>
    <tableColumn id="698" xr3:uid="{A1ABB1C4-1F56-433B-84EB-5B3C0A2ABEC4}" name="Column692"/>
    <tableColumn id="699" xr3:uid="{BE027CCE-9495-424A-BB60-D231941BF0DF}" name="Column693"/>
    <tableColumn id="700" xr3:uid="{977928B4-9626-45BF-A9CD-C4E17EEAEBD6}" name="Column694"/>
    <tableColumn id="701" xr3:uid="{B07C1119-BF4F-489B-AE5A-48D0821171EB}" name="Column695"/>
    <tableColumn id="702" xr3:uid="{7E48869F-6883-438B-BC92-E55F4767BF27}" name="Column696"/>
    <tableColumn id="703" xr3:uid="{1E24E639-C1C7-4950-B4A8-427BD6A626DA}" name="Column697"/>
    <tableColumn id="704" xr3:uid="{D543831C-FEF9-4E73-9DD5-028B04834490}" name="Column698"/>
    <tableColumn id="705" xr3:uid="{6CACFA46-4953-430A-B68E-0DC1B52BA33F}" name="Column699"/>
    <tableColumn id="706" xr3:uid="{20FF6783-9459-4549-8201-A33DB67E56B2}" name="Column700"/>
    <tableColumn id="707" xr3:uid="{CEBB8841-BB42-4431-B63D-C08D7CA56104}" name="Column701"/>
    <tableColumn id="708" xr3:uid="{111C6F5F-BA43-4979-B34E-E794A5A1DF38}" name="Column702"/>
    <tableColumn id="709" xr3:uid="{2A94E545-41FF-4D7E-81EF-8BB585D487EA}" name="Column703"/>
    <tableColumn id="710" xr3:uid="{1FC93C4D-E403-4145-8D94-684E2D4B5EBF}" name="Column704"/>
    <tableColumn id="711" xr3:uid="{83650623-5A14-4F9C-B1CE-EE32540FBC2A}" name="Column705"/>
    <tableColumn id="712" xr3:uid="{900D3CFB-C34E-4E25-8023-A232216864F2}" name="Column706"/>
    <tableColumn id="713" xr3:uid="{4A317C47-6D9C-47C5-B0E4-462D689ABEB2}" name="Column707"/>
    <tableColumn id="714" xr3:uid="{14BD729E-0D6E-4A58-B5D6-0AB99B067625}" name="Column708"/>
    <tableColumn id="715" xr3:uid="{7BC2B990-DA7D-40BC-801B-BBC17ACCEDE0}" name="Column709"/>
    <tableColumn id="716" xr3:uid="{22CBE062-5824-40D4-BECD-51C31BDD9321}" name="Column710"/>
    <tableColumn id="717" xr3:uid="{88D169B9-D6EA-4878-84A0-8F26108D7E68}" name="Column711"/>
    <tableColumn id="718" xr3:uid="{AD2DD769-3381-4A27-A4C0-5C5D0D5D16F3}" name="Column712"/>
    <tableColumn id="719" xr3:uid="{A82AA387-D951-4474-8E59-D0868120FCF7}" name="Column713"/>
    <tableColumn id="720" xr3:uid="{BEB3BF95-B7B3-4E60-B437-9681F888B26A}" name="Column714"/>
    <tableColumn id="721" xr3:uid="{1C03F081-C50B-4096-ADAD-0D75FC84D8D7}" name="Column715"/>
    <tableColumn id="722" xr3:uid="{E9E27FD3-24BD-4995-A09A-04FA20602BE2}" name="Column716"/>
    <tableColumn id="723" xr3:uid="{1F8EBD58-EE2F-43D7-85D3-2D6A2B75AB42}" name="Column717"/>
    <tableColumn id="724" xr3:uid="{0BE68A76-C2EA-44C8-83FC-6768311C5C30}" name="Column718"/>
    <tableColumn id="725" xr3:uid="{A2643F92-3C09-46FF-9295-7F929A22212C}" name="Column719"/>
    <tableColumn id="726" xr3:uid="{4A9832DA-15AF-4907-8AA9-DA9656602C90}" name="Column720"/>
    <tableColumn id="727" xr3:uid="{18AC111D-7604-4159-9DAD-9DD980344987}" name="Column721"/>
    <tableColumn id="728" xr3:uid="{54375798-B99B-4893-95C7-B85B3651BE82}" name="Column722"/>
    <tableColumn id="729" xr3:uid="{A148EA5D-620C-4585-A7AA-F9B72B61813B}" name="Column723"/>
    <tableColumn id="730" xr3:uid="{CE912DFA-0C58-49DE-8C7E-AD2B24545C08}" name="Column724"/>
    <tableColumn id="731" xr3:uid="{CEFB1C1C-18A8-4087-84E8-00BFBCCFEB2E}" name="Column725"/>
    <tableColumn id="732" xr3:uid="{9F9A8D80-DD88-4214-81DF-492E0F10EAB6}" name="Column726"/>
    <tableColumn id="733" xr3:uid="{5D4E6C3E-C31A-45C5-8FA4-5DDA91BFB54D}" name="Column727"/>
    <tableColumn id="734" xr3:uid="{63E7EA87-A16E-4B8F-B2F7-52D2CEF78F49}" name="Column728"/>
    <tableColumn id="735" xr3:uid="{F1053E95-746B-43A2-A15F-D1EC33830783}" name="Column729"/>
    <tableColumn id="736" xr3:uid="{EA77309D-72DD-4465-ACEB-2892921898CC}" name="Column730"/>
    <tableColumn id="737" xr3:uid="{348CCE51-B09B-4955-8687-71AEA563E51E}" name="Column731"/>
    <tableColumn id="738" xr3:uid="{BFAD8C15-E4A3-4A50-BBCA-A69AE1ED1080}" name="Column732"/>
    <tableColumn id="739" xr3:uid="{2401604A-100B-4E8D-9F48-99E62FB42076}" name="Column733"/>
    <tableColumn id="740" xr3:uid="{8499B348-2605-4C49-9CE6-878B0010AD4E}" name="Column734"/>
    <tableColumn id="741" xr3:uid="{E27BF44C-F4DA-4B3D-953C-0C58EDF7252C}" name="Column735"/>
    <tableColumn id="742" xr3:uid="{86AD72BC-78A5-430D-BD43-EA9CF0B5B947}" name="Column736"/>
    <tableColumn id="743" xr3:uid="{F50BA99C-F333-44C5-ACFB-E3DA83737D55}" name="Column737"/>
    <tableColumn id="744" xr3:uid="{6DD640B1-97C4-40A5-8D97-630053EB8AA8}" name="Column738"/>
    <tableColumn id="745" xr3:uid="{97103F0B-688F-4089-B6EB-9235ED4A3D87}" name="Column739"/>
    <tableColumn id="746" xr3:uid="{8AF80673-3BAE-45C5-A612-B6939E61D76C}" name="Column740"/>
    <tableColumn id="747" xr3:uid="{4FAC3C01-020D-4707-B5C0-242A11F6E147}" name="Column741"/>
    <tableColumn id="748" xr3:uid="{E351865C-2BEA-477A-AF0E-CA5FC68F5F6E}" name="Column742"/>
    <tableColumn id="749" xr3:uid="{4A384216-1943-49B4-92A8-8F12448E6B96}" name="Column743"/>
    <tableColumn id="750" xr3:uid="{73AECA79-2797-46C6-8A4D-F63E0FCFCAC5}" name="Column744"/>
    <tableColumn id="751" xr3:uid="{B03AF05C-3140-4D82-9627-48C40D3EAA3E}" name="Column745"/>
    <tableColumn id="752" xr3:uid="{5A132724-CA1B-4B39-AD94-5197A464BC5E}" name="Column746"/>
    <tableColumn id="753" xr3:uid="{A178293C-D8F9-4F64-A1CD-C76CD3996871}" name="Column747"/>
    <tableColumn id="754" xr3:uid="{D0AAC949-920B-46F2-BEFF-932F9B83D124}" name="Column748"/>
    <tableColumn id="755" xr3:uid="{1BAD7C9D-3902-4DC1-9DC8-03A3C42CFDFD}" name="Column749"/>
    <tableColumn id="756" xr3:uid="{A32179AD-211E-4225-A2E1-0D2BE2AD0E14}" name="Column750"/>
    <tableColumn id="757" xr3:uid="{DAC77C83-4EAA-41A3-9928-2C9D86ACD654}" name="Column751"/>
    <tableColumn id="758" xr3:uid="{58200AF3-012D-4A03-92D2-7DA30AA4A224}" name="Column752"/>
    <tableColumn id="759" xr3:uid="{B3D80FEA-7F79-4768-AE6A-71986F9FFA01}" name="Column753"/>
    <tableColumn id="760" xr3:uid="{8D7618E1-F82E-4A5C-8226-A9D69948A942}" name="Column754"/>
    <tableColumn id="761" xr3:uid="{94B9F71F-D2DB-472D-BF9E-D596C87BF650}" name="Column755"/>
    <tableColumn id="762" xr3:uid="{CD78762F-ED32-4602-A7DD-633AE4CA93A4}" name="Column756"/>
    <tableColumn id="763" xr3:uid="{B9C84B33-2CCC-456B-9D20-53C937AFD361}" name="Column757"/>
    <tableColumn id="764" xr3:uid="{81C0AED0-BAFA-4A76-92DC-8DBA00E0D199}" name="Column758"/>
    <tableColumn id="765" xr3:uid="{26D230D1-AE0A-40D3-8D69-D6740AB6CD91}" name="Column759"/>
    <tableColumn id="766" xr3:uid="{8F44DA7E-5975-4EE0-8177-6217D0CBA901}" name="Column760"/>
    <tableColumn id="767" xr3:uid="{3B17855E-3B5F-49B1-B60B-2091DB82E909}" name="Column761"/>
    <tableColumn id="768" xr3:uid="{F1E25529-F834-4070-8E92-FCAD7F324A27}" name="Column762"/>
    <tableColumn id="769" xr3:uid="{6879BEA2-2DBA-4773-9C42-34E78CB8BE86}" name="Column763"/>
    <tableColumn id="770" xr3:uid="{CC0E8C22-3D22-4EFB-9669-8E9788F319CE}" name="Column764"/>
    <tableColumn id="771" xr3:uid="{87E7685B-6507-4711-8FB6-35161E3653B4}" name="Column765"/>
    <tableColumn id="772" xr3:uid="{0BBC3A64-F172-4E2C-8B4D-106284C51BCC}" name="Column766"/>
    <tableColumn id="773" xr3:uid="{98BC032F-FB6C-4C16-86B7-76CD9B9FCF0C}" name="Column767"/>
    <tableColumn id="774" xr3:uid="{CB78B8BE-E917-48AD-9D2E-778F6A906BAB}" name="Column768"/>
    <tableColumn id="775" xr3:uid="{4241C1BF-49C7-464C-9500-8D7AD4ADEA32}" name="Column769"/>
    <tableColumn id="776" xr3:uid="{B6C0478C-C8D7-44DE-AE63-87DA7F048440}" name="Column770"/>
    <tableColumn id="777" xr3:uid="{3B777DA4-2599-49DD-B1C5-54109641B5FD}" name="Column771"/>
    <tableColumn id="778" xr3:uid="{F4E5B469-D0D9-4429-B2AF-92E9DCCACE64}" name="Column772"/>
    <tableColumn id="779" xr3:uid="{6B0CFC42-F2D4-48CA-ABA5-ADCD6C07A385}" name="Column773"/>
    <tableColumn id="780" xr3:uid="{27FD1165-4D15-4B2F-98E5-1C79A4C33964}" name="Column774"/>
    <tableColumn id="781" xr3:uid="{CFE93756-AB9F-4EF7-8C09-3C34A128C65B}" name="Column775"/>
    <tableColumn id="782" xr3:uid="{5E036EAC-04A4-4E28-B137-33099E63763C}" name="Column776"/>
    <tableColumn id="783" xr3:uid="{7AB83853-1D96-48D9-B48F-DDC3E5DA0908}" name="Column777"/>
    <tableColumn id="784" xr3:uid="{ECEBF2E8-7AD5-46D5-95FB-5C2D1EC8CA07}" name="Column778"/>
    <tableColumn id="785" xr3:uid="{B3ED5537-7EEF-4205-9795-E13028C747FB}" name="Column779"/>
    <tableColumn id="786" xr3:uid="{8DD5B3B7-E72D-49CC-B6D0-D2715E735F6C}" name="Column780"/>
    <tableColumn id="787" xr3:uid="{695F7A47-23F5-4453-9A44-09EBAB07412E}" name="Column781"/>
    <tableColumn id="788" xr3:uid="{1C1254F2-23F4-4B70-9464-646AC1602675}" name="Column782"/>
    <tableColumn id="789" xr3:uid="{A892CFC2-694D-4EB9-A4FD-F1429E0FB762}" name="Column783"/>
    <tableColumn id="790" xr3:uid="{DE2083C6-3E1E-4CD0-B600-C190E3909B59}" name="Column784"/>
    <tableColumn id="791" xr3:uid="{A364CE41-5EEF-4C51-9173-1CCEB6E8450C}" name="Column785"/>
    <tableColumn id="792" xr3:uid="{9D495BBB-0647-40D0-AC61-CC981DCE4F8D}" name="Column786"/>
    <tableColumn id="793" xr3:uid="{474F7021-4A84-4DC1-A7A0-A50352C9D43E}" name="Column787"/>
    <tableColumn id="794" xr3:uid="{877CB2F5-0C14-4672-9D19-204E26328C4F}" name="Column788"/>
    <tableColumn id="795" xr3:uid="{9B331A3A-8DBF-4C37-BCBB-9BE9B4E72A3D}" name="Column789"/>
    <tableColumn id="796" xr3:uid="{3C93A646-7D76-4748-A1FE-28F8FD9B8184}" name="Column790"/>
    <tableColumn id="797" xr3:uid="{6B7B490F-6746-4042-A865-D3250F303BB5}" name="Column791"/>
    <tableColumn id="798" xr3:uid="{7CB3BCC3-CE29-4BFA-A2C7-C35D84B6C15D}" name="Column792"/>
    <tableColumn id="799" xr3:uid="{69EDFE33-937A-43CE-8D01-F8DCD4F771BD}" name="Column793"/>
    <tableColumn id="800" xr3:uid="{91DFC856-CCB9-4E9F-9AFB-5B95E957F94B}" name="Column794"/>
    <tableColumn id="801" xr3:uid="{107943FC-DBF9-41C2-83C2-CF80B479D85C}" name="Column795"/>
    <tableColumn id="802" xr3:uid="{17D55F56-AB3B-44AF-B6C9-937F0116B19E}" name="Column796"/>
    <tableColumn id="803" xr3:uid="{E80F7411-621D-4665-B3D8-3C8D511E40C8}" name="Column797"/>
    <tableColumn id="804" xr3:uid="{8558ED6B-5451-4E94-BF7D-8C9CA0307A14}" name="Column798"/>
    <tableColumn id="805" xr3:uid="{FD83CE16-A6F6-44B9-AC74-E9057916D5E8}" name="Column799"/>
    <tableColumn id="806" xr3:uid="{71259D66-8B63-4530-83D5-4BC75F9AD834}" name="Column800"/>
    <tableColumn id="807" xr3:uid="{59003173-2AD1-4EFC-B741-92AFFFE919F2}" name="Column801"/>
    <tableColumn id="808" xr3:uid="{C532A6B9-8386-49F6-B33C-20A04D0AD0E9}" name="Column802"/>
    <tableColumn id="809" xr3:uid="{65FD21D6-D2E4-4328-89CE-27BC526D8B61}" name="Column803"/>
    <tableColumn id="810" xr3:uid="{10FFE7B4-F792-480E-97DA-99C1F36D6809}" name="Column804"/>
    <tableColumn id="811" xr3:uid="{680D1FEA-A47C-49AF-85F4-72DFAEA7C49E}" name="Column805"/>
    <tableColumn id="812" xr3:uid="{24B396E5-B11E-4010-BFD0-4130EE5143A3}" name="Column806"/>
    <tableColumn id="813" xr3:uid="{0E113656-7788-4645-BA1E-D3E1E58E0123}" name="Column807"/>
    <tableColumn id="814" xr3:uid="{EEC00E3B-BBE3-489C-A953-F1E892C18682}" name="Column808"/>
    <tableColumn id="815" xr3:uid="{62B90BC7-36F4-4F70-A7C5-E3A97850287B}" name="Column809"/>
    <tableColumn id="816" xr3:uid="{E2D981A1-5A08-4111-B612-D52A0995097A}" name="Column810"/>
    <tableColumn id="817" xr3:uid="{2E7FE0FB-2B06-4ED2-9C8D-AA948C87AB86}" name="Column811"/>
    <tableColumn id="818" xr3:uid="{04296357-D034-4125-AFA9-724F6FD1D635}" name="Column812"/>
    <tableColumn id="819" xr3:uid="{EA23EC3D-280D-4AF8-91B2-5E8F5F63C470}" name="Column813"/>
    <tableColumn id="820" xr3:uid="{6C6797B4-1D28-4F90-9F39-73F8C1CAAADD}" name="Column814"/>
    <tableColumn id="821" xr3:uid="{30E5C106-773C-494D-8481-4EA158001A8B}" name="Column815"/>
    <tableColumn id="822" xr3:uid="{8888AFDF-3916-4C1A-9308-3D6BB84799EC}" name="Column816"/>
    <tableColumn id="823" xr3:uid="{BBC65EBA-541F-4C6E-822F-640BA12EFB31}" name="Column817"/>
    <tableColumn id="824" xr3:uid="{B12A9274-D25C-49C8-A5CC-6D322B08A3B5}" name="Column818"/>
    <tableColumn id="825" xr3:uid="{8B2DB2E9-4513-44D7-9E01-4AD2DBFE426E}" name="Column819"/>
    <tableColumn id="826" xr3:uid="{29C78265-E7FD-405D-B881-4E96E13B6B62}" name="Column820"/>
    <tableColumn id="827" xr3:uid="{2AA5BEB3-8599-4A6E-AB82-050F46AB6BA8}" name="Column821"/>
    <tableColumn id="828" xr3:uid="{A139F411-1E9C-479F-94AC-1784A35B4EA2}" name="Column822"/>
    <tableColumn id="829" xr3:uid="{CDC14514-3626-487A-A884-6BB45B43EF18}" name="Column823"/>
    <tableColumn id="830" xr3:uid="{16CBC0D7-9459-446F-AE94-BD28B8A622FA}" name="Column824"/>
    <tableColumn id="831" xr3:uid="{026968A2-D611-4E6E-810D-6D25C8534DE6}" name="Column825"/>
    <tableColumn id="832" xr3:uid="{E33529AC-2C7F-4947-A4B3-5A1C4E7248B0}" name="Column826"/>
    <tableColumn id="833" xr3:uid="{724D9230-B859-49BF-90CB-EEE4B90BB2C1}" name="Column827"/>
    <tableColumn id="834" xr3:uid="{D430AC34-6988-4853-9E23-34DA655C4B72}" name="Column828"/>
    <tableColumn id="835" xr3:uid="{EDA193CC-40AC-4D27-864D-0E72C0762774}" name="Column829"/>
    <tableColumn id="836" xr3:uid="{4166D0D3-3EE0-4AE5-BBC5-3AF98DB84F0B}" name="Column830"/>
    <tableColumn id="837" xr3:uid="{97D242B0-9A3B-4382-9906-58FBB86FE28A}" name="Column831"/>
    <tableColumn id="838" xr3:uid="{85D9C1FD-B510-40EA-B6C1-4D3447545917}" name="Column832"/>
    <tableColumn id="839" xr3:uid="{93E7D36E-342D-46D2-AF8A-9628158719F4}" name="Column833"/>
    <tableColumn id="840" xr3:uid="{F15F93E7-6120-4FAA-81BA-6E3C7020A6C5}" name="Column834"/>
    <tableColumn id="841" xr3:uid="{7A2DF78F-7778-40E3-BBAF-7293775B7BB6}" name="Column835"/>
    <tableColumn id="842" xr3:uid="{526D96B8-A005-4431-9E7C-80C00724BD84}" name="Column836"/>
    <tableColumn id="843" xr3:uid="{39C76206-F699-4E19-9556-0BF8F3FE032E}" name="Column837"/>
    <tableColumn id="844" xr3:uid="{64CFB2EE-1AC0-41C4-93AD-58985635E156}" name="Column838"/>
    <tableColumn id="845" xr3:uid="{E6F0A6D2-A897-4942-B26D-6974BA5021E4}" name="Column839"/>
    <tableColumn id="846" xr3:uid="{D442B10C-A123-4C4B-A3B8-9F877940EB00}" name="Column840"/>
    <tableColumn id="847" xr3:uid="{AF8538AB-DC29-4A23-B515-E92356855A2B}" name="Column841"/>
    <tableColumn id="848" xr3:uid="{03EB3123-01CF-48E2-8FD8-A4C31D362C23}" name="Column842"/>
    <tableColumn id="849" xr3:uid="{2C2DDB95-5A33-46EB-881F-C8D850F47028}" name="Column843"/>
    <tableColumn id="850" xr3:uid="{58A50357-51DF-4910-964D-18339F13B261}" name="Column844"/>
    <tableColumn id="851" xr3:uid="{9D767DE9-79C8-45E7-8E1B-4B3228E27B6E}" name="Column845"/>
    <tableColumn id="852" xr3:uid="{5E8AD112-C66B-41C6-85ED-41CA9813B51E}" name="Column846"/>
    <tableColumn id="853" xr3:uid="{E255F9E3-1F20-4339-8434-A5FC2C2AFEA1}" name="Column847"/>
    <tableColumn id="854" xr3:uid="{92BC162B-4875-4A64-88D6-F53DA4B34692}" name="Column848"/>
    <tableColumn id="855" xr3:uid="{4ECB3CA2-15C1-4F6A-AAE0-AB74CB9951A3}" name="Column849"/>
    <tableColumn id="856" xr3:uid="{1C8C401E-09D5-40E7-9236-6C4BE87619CE}" name="Column850"/>
    <tableColumn id="857" xr3:uid="{14F065CA-E3E7-4A77-89C1-AC6737E40E0F}" name="Column851"/>
    <tableColumn id="858" xr3:uid="{AC2F805D-D0A2-4BCF-BE27-E0E6FE1AB21F}" name="Column852"/>
    <tableColumn id="859" xr3:uid="{090D7D32-A511-4055-A604-896AC7D9328F}" name="Column853"/>
    <tableColumn id="860" xr3:uid="{7C0A4A3B-3D03-45A4-9189-E866DC3CD077}" name="Column854"/>
    <tableColumn id="861" xr3:uid="{32A7F426-9D13-42AB-A3E7-75EDB8C04903}" name="Column855"/>
    <tableColumn id="862" xr3:uid="{D6F71E76-34E5-44F6-B8DA-ABF5CB1EB4CB}" name="Column856"/>
    <tableColumn id="863" xr3:uid="{65AD4577-73F0-407D-AF86-CF401B0BA010}" name="Column857"/>
    <tableColumn id="864" xr3:uid="{B45BDB01-BD43-4673-905B-84833D3CFE71}" name="Column858"/>
    <tableColumn id="865" xr3:uid="{E5732F0B-765D-4D9D-A045-10CE439D64FB}" name="Column859"/>
    <tableColumn id="866" xr3:uid="{B62E82F2-2542-4469-AA13-F6FDE65BF023}" name="Column860"/>
    <tableColumn id="867" xr3:uid="{C29B116E-970D-4A44-82E7-BD05F294ECE7}" name="Column861"/>
    <tableColumn id="868" xr3:uid="{E6467032-DD16-4EE4-82A5-C7311BD6A397}" name="Column862"/>
    <tableColumn id="869" xr3:uid="{A6D9B849-36DD-4663-BF76-FA607A4DCB15}" name="Column863"/>
    <tableColumn id="870" xr3:uid="{284F7D52-DE85-414B-971B-BD6468B5F1AF}" name="Column864"/>
    <tableColumn id="871" xr3:uid="{ED0F0A67-5198-4967-BB60-A29CCD85F778}" name="Column865"/>
    <tableColumn id="872" xr3:uid="{9DB37AA6-31A1-4F3A-8829-69261DB62ED3}" name="Column866"/>
    <tableColumn id="873" xr3:uid="{4CEC61C7-B04D-40B2-92FE-603C818E3DF1}" name="Column867"/>
    <tableColumn id="874" xr3:uid="{0935919A-F625-49E2-9986-95CD2E358498}" name="Column868"/>
    <tableColumn id="875" xr3:uid="{48881592-28F8-4066-890A-2E570F35BCD7}" name="Column869"/>
    <tableColumn id="876" xr3:uid="{AAE91B28-5271-4249-8DAC-EB976FA8FE0C}" name="Column870"/>
    <tableColumn id="877" xr3:uid="{BEEF5CE0-1DA4-411F-B595-EA62944F0619}" name="Column871"/>
    <tableColumn id="878" xr3:uid="{F8984B69-ABC9-445D-9984-20A44440AD7B}" name="Column872"/>
    <tableColumn id="879" xr3:uid="{164D8817-97CC-4732-9ED3-1BB1BF3FA563}" name="Column873"/>
    <tableColumn id="880" xr3:uid="{96D46B71-21C5-48D7-A567-596BF13F2E8D}" name="Column874"/>
    <tableColumn id="881" xr3:uid="{E2916C9E-2227-4E8E-9A77-741A3BA63344}" name="Column875"/>
    <tableColumn id="882" xr3:uid="{23F34E9C-63BF-4891-874B-06813BA2E73D}" name="Column876"/>
    <tableColumn id="883" xr3:uid="{C10D9B60-E3A2-4934-BC03-FCCD4A10B338}" name="Column877"/>
    <tableColumn id="884" xr3:uid="{5768DF97-8F73-4042-983D-BB7CD8C7DF5B}" name="Column878"/>
    <tableColumn id="885" xr3:uid="{8D09D6BB-D4F3-401B-88A8-2DC6BFC2DAE6}" name="Column879"/>
    <tableColumn id="886" xr3:uid="{AA29B1B7-4F88-412E-A397-7F7CF04BC79C}" name="Column880"/>
    <tableColumn id="887" xr3:uid="{9AC9413F-1C27-4736-80AA-966B24F326D2}" name="Column881"/>
    <tableColumn id="888" xr3:uid="{7CC56E75-9E31-457C-9896-DCCCFC18A2BD}" name="Column882"/>
    <tableColumn id="889" xr3:uid="{00C46805-1D7B-42D5-B3A1-5AA11E6CE230}" name="Column883"/>
    <tableColumn id="890" xr3:uid="{EDB40A40-C9B2-44AE-BF31-7695CEED924C}" name="Column884"/>
    <tableColumn id="891" xr3:uid="{9D410A31-83D1-4E36-B514-30DE7323A2DF}" name="Column885"/>
    <tableColumn id="892" xr3:uid="{4BFDBCE6-99BC-44A8-810C-C288F11D152F}" name="Column886"/>
    <tableColumn id="893" xr3:uid="{427B3112-82A6-4BD3-B764-BAED41A46C07}" name="Column887"/>
    <tableColumn id="894" xr3:uid="{9CC827A2-6522-4E7B-A60A-10E468E1B7C8}" name="Column888"/>
    <tableColumn id="895" xr3:uid="{45F2C8BF-A840-479D-AD22-8F0029CB3DD0}" name="Column889"/>
    <tableColumn id="896" xr3:uid="{35A8BA45-D21D-4AD9-8CB9-827EA02618D3}" name="Column890"/>
    <tableColumn id="897" xr3:uid="{148DF0D1-9CBF-4D90-A170-4EF79175B5BF}" name="Column891"/>
    <tableColumn id="898" xr3:uid="{B54F2951-53D9-42C0-BC99-47B49787FF32}" name="Column892"/>
    <tableColumn id="899" xr3:uid="{E9D2FF8F-BD03-4AAF-8738-8F3C8C11E7DB}" name="Column893"/>
    <tableColumn id="900" xr3:uid="{FC82AE32-B639-49AD-BC3C-984EAEC9BFD1}" name="Column894"/>
    <tableColumn id="901" xr3:uid="{C26CF73E-D3F8-46C4-A187-F3D83F75F328}" name="Column895"/>
    <tableColumn id="902" xr3:uid="{FB8806EC-1DAC-4513-B085-C86BCF490A2C}" name="Column896"/>
    <tableColumn id="903" xr3:uid="{14D39E83-88ED-42F1-BF7C-8FC2B97EA4FE}" name="Column897"/>
    <tableColumn id="904" xr3:uid="{64597694-9A51-4D92-915E-4AE604361979}" name="Column898"/>
    <tableColumn id="905" xr3:uid="{67EC2078-D428-421B-B8FD-FDFE7B213547}" name="Column899"/>
    <tableColumn id="906" xr3:uid="{60B0E07F-5305-46B8-8DA0-FE440606B2D5}" name="Column900"/>
    <tableColumn id="907" xr3:uid="{DDF16533-376B-4909-AE1C-86FE9DA2BF01}" name="Column901"/>
    <tableColumn id="908" xr3:uid="{5C5E824E-253B-4DF3-90E6-B2F8A5308E91}" name="Column902"/>
    <tableColumn id="909" xr3:uid="{E32CD6C7-2BBB-4E32-AFA2-7CDE27CE1A9D}" name="Column903"/>
    <tableColumn id="910" xr3:uid="{2F72E91B-1FEA-41DF-861D-491B5AF864DC}" name="Column904"/>
    <tableColumn id="911" xr3:uid="{F80854CF-4324-45B5-93B7-28F8D63934D0}" name="Column905"/>
    <tableColumn id="912" xr3:uid="{118182C5-73E6-4D3F-882D-33BA61CA80B2}" name="Column906"/>
    <tableColumn id="913" xr3:uid="{DCC3D327-5000-470D-92CA-94F460AA2DAD}" name="Column907"/>
    <tableColumn id="914" xr3:uid="{062BFCE3-3590-45EB-935E-141864B653B2}" name="Column908"/>
    <tableColumn id="915" xr3:uid="{165E95C2-40AD-46F3-8CB3-1D92D6861DAD}" name="Column909"/>
    <tableColumn id="916" xr3:uid="{75993018-FFD5-4C6A-96A0-1B5ABE20A1D6}" name="Column910"/>
    <tableColumn id="917" xr3:uid="{B959C162-CE75-4CBD-B2DE-7B58B772B6A0}" name="Column911"/>
    <tableColumn id="918" xr3:uid="{D94F95D4-B66D-45B0-85BD-E70FA4EC8209}" name="Column912"/>
    <tableColumn id="919" xr3:uid="{C3307AF0-EF88-41CC-A746-18F18DD51692}" name="Column913"/>
    <tableColumn id="920" xr3:uid="{7954D894-4937-4E3D-B4AC-0B8BF2EDD37B}" name="Column914"/>
    <tableColumn id="921" xr3:uid="{86456849-3D8E-4FA3-B104-EFC797E1F693}" name="Column915"/>
    <tableColumn id="922" xr3:uid="{803E2AC0-B34F-4424-8CAF-95E400001C4C}" name="Column916"/>
    <tableColumn id="923" xr3:uid="{E91EB8CF-DBE1-4402-A12F-7E81E63F0628}" name="Column917"/>
    <tableColumn id="924" xr3:uid="{67072C5F-2B9D-455C-8033-6A3AD1FC4DD1}" name="Column918"/>
    <tableColumn id="925" xr3:uid="{7B04A6E9-32D8-45EB-9699-DC42F5F2C31D}" name="Column919"/>
    <tableColumn id="926" xr3:uid="{D7C0E696-0E21-4632-8949-3EF2088020FD}" name="Column920"/>
    <tableColumn id="927" xr3:uid="{0318F09F-7580-4323-A51F-C3B0D9655FF3}" name="Column921"/>
    <tableColumn id="928" xr3:uid="{B30B4858-CE9C-4074-A4E0-5E92811394A8}" name="Column922"/>
    <tableColumn id="929" xr3:uid="{D9645F60-BBE8-4BA1-8964-F68B8A8B8606}" name="Column923"/>
    <tableColumn id="930" xr3:uid="{53DC1A07-E5AD-4969-986E-8EB5690C27AD}" name="Column924"/>
    <tableColumn id="931" xr3:uid="{026999BE-D3DC-47B8-BE5F-6EA61F59F127}" name="Column925"/>
    <tableColumn id="932" xr3:uid="{63AEACBB-8DB2-495D-83DD-EE1A335BC05B}" name="Column926"/>
    <tableColumn id="933" xr3:uid="{04E31A74-2CEC-4158-AD28-7087870050B1}" name="Column927"/>
    <tableColumn id="934" xr3:uid="{76A5176F-6E06-4E3D-B24D-8B5034C7D72E}" name="Column928"/>
    <tableColumn id="935" xr3:uid="{4322BDC8-8A27-45F8-BD14-194694BA2DA5}" name="Column929"/>
    <tableColumn id="936" xr3:uid="{0FE7CC62-71B9-445C-9284-55624261327E}" name="Column930"/>
    <tableColumn id="937" xr3:uid="{621A8A78-CAAE-4923-A297-BADB7357842B}" name="Column931"/>
    <tableColumn id="938" xr3:uid="{398A492A-3997-4DBB-9B42-18B2E6D6D051}" name="Column932"/>
    <tableColumn id="939" xr3:uid="{A93000AB-F706-47FD-A52D-1771576CF3EB}" name="Column933"/>
    <tableColumn id="940" xr3:uid="{CB532554-20CB-4A92-B23B-6ADE0D38540F}" name="Column934"/>
    <tableColumn id="941" xr3:uid="{94B590FB-93C1-4BA3-A65E-D96958DCEF32}" name="Column935"/>
    <tableColumn id="942" xr3:uid="{7A4B6DEF-B96C-45D1-9A8C-63365B829603}" name="Column936"/>
    <tableColumn id="943" xr3:uid="{3FF95DD2-AEA8-464A-843B-DFB87094E180}" name="Column937"/>
    <tableColumn id="944" xr3:uid="{282E6D3F-6AF4-48F1-8F14-6D11D3C04E45}" name="Column938"/>
    <tableColumn id="945" xr3:uid="{32484DDF-4896-4695-9B63-3EC948F2C7D8}" name="Column939"/>
    <tableColumn id="946" xr3:uid="{2F7FA794-16E8-46D8-87BF-0582BDEDD353}" name="Column940"/>
    <tableColumn id="947" xr3:uid="{2F9C6EF3-8C03-4A83-98D8-BEB489671770}" name="Column941"/>
    <tableColumn id="948" xr3:uid="{75D59CE4-8AB0-4CBB-9364-AC7F3F51F703}" name="Column942"/>
    <tableColumn id="949" xr3:uid="{D221AD3E-A8C4-496E-AF7A-9F56618B314D}" name="Column943"/>
    <tableColumn id="950" xr3:uid="{9B887087-7174-47E0-8A78-B16F23E55E55}" name="Column944"/>
    <tableColumn id="951" xr3:uid="{256D5EC6-7F84-4EDC-8E41-EC6F5990536A}" name="Column945"/>
    <tableColumn id="952" xr3:uid="{98BC3514-B0C2-4F4B-8E9B-B1211B6AB1AA}" name="Column946"/>
    <tableColumn id="953" xr3:uid="{7E79AB94-01F9-411E-B94A-66A76C30715A}" name="Column947"/>
    <tableColumn id="954" xr3:uid="{C323D02E-E29B-47A5-A94F-2094A760E30B}" name="Column948"/>
    <tableColumn id="955" xr3:uid="{07987105-471F-470C-8A43-1498A8BEC6FF}" name="Column949"/>
    <tableColumn id="956" xr3:uid="{E062D4BE-C006-4BC8-A135-111FA2919517}" name="Column950"/>
    <tableColumn id="957" xr3:uid="{FA2A7AD2-DE30-454D-8574-D6FF1D1D2950}" name="Column951"/>
    <tableColumn id="958" xr3:uid="{4CCD3918-72C7-4E44-880D-7A5942982374}" name="Column952"/>
    <tableColumn id="959" xr3:uid="{46DC8655-3EA5-464C-A303-873EB68EBE66}" name="Column953"/>
    <tableColumn id="960" xr3:uid="{033A21D1-7D10-4D94-965D-20E1E3A27E8E}" name="Column954"/>
    <tableColumn id="961" xr3:uid="{2E33AED0-8DEC-4EBA-A905-535969294461}" name="Column955"/>
    <tableColumn id="962" xr3:uid="{05B41EB9-AA43-4A2C-9200-F26E32F2E346}" name="Column956"/>
    <tableColumn id="963" xr3:uid="{5F1AD4E3-8E28-4AC7-8E68-7F9650D9B02A}" name="Column957"/>
    <tableColumn id="964" xr3:uid="{092A293A-3F41-4D29-9033-7F8912565B58}" name="Column958"/>
    <tableColumn id="965" xr3:uid="{DD8ACB51-A016-4EF0-BC4D-7DFEBC6A9623}" name="Column959"/>
    <tableColumn id="966" xr3:uid="{61EA0F80-844C-41F3-A41F-E67A12F2136B}" name="Column960"/>
    <tableColumn id="967" xr3:uid="{A38E8DA5-8EF7-4D85-8C64-7ADE33AC54D3}" name="Column961"/>
    <tableColumn id="968" xr3:uid="{2E0C906C-4629-4756-A564-CD37773F61A8}" name="Column962"/>
    <tableColumn id="969" xr3:uid="{5DEA0A52-7658-4626-A666-B77F6B01D73F}" name="Column963"/>
    <tableColumn id="970" xr3:uid="{A20F84C6-CF8C-4753-82CB-1AF01C6690B3}" name="Column964"/>
    <tableColumn id="971" xr3:uid="{4DF33480-1D32-4298-A003-8AFAC2C58A4F}" name="Column965"/>
    <tableColumn id="972" xr3:uid="{004D08B2-FA79-4075-AFCE-47D510CE6C26}" name="Column966"/>
    <tableColumn id="973" xr3:uid="{21B0551C-96DC-4356-BA25-B442A0483038}" name="Column967"/>
    <tableColumn id="974" xr3:uid="{4F19EE88-50E8-4117-AF92-6D69FE42A5C5}" name="Column968"/>
    <tableColumn id="975" xr3:uid="{6F9FE290-6A2A-4D87-8FC0-0098E35F56E6}" name="Column969"/>
    <tableColumn id="976" xr3:uid="{4F663518-DD3F-460A-83DC-23082B34BE19}" name="Column970"/>
    <tableColumn id="977" xr3:uid="{BA299DD2-ED9D-4096-962E-A468B26A6440}" name="Column971"/>
    <tableColumn id="978" xr3:uid="{006BB778-06DE-433C-A7C7-279135DA65BD}" name="Column972"/>
    <tableColumn id="979" xr3:uid="{864A858E-614D-4CF7-87B1-9F3E2571EB2F}" name="Column973"/>
    <tableColumn id="980" xr3:uid="{B1C1ACF0-B78A-47E5-A34C-44EAE540006C}" name="Column974"/>
    <tableColumn id="981" xr3:uid="{48CE5CA7-1EFB-4CFB-82B3-F8026CB42E4A}" name="Column975"/>
    <tableColumn id="982" xr3:uid="{0D17881D-C398-4D2E-8BE5-0AA67AF84E5D}" name="Column976"/>
    <tableColumn id="983" xr3:uid="{4F8C4614-0CF1-41C8-9285-D1EF4BF2BB46}" name="Column977"/>
    <tableColumn id="984" xr3:uid="{1F7641CB-F470-4CBD-B22C-839A0773FC8B}" name="Column978"/>
    <tableColumn id="985" xr3:uid="{0176373C-8CAF-4AC7-B139-048CAFDC46E5}" name="Column979"/>
    <tableColumn id="986" xr3:uid="{2A72F008-47BD-40B6-8FB2-08D70357B450}" name="Column980"/>
    <tableColumn id="987" xr3:uid="{CE17F85C-3FD0-424F-B3BF-682AB47C4BD1}" name="Column981"/>
    <tableColumn id="988" xr3:uid="{68F36767-78D3-46C1-B7B5-BBA84D9F4FB7}" name="Column982"/>
    <tableColumn id="989" xr3:uid="{041C044F-2F59-47C9-820F-F5923A7B26FD}" name="Column983"/>
    <tableColumn id="990" xr3:uid="{E099CFCF-F0B7-4786-B110-D6952138C242}" name="Column984"/>
    <tableColumn id="991" xr3:uid="{B6EBE781-C8F3-47A3-8B8D-3953E89D2477}" name="Column985"/>
    <tableColumn id="992" xr3:uid="{BCBEA1A7-CCA8-4A33-A87A-12EFF78F1A0A}" name="Column986"/>
    <tableColumn id="993" xr3:uid="{B8FBB540-399C-4B9C-9D84-5D7589A99749}" name="Column987"/>
    <tableColumn id="994" xr3:uid="{2798968D-34B7-4A09-A1A6-C6099C1443E1}" name="Column988"/>
    <tableColumn id="995" xr3:uid="{8F7AB178-6478-41E6-81D8-43CAD946EAB6}" name="Column989"/>
    <tableColumn id="996" xr3:uid="{D4431A7C-6717-4CBC-ABA0-C7E4556789E4}" name="Column990"/>
    <tableColumn id="997" xr3:uid="{A3010A99-8B9F-4C5E-8B17-F0B4B2ADC71D}" name="Column991"/>
    <tableColumn id="998" xr3:uid="{1EFB5640-E841-49D1-985A-B892F524B49B}" name="Column992"/>
    <tableColumn id="999" xr3:uid="{DC591FD8-0AB4-4658-B3F2-319C4F924BA1}" name="Column993"/>
    <tableColumn id="1000" xr3:uid="{F07C5910-3AAE-4CA3-A752-5125DE01082B}" name="Column994"/>
    <tableColumn id="1001" xr3:uid="{58545EDD-110A-458B-B293-78B8CAB40B8D}" name="Column995"/>
    <tableColumn id="1002" xr3:uid="{E06E3349-CBA4-4BDE-9E7A-98736CE246EC}" name="Column996"/>
    <tableColumn id="1003" xr3:uid="{13465FA6-962A-4359-A541-322E53E35BDF}" name="Column997"/>
    <tableColumn id="1004" xr3:uid="{1D66D0B1-8B33-4267-9F1B-ABC8168DE106}" name="Column998"/>
    <tableColumn id="1005" xr3:uid="{47FFE604-91B3-4462-A1AD-A70ED2D17C71}" name="Column999"/>
    <tableColumn id="1006" xr3:uid="{8EC26DB1-376E-413E-A99C-B53564D9F7D4}" name="Column1000"/>
    <tableColumn id="1007" xr3:uid="{78708A32-2711-40E2-984A-22921A377E05}" name="Column1001"/>
    <tableColumn id="1008" xr3:uid="{81AA7184-1EE1-407A-B430-A5A761890777}" name="Column1002"/>
    <tableColumn id="1009" xr3:uid="{28FC7D80-FD7E-41BA-AF3B-874E6024FBB8}" name="Column1003"/>
    <tableColumn id="1010" xr3:uid="{1BC63BF4-B12C-40CF-BA5E-0DC5E3ABACA0}" name="Column1004"/>
    <tableColumn id="1011" xr3:uid="{BAEFAC7B-D802-4DF7-A8E1-3DEDB6016819}" name="Column1005"/>
    <tableColumn id="1012" xr3:uid="{64DC9158-34C8-48D9-BF65-AF4A53161632}" name="Column1006"/>
    <tableColumn id="1013" xr3:uid="{DB88D2FB-5EF0-4F22-8FF6-5FE9B419102C}" name="Column1007"/>
    <tableColumn id="1014" xr3:uid="{0A36F0C7-3141-4650-87A0-29A26D739ACA}" name="Column1008"/>
    <tableColumn id="1015" xr3:uid="{70B8C451-7439-4907-85F8-F1F1AAAB9495}" name="Column1009"/>
    <tableColumn id="1016" xr3:uid="{D20FE3F0-B878-4002-90EE-5FD5887B3941}" name="Column1010"/>
    <tableColumn id="1017" xr3:uid="{B37C3F1F-EF2E-4ACC-A8E9-8BC629FA5967}" name="Column1011"/>
    <tableColumn id="1018" xr3:uid="{B62A37A4-1627-4876-BDFA-D2F61799CCB3}" name="Column1012"/>
    <tableColumn id="1019" xr3:uid="{959AD867-1B3D-4601-8136-D1A67D0B6D9C}" name="Column1013"/>
    <tableColumn id="1020" xr3:uid="{33C8775C-72A3-4BB6-BAEB-92E2AD7D6EBC}" name="Column1014"/>
    <tableColumn id="1021" xr3:uid="{6499FDE5-BF88-4BFE-A62F-1D30B03230DC}" name="Column1015"/>
    <tableColumn id="1022" xr3:uid="{E04D8A19-A24C-4792-9453-24BE05A1AFD3}" name="Column1016"/>
    <tableColumn id="1023" xr3:uid="{F55120A3-0276-458D-8FD1-6719AE2414D1}" name="Column1017"/>
    <tableColumn id="1024" xr3:uid="{A944850B-88BA-4B0A-B5A0-9F8F157F8288}" name="Column1018"/>
    <tableColumn id="1025" xr3:uid="{0B841BBF-4E5F-4D09-908D-DB5F1D7CAC60}" name="Column1019"/>
    <tableColumn id="1026" xr3:uid="{E0FB8A17-06BB-4500-943D-F901B823516F}" name="Column1020"/>
    <tableColumn id="1027" xr3:uid="{57071262-C034-4965-9296-EF3DAC18E557}" name="Column1021"/>
    <tableColumn id="1028" xr3:uid="{E8E444DE-13AB-4B8E-8F02-D9C02497FF46}" name="Column1022"/>
    <tableColumn id="1029" xr3:uid="{0FCA4250-5DB5-43D4-ACEF-D7C87E5213FC}" name="Column1023"/>
    <tableColumn id="1030" xr3:uid="{E8C66DD8-B979-4CBB-9B1B-527B9C0A5678}" name="Column1024"/>
    <tableColumn id="1031" xr3:uid="{291AF7F5-F6CD-4940-8141-4DE62A44966B}" name="Column1025"/>
    <tableColumn id="1032" xr3:uid="{AC18492A-6312-4A55-B5D3-B669AC027D04}" name="Column1026"/>
    <tableColumn id="1033" xr3:uid="{1F76B7FB-CD23-4E3C-8B5D-C77643615EB5}" name="Column1027"/>
    <tableColumn id="1034" xr3:uid="{69CDF23E-B6B8-49A8-ACA5-24609DBA2D4E}" name="Column1028"/>
    <tableColumn id="1035" xr3:uid="{89270A60-70AF-4CEA-BED8-549FB2E6405A}" name="Column1029"/>
    <tableColumn id="1036" xr3:uid="{3BF49F54-EF64-49DC-98EF-87E855BFB4DE}" name="Column1030"/>
    <tableColumn id="1037" xr3:uid="{1AD28047-E93D-4B96-B132-AA105763CFD2}" name="Column1031"/>
    <tableColumn id="1038" xr3:uid="{3EA47689-CB46-4C62-9528-0A8065EB5A91}" name="Column1032"/>
    <tableColumn id="1039" xr3:uid="{E269B26E-397D-4699-B800-4A6CEEE687BF}" name="Column1033"/>
    <tableColumn id="1040" xr3:uid="{F9F27BA4-84F1-49C9-9953-D69286279B90}" name="Column1034"/>
    <tableColumn id="1041" xr3:uid="{151A75A0-B3A9-4765-B6D1-6E40B7F4B4AF}" name="Column1035"/>
    <tableColumn id="1042" xr3:uid="{432F4E92-1B7A-4831-911C-D136B5A85F92}" name="Column1036"/>
    <tableColumn id="1043" xr3:uid="{29C528CB-A47F-4711-ABB8-8D267B70CC6B}" name="Column1037"/>
    <tableColumn id="1044" xr3:uid="{559EEA4D-81DA-4C97-820C-C555F2BC7045}" name="Column1038"/>
    <tableColumn id="1045" xr3:uid="{273F4AC9-248C-4C9A-A79E-B8C4789AD1DB}" name="Column1039"/>
    <tableColumn id="1046" xr3:uid="{64112862-F8D8-4399-82B3-7DAF1A7BC22E}" name="Column1040"/>
    <tableColumn id="1047" xr3:uid="{71525295-6D3F-41EE-9321-151CFBF9BF08}" name="Column1041"/>
    <tableColumn id="1048" xr3:uid="{5F2D6157-DBDC-4167-9011-DE30AE0353B0}" name="Column1042"/>
    <tableColumn id="1049" xr3:uid="{12C9B20C-A3C7-40B5-B30C-5D33BC42BEE3}" name="Column1043"/>
    <tableColumn id="1050" xr3:uid="{9E8E033F-7A1E-4CFF-BD6F-CD50D5B5D4E7}" name="Column1044"/>
    <tableColumn id="1051" xr3:uid="{6007A741-7301-4C56-A76C-89FA3985E474}" name="Column1045"/>
    <tableColumn id="1052" xr3:uid="{B9293354-5E4A-4D16-B7DB-92F1628F5564}" name="Column1046"/>
    <tableColumn id="1053" xr3:uid="{72987E89-0ED7-464C-8FB3-48E1FB0D1363}" name="Column1047"/>
    <tableColumn id="1054" xr3:uid="{FCFD37CE-AC1B-4AAA-8528-A72CE797D852}" name="Column1048"/>
    <tableColumn id="1055" xr3:uid="{E84B3B2F-6F68-4426-B00A-3CC3D1B013B5}" name="Column1049"/>
    <tableColumn id="1056" xr3:uid="{B83D904C-A923-46D4-BFA1-D8CDA76A1E8E}" name="Column1050"/>
    <tableColumn id="1057" xr3:uid="{54E945CA-9B22-46B9-8A9D-B41758D5827C}" name="Column1051"/>
    <tableColumn id="1058" xr3:uid="{9FCE0A01-6437-4A56-9391-584E5C442E5D}" name="Column1052"/>
    <tableColumn id="1059" xr3:uid="{89457233-BB18-46CE-A3A8-7BB6947E1F61}" name="Column1053"/>
    <tableColumn id="1060" xr3:uid="{69965343-7D3C-499B-A508-496D4C0DDF18}" name="Column1054"/>
    <tableColumn id="1061" xr3:uid="{B218035E-D7F0-4F5D-8EBE-B4D679AD5D35}" name="Column1055"/>
    <tableColumn id="1062" xr3:uid="{02F27144-7260-438B-8ED5-C057A0E9BD38}" name="Column1056"/>
    <tableColumn id="1063" xr3:uid="{D5F35D7E-7294-4B3C-BFAE-6429AABD19C6}" name="Column1057"/>
    <tableColumn id="1064" xr3:uid="{60EB698A-3F08-4B07-831E-CC4ED1B15107}" name="Column1058"/>
    <tableColumn id="1065" xr3:uid="{7859D5CB-7BEC-4ABC-AF84-350E14EC5C3C}" name="Column1059"/>
    <tableColumn id="1066" xr3:uid="{2DFD1678-4E07-43F8-AF35-09E3B596BEE7}" name="Column1060"/>
    <tableColumn id="1067" xr3:uid="{F7FAF52B-07D6-41D8-99F0-8969AD8BCEF5}" name="Column1061"/>
    <tableColumn id="1068" xr3:uid="{342A44C7-A6CF-4B14-B4DC-D94B2E9066C4}" name="Column1062"/>
    <tableColumn id="1069" xr3:uid="{D3F1359F-61E2-45E2-9220-6F789AB64F0B}" name="Column1063"/>
    <tableColumn id="1070" xr3:uid="{BE2C400E-317C-48FC-9311-C55F80642023}" name="Column1064"/>
    <tableColumn id="1071" xr3:uid="{3A8F2720-45F3-424F-9B85-51AEBB4BFC4F}" name="Column1065"/>
    <tableColumn id="1072" xr3:uid="{FA1A8B25-A73B-4C31-8BFF-2A3AEF3BA20F}" name="Column1066"/>
    <tableColumn id="1073" xr3:uid="{063B1F72-9A77-4A16-8FEE-60E40E856143}" name="Column1067"/>
    <tableColumn id="1074" xr3:uid="{8394C200-896C-409A-A8F4-B48206F39407}" name="Column1068"/>
    <tableColumn id="1075" xr3:uid="{5F5071C8-35B6-46B6-9ABF-4F542E29F1D5}" name="Column1069"/>
    <tableColumn id="1076" xr3:uid="{A8CC4089-AD3F-4FFF-B93D-0E1E2A0C9EFF}" name="Column1070"/>
    <tableColumn id="1077" xr3:uid="{E28E699A-36E1-4E51-9713-AAF52010716D}" name="Column1071"/>
    <tableColumn id="1078" xr3:uid="{D578A829-87C0-4D84-9EF8-448F1634E199}" name="Column1072"/>
    <tableColumn id="1079" xr3:uid="{494A78EE-33BD-41BD-82BA-30644541328C}" name="Column1073"/>
    <tableColumn id="1080" xr3:uid="{143C8144-E24C-4A8B-A22E-D4E534F445B4}" name="Column1074"/>
    <tableColumn id="1081" xr3:uid="{403FE5DD-D576-4707-B489-40CC58DD8D28}" name="Column1075"/>
    <tableColumn id="1082" xr3:uid="{A0BB1008-3180-4492-9517-F7F5B7097310}" name="Column1076"/>
    <tableColumn id="1083" xr3:uid="{A4A6CE6C-D3A5-4763-9258-46151F895126}" name="Column1077"/>
    <tableColumn id="1084" xr3:uid="{8472E1E5-1526-4D0C-AA3D-50E5D14561E6}" name="Column1078"/>
    <tableColumn id="1085" xr3:uid="{30DA112D-FBCB-477D-8DA9-31F9556EC64D}" name="Column1079"/>
    <tableColumn id="1086" xr3:uid="{77077E77-ED8B-45C4-94B2-8D9871AD2BCD}" name="Column1080"/>
    <tableColumn id="1087" xr3:uid="{E087A16B-04CD-40C8-9F7B-10641F46D306}" name="Column1081"/>
    <tableColumn id="1088" xr3:uid="{4A02360D-EED3-41CF-89B4-9E73B15ED86E}" name="Column1082"/>
    <tableColumn id="1089" xr3:uid="{FE07F26D-F8CA-4288-93F3-7256868B1460}" name="Column1083"/>
    <tableColumn id="1090" xr3:uid="{A4A594F6-802D-4737-A4F9-597935B1806F}" name="Column1084"/>
    <tableColumn id="1091" xr3:uid="{20FB1B4A-4DA4-42A0-9D81-8B00BED462E3}" name="Column1085"/>
    <tableColumn id="1092" xr3:uid="{F6214163-7CAF-454E-A4E9-C3220FF80D7D}" name="Column1086"/>
    <tableColumn id="1093" xr3:uid="{89119BE6-8BA5-444E-AD9F-47E5A2E76EB0}" name="Column1087"/>
    <tableColumn id="1094" xr3:uid="{95287843-4CD9-465C-B72B-D504B26A1C9C}" name="Column1088"/>
    <tableColumn id="1095" xr3:uid="{30A7DB38-6F5A-44DC-9141-3C98C1752424}" name="Column1089"/>
    <tableColumn id="1096" xr3:uid="{883C7494-D524-40D1-8A8E-B11B8796D17A}" name="Column1090"/>
    <tableColumn id="1097" xr3:uid="{647309B4-DF8C-4728-9ACA-6B91A0D8B943}" name="Column1091"/>
    <tableColumn id="1098" xr3:uid="{52355192-5EB9-431F-94EF-0EB5DDC043F8}" name="Column1092"/>
    <tableColumn id="1099" xr3:uid="{5945BC9B-6960-4AB2-BB35-8292ECAC21AD}" name="Column1093"/>
    <tableColumn id="1100" xr3:uid="{66036F3A-2ACD-441F-A8DB-9A92FD126C1B}" name="Column1094"/>
    <tableColumn id="1101" xr3:uid="{C08E0C90-68AB-4DB8-BB89-6750EEFDC869}" name="Column1095"/>
    <tableColumn id="1102" xr3:uid="{66D9C351-AE87-438D-BC3D-51853F40CE82}" name="Column1096"/>
    <tableColumn id="1103" xr3:uid="{C9CEC4A5-4843-468C-AC49-AB988E488E8E}" name="Column1097"/>
    <tableColumn id="1104" xr3:uid="{6BD01013-BC73-4BB2-B976-1811F884C121}" name="Column1098"/>
    <tableColumn id="1105" xr3:uid="{57DCB8E9-89DD-43BB-9592-992AAC2442EF}" name="Column1099"/>
    <tableColumn id="1106" xr3:uid="{83E17BB8-58E8-43BC-ADAD-AFB1357B0C7B}" name="Column1100"/>
    <tableColumn id="1107" xr3:uid="{F055FAF8-49C6-40E5-B8F2-182295D26FCB}" name="Column1101"/>
    <tableColumn id="1108" xr3:uid="{33752AB5-2CE6-4757-B183-856828515C42}" name="Column1102"/>
    <tableColumn id="1109" xr3:uid="{5E3C20C4-1604-44C8-A01A-BEEC42893B2E}" name="Column1103"/>
    <tableColumn id="1110" xr3:uid="{6485B048-1F31-49F5-8636-AE453FB0F10A}" name="Column1104"/>
    <tableColumn id="1111" xr3:uid="{00490CD6-CD22-45B4-ACAC-CCCBF78238A6}" name="Column1105"/>
    <tableColumn id="1112" xr3:uid="{28377D15-F5AF-460E-9142-50C03A964CE5}" name="Column1106"/>
    <tableColumn id="1113" xr3:uid="{6992F6E1-46EA-4645-A4AC-F509C83AF15F}" name="Column1107"/>
    <tableColumn id="1114" xr3:uid="{46894868-457A-42DB-96C4-C88369542026}" name="Column1108"/>
    <tableColumn id="1115" xr3:uid="{2E6DB15F-7DA0-4984-BA30-4635A04D755F}" name="Column1109"/>
    <tableColumn id="1116" xr3:uid="{06C58166-4933-48E8-9F42-B5F6AFDDB6B1}" name="Column1110"/>
    <tableColumn id="1117" xr3:uid="{BE79A0F2-249B-46FA-AD32-C7FF72CF3702}" name="Column1111"/>
    <tableColumn id="1118" xr3:uid="{B2DA16C5-48DE-4923-959C-6C99B108F80B}" name="Column1112"/>
    <tableColumn id="1119" xr3:uid="{E117C397-8A6C-49FA-9B6A-4CA1E1CF1CF8}" name="Column1113"/>
    <tableColumn id="1120" xr3:uid="{EEBD6DAB-13E2-4688-9FD7-D0CFCADDF15C}" name="Column1114"/>
    <tableColumn id="1121" xr3:uid="{DA1EA5DE-E542-4C73-8AF8-5467650047F0}" name="Column1115"/>
    <tableColumn id="1122" xr3:uid="{64674B0C-99E7-402A-8965-9823A978DB14}" name="Column1116"/>
    <tableColumn id="1123" xr3:uid="{3EFC0037-1E37-4125-AB77-9F864C7F3614}" name="Column1117"/>
    <tableColumn id="1124" xr3:uid="{C6D1C1D7-C9D5-47E2-A3CE-E4A0728D1C8A}" name="Column1118"/>
    <tableColumn id="1125" xr3:uid="{E9A11D6C-B13C-4BD5-BDD2-51475958C88B}" name="Column1119"/>
    <tableColumn id="1126" xr3:uid="{71F9BE06-DB7F-430F-8A05-3F5AE5DB3F93}" name="Column1120"/>
    <tableColumn id="1127" xr3:uid="{03B513A0-4399-444B-99B1-039D15BD09F9}" name="Column1121"/>
    <tableColumn id="1128" xr3:uid="{ECE3DEC2-2108-4376-AD35-61E794E21232}" name="Column1122"/>
    <tableColumn id="1129" xr3:uid="{50E1E849-7F20-4E38-9CA3-6F370652C74C}" name="Column1123"/>
    <tableColumn id="1130" xr3:uid="{2652846E-C6AD-4047-BD8C-6FB7DF185286}" name="Column1124"/>
    <tableColumn id="1131" xr3:uid="{1A2D176F-EE7F-4A1B-97D4-58FC21B3F04E}" name="Column1125"/>
    <tableColumn id="1132" xr3:uid="{F4C17115-647C-482D-9896-63A0C7E71F6E}" name="Column1126"/>
    <tableColumn id="1133" xr3:uid="{FB0FF8E5-8C15-4E7A-A0A9-4098BF10630B}" name="Column1127"/>
    <tableColumn id="1134" xr3:uid="{15BEAE72-AD88-4BEE-B5DE-8294BD99903C}" name="Column1128"/>
    <tableColumn id="1135" xr3:uid="{61B740BD-202F-4167-AAD0-4DC0807669F5}" name="Column1129"/>
    <tableColumn id="1136" xr3:uid="{213EF7F5-13D0-49E2-ADF9-382C05C071A2}" name="Column1130"/>
    <tableColumn id="1137" xr3:uid="{EBD78623-3442-498E-9866-42E6325957C6}" name="Column1131"/>
    <tableColumn id="1138" xr3:uid="{7AD42402-7B87-4D77-9ED9-0F5BDA3DD3DD}" name="Column1132"/>
    <tableColumn id="1139" xr3:uid="{F6356E10-CC15-44E1-B121-4EE038CEEDDE}" name="Column1133"/>
    <tableColumn id="1140" xr3:uid="{104CCA12-191A-4E31-B8EB-0EF546CCBCA5}" name="Column1134"/>
    <tableColumn id="1141" xr3:uid="{E517274A-CC8A-4581-895D-956ACAD27703}" name="Column1135"/>
    <tableColumn id="1142" xr3:uid="{344BDCCA-812F-4E03-ADED-2B67EAB3C4AE}" name="Column1136"/>
    <tableColumn id="1143" xr3:uid="{50E87840-4A55-4D6F-AB4F-005E0D839317}" name="Column1137"/>
    <tableColumn id="1144" xr3:uid="{F0A99638-6AAF-4319-9E79-8B164BEF1DCA}" name="Column1138"/>
    <tableColumn id="1145" xr3:uid="{56F95982-08DD-4E44-84BF-4F5400CB2272}" name="Column1139"/>
    <tableColumn id="1146" xr3:uid="{C4511570-D3C7-4758-9974-29DDCFF6EC58}" name="Column1140"/>
    <tableColumn id="1147" xr3:uid="{BE90CAAC-FE8D-4810-B379-4BA29130540F}" name="Column1141"/>
    <tableColumn id="1148" xr3:uid="{AA271EA6-3DA0-4EB8-A0E9-BC94BFCCC621}" name="Column1142"/>
    <tableColumn id="1149" xr3:uid="{6F3A7024-F490-4CE9-898C-941E24CC03CF}" name="Column1143"/>
    <tableColumn id="1150" xr3:uid="{56C771F9-A083-4E37-9EF5-3B540D3AF45D}" name="Column1144"/>
    <tableColumn id="1151" xr3:uid="{D30DB18F-74A6-4316-8DF6-89A9B1276B93}" name="Column1145"/>
    <tableColumn id="1152" xr3:uid="{443E4252-BE14-4121-8BDA-A93A2B222085}" name="Column1146"/>
    <tableColumn id="1153" xr3:uid="{042B2DD9-B4BD-4D78-AB23-170E2E9D5D58}" name="Column1147"/>
    <tableColumn id="1154" xr3:uid="{6D448922-0FF7-4F7E-87C1-05C832DCA242}" name="Column1148"/>
    <tableColumn id="1155" xr3:uid="{C1DB1F12-3835-422E-AECC-EBCDE0664A17}" name="Column1149"/>
    <tableColumn id="1156" xr3:uid="{686E8E56-9643-47F7-A49F-DE46298F06A1}" name="Column1150"/>
    <tableColumn id="1157" xr3:uid="{C2272168-51EB-4C23-9F35-84401784C792}" name="Column1151"/>
    <tableColumn id="1158" xr3:uid="{FEBCE9CA-BEEF-4632-9A2D-9CC2DA773F1F}" name="Column1152"/>
    <tableColumn id="1159" xr3:uid="{1F6C0965-7E60-4DA2-8D73-4E62C508C98D}" name="Column1153"/>
    <tableColumn id="1160" xr3:uid="{2A5C5134-4DEB-4843-BFB9-27093F8D6F39}" name="Column1154"/>
    <tableColumn id="1161" xr3:uid="{A8CDEFF3-B096-43A2-B736-6DA231032147}" name="Column1155"/>
    <tableColumn id="1162" xr3:uid="{FC7F227D-A307-44D9-99E6-BE62E2C56354}" name="Column1156"/>
    <tableColumn id="1163" xr3:uid="{972E5231-3912-4F77-B705-913F4852AABF}" name="Column1157"/>
    <tableColumn id="1164" xr3:uid="{7AAB9FDB-7ADE-4FFA-87D6-81E327541927}" name="Column1158"/>
    <tableColumn id="1165" xr3:uid="{B2D74C12-8120-4E6C-9882-337EC28DEBAD}" name="Column1159"/>
    <tableColumn id="1166" xr3:uid="{76601F3C-386A-4038-B580-1BDF250ECC7B}" name="Column1160"/>
    <tableColumn id="1167" xr3:uid="{D90D06E0-653C-4925-8E6D-1BAC28F97E30}" name="Column1161"/>
    <tableColumn id="1168" xr3:uid="{4D6DE1E5-218A-496D-B5F4-E75D0D06BA9B}" name="Column1162"/>
    <tableColumn id="1169" xr3:uid="{3D20ED65-3D48-49F3-8E22-C8C090EF803A}" name="Column1163"/>
    <tableColumn id="1170" xr3:uid="{4D1799F3-FAC5-45FA-838A-A29179DC01EA}" name="Column1164"/>
    <tableColumn id="1171" xr3:uid="{CCC71EEF-1B37-499D-A552-5927B7C38AAD}" name="Column1165"/>
    <tableColumn id="1172" xr3:uid="{550C4284-0B69-453B-951C-4CA24B6F0381}" name="Column1166"/>
    <tableColumn id="1173" xr3:uid="{5640E069-B8B3-4264-A4BA-FFDEDAE30771}" name="Column1167"/>
    <tableColumn id="1174" xr3:uid="{950E6B0C-D836-4A91-8DCB-473A50168C09}" name="Column1168"/>
    <tableColumn id="1175" xr3:uid="{F1583F0B-7FCB-4636-ACEF-E5E7309D8FD8}" name="Column1169"/>
    <tableColumn id="1176" xr3:uid="{C04FDF44-694B-40A9-AD7B-5BC7B7D53585}" name="Column1170"/>
    <tableColumn id="1177" xr3:uid="{3B74D3F8-D267-4D43-8123-D5148D95124A}" name="Column1171"/>
    <tableColumn id="1178" xr3:uid="{77530DC1-5850-4D23-ACAD-8C5AEBFD5593}" name="Column1172"/>
    <tableColumn id="1179" xr3:uid="{A6E98466-E199-4C1F-8F81-BB14EB95BA69}" name="Column1173"/>
    <tableColumn id="1180" xr3:uid="{3F4222AE-BAD2-4376-B517-72355FDD298A}" name="Column1174"/>
    <tableColumn id="1181" xr3:uid="{79450A4C-926F-4FA3-8608-29D4F9F68FB1}" name="Column1175"/>
    <tableColumn id="1182" xr3:uid="{73F2599E-7C21-4D29-BB4B-A01231EA975D}" name="Column1176"/>
    <tableColumn id="1183" xr3:uid="{80559419-7EB6-4E0E-8421-D569CEE674ED}" name="Column1177"/>
    <tableColumn id="1184" xr3:uid="{78D5165D-5636-48E1-8CE1-B86F2F011620}" name="Column1178"/>
    <tableColumn id="1185" xr3:uid="{8C37E5B7-BB0D-4422-9F59-764FAA1CDF8D}" name="Column1179"/>
    <tableColumn id="1186" xr3:uid="{11554009-B87D-431C-8C48-54C5F5281EAB}" name="Column1180"/>
    <tableColumn id="1187" xr3:uid="{9C1E1188-41ED-49AD-BF4D-21F09329FB47}" name="Column1181"/>
    <tableColumn id="1188" xr3:uid="{F7C47208-62AF-4A3E-ABEA-FD5CFB5436D4}" name="Column1182"/>
    <tableColumn id="1189" xr3:uid="{CA77FB1D-8DC4-49EC-847C-19E5C95E4480}" name="Column1183"/>
    <tableColumn id="1190" xr3:uid="{B5351F18-D2D2-4842-A1E7-8565F3C288F0}" name="Column1184"/>
    <tableColumn id="1191" xr3:uid="{1471D6B6-597C-4CDE-8D0B-112F254F67B5}" name="Column1185"/>
    <tableColumn id="1192" xr3:uid="{BA00C8B6-97B8-4CC5-AC75-137D771E244F}" name="Column1186"/>
    <tableColumn id="1193" xr3:uid="{07521B23-2D82-466F-A464-6F4BEC60DDEB}" name="Column1187"/>
    <tableColumn id="1194" xr3:uid="{1CE2B1B4-5AF2-4718-A93B-93F5A2FC7AFA}" name="Column1188"/>
    <tableColumn id="1195" xr3:uid="{B3EE4524-6998-43F9-B7D4-F771E7C9C9C5}" name="Column1189"/>
    <tableColumn id="1196" xr3:uid="{3832B9E3-F43A-40C7-AED7-CF7DC0FAD1AE}" name="Column1190"/>
    <tableColumn id="1197" xr3:uid="{0DDE6459-8872-40B3-B150-3C120B3DDB63}" name="Column1191"/>
    <tableColumn id="1198" xr3:uid="{A2C0947F-FA7C-4C8B-BDAE-CC883936C40C}" name="Column1192"/>
    <tableColumn id="1199" xr3:uid="{5065704D-9748-457E-B875-13BEE48ADFC4}" name="Column1193"/>
    <tableColumn id="1200" xr3:uid="{2F71931D-28C7-4F79-85DA-3AA5066F8D36}" name="Column1194"/>
    <tableColumn id="1201" xr3:uid="{BF3D0185-C833-49F7-B4EA-4FA5574F2E69}" name="Column1195"/>
    <tableColumn id="1202" xr3:uid="{F72993F8-E95C-4CB2-A437-37C67F4D330E}" name="Column1196"/>
    <tableColumn id="1203" xr3:uid="{833B2DE0-52CF-4FEC-AF4F-3F6A3C8C0D43}" name="Column1197"/>
    <tableColumn id="1204" xr3:uid="{92248F61-132B-4478-990F-E002B4CCFAAF}" name="Column1198"/>
    <tableColumn id="1205" xr3:uid="{9216C7D2-F7DF-4387-BAB3-13D8C5C5386B}" name="Column1199"/>
    <tableColumn id="1206" xr3:uid="{B9C6F63A-308A-4CFC-AAA6-5AA7948DA304}" name="Column1200"/>
    <tableColumn id="1207" xr3:uid="{709D0F88-AA7A-491F-821D-F1E0A79826AB}" name="Column1201"/>
    <tableColumn id="1208" xr3:uid="{06499C35-9F2E-4C97-B958-5948D1E5C780}" name="Column1202"/>
    <tableColumn id="1209" xr3:uid="{2B6B979C-03FF-44B1-99B1-B3A939225755}" name="Column1203"/>
    <tableColumn id="1210" xr3:uid="{36ACA389-8C7D-4444-A4D9-BF886213B280}" name="Column1204"/>
    <tableColumn id="1211" xr3:uid="{7AB691C7-7020-48AF-BEAA-2CE338A3260D}" name="Column1205"/>
    <tableColumn id="1212" xr3:uid="{C3FB02DE-17AF-485B-BD0F-21C291B9BEF2}" name="Column1206"/>
    <tableColumn id="1213" xr3:uid="{08C36F23-91E8-49A4-A51A-C7A7EFEDEDAF}" name="Column1207"/>
    <tableColumn id="1214" xr3:uid="{B6658B47-AC08-4556-BDF9-662640577342}" name="Column1208"/>
    <tableColumn id="1215" xr3:uid="{5751696A-C922-4245-B300-24A69AA2B449}" name="Column1209"/>
    <tableColumn id="1216" xr3:uid="{14D37F58-B7AD-40D0-9F6E-A7D1D5CD72F2}" name="Column1210"/>
    <tableColumn id="1217" xr3:uid="{DE5180C4-F1FB-48FA-8E5C-D797E073AB55}" name="Column1211"/>
    <tableColumn id="1218" xr3:uid="{92ABD506-E673-4876-A792-B1219276724C}" name="Column1212"/>
    <tableColumn id="1219" xr3:uid="{032FAD13-4949-409C-B96D-6EFED829B44F}" name="Column1213"/>
    <tableColumn id="1220" xr3:uid="{930EB172-637C-4F6B-B9F0-13CBC71C2535}" name="Column1214"/>
    <tableColumn id="1221" xr3:uid="{23BF982E-2F95-4C26-85C0-C98254C1B622}" name="Column1215"/>
    <tableColumn id="1222" xr3:uid="{8D537C8C-AA72-4B6D-B40A-11AAB60BB707}" name="Column1216"/>
    <tableColumn id="1223" xr3:uid="{C54DB006-077A-46DA-A279-D5A157888E53}" name="Column1217"/>
    <tableColumn id="1224" xr3:uid="{36672C4E-A62D-42CE-B87D-5ABAC22C9DAA}" name="Column1218"/>
    <tableColumn id="1225" xr3:uid="{3EA63BEA-FBC7-4C86-9D51-5BA2178D2626}" name="Column1219"/>
    <tableColumn id="1226" xr3:uid="{864F6B56-1BBB-4456-8545-FC58C3A808A9}" name="Column1220"/>
    <tableColumn id="1227" xr3:uid="{9CEFB942-F11F-411E-9130-1B41D00BFE76}" name="Column1221"/>
    <tableColumn id="1228" xr3:uid="{ADD1E570-FBBC-4B7C-A4F9-B7B0CBF6DC70}" name="Column1222"/>
    <tableColumn id="1229" xr3:uid="{CA59819E-60CC-4B21-9691-1B54375CCC78}" name="Column1223"/>
    <tableColumn id="1230" xr3:uid="{4394BD47-ECF1-4BC9-A250-DF92886764DF}" name="Column1224"/>
    <tableColumn id="1231" xr3:uid="{BC62F053-EAC1-476E-A346-02DAB2FB7504}" name="Column1225"/>
    <tableColumn id="1232" xr3:uid="{D63E9B68-583E-4883-9E19-3ADC1345F257}" name="Column1226"/>
    <tableColumn id="1233" xr3:uid="{85078AA1-0CDF-4D36-BAF7-A8D71C935D97}" name="Column1227"/>
    <tableColumn id="1234" xr3:uid="{B4200438-2D69-49F9-9B77-A01E21631F0F}" name="Column1228"/>
    <tableColumn id="1235" xr3:uid="{F0552564-15EC-4B8B-815B-62E7DD928D41}" name="Column1229"/>
    <tableColumn id="1236" xr3:uid="{DDE70020-B397-41CB-B75B-F1677173347E}" name="Column1230"/>
    <tableColumn id="1237" xr3:uid="{1F411799-BA6D-4A9F-85AF-4623C7B2C452}" name="Column1231"/>
    <tableColumn id="1238" xr3:uid="{5DDD15CC-2500-452E-AA27-E8253AD9C4FE}" name="Column1232"/>
    <tableColumn id="1239" xr3:uid="{653EBC98-7FF5-4932-A490-6AA0B59C51FF}" name="Column1233"/>
    <tableColumn id="1240" xr3:uid="{97733156-2197-484E-B9E0-3932B6E801CB}" name="Column1234"/>
    <tableColumn id="1241" xr3:uid="{236774A9-AC8F-403A-9A25-4529AA01ED54}" name="Column1235"/>
    <tableColumn id="1242" xr3:uid="{F14D9CE5-BB3B-4F94-B673-FE0FFA110FEA}" name="Column1236"/>
    <tableColumn id="1243" xr3:uid="{38C5FDA3-053E-48B6-A9AE-26CE8CBE4092}" name="Column1237"/>
    <tableColumn id="1244" xr3:uid="{A4F24D5D-B138-4E19-8120-B018F80B9A60}" name="Column1238"/>
    <tableColumn id="1245" xr3:uid="{D3CFD76B-E99E-411E-8EC0-0E87FC92A182}" name="Column1239"/>
    <tableColumn id="1246" xr3:uid="{22B49D03-319A-40B2-AC89-CA68843C9006}" name="Column1240"/>
    <tableColumn id="1247" xr3:uid="{28F74898-0302-4C2C-A593-1F0632F34EA1}" name="Column1241"/>
    <tableColumn id="1248" xr3:uid="{1DC4F08C-0C43-4267-83B5-7EE714706030}" name="Column1242"/>
    <tableColumn id="1249" xr3:uid="{5BA54F83-7820-46DE-AAB1-FE3B459E9EB8}" name="Column1243"/>
    <tableColumn id="1250" xr3:uid="{AF5716D9-2BDF-41AC-BF1D-09A7F7DF6ED6}" name="Column1244"/>
    <tableColumn id="1251" xr3:uid="{F3C9063F-E14F-4079-9AD6-6DC5279A0226}" name="Column1245"/>
    <tableColumn id="1252" xr3:uid="{A8DE1AED-3E0C-4EB8-A78D-FB561189BF4C}" name="Column1246"/>
    <tableColumn id="1253" xr3:uid="{B6781C63-83CF-47DF-B264-D19E735DCBDC}" name="Column1247"/>
    <tableColumn id="1254" xr3:uid="{FEE84543-ED2B-4C6E-BDC0-040633356438}" name="Column1248"/>
    <tableColumn id="1255" xr3:uid="{0BD1C710-F046-4049-914B-FCE965C00132}" name="Column1249"/>
    <tableColumn id="1256" xr3:uid="{97A8D866-B6F0-4C83-B55B-37648CB0E71A}" name="Column1250"/>
    <tableColumn id="1257" xr3:uid="{9803A95D-412F-42B0-AE9E-92493C98D2B3}" name="Column1251"/>
    <tableColumn id="1258" xr3:uid="{FBA697A2-A073-44CC-A701-08A81526B7C9}" name="Column1252"/>
    <tableColumn id="1259" xr3:uid="{066779EC-1944-4626-8EDF-C967AC52F5C7}" name="Column1253"/>
    <tableColumn id="1260" xr3:uid="{CC1AB6C6-3B5E-40B1-BDE4-2026BD62FBF0}" name="Column1254"/>
    <tableColumn id="1261" xr3:uid="{AEEDC66C-CD16-488D-8AEA-016BBCF6D93A}" name="Column1255"/>
    <tableColumn id="1262" xr3:uid="{EA3705C1-7C28-4D8E-B4FC-07CC8F3AF269}" name="Column1256"/>
    <tableColumn id="1263" xr3:uid="{BE3CC5EE-93F4-491E-B984-6BE117A05899}" name="Column1257"/>
    <tableColumn id="1264" xr3:uid="{280C8A18-89EB-4557-9C4F-45313423A136}" name="Column1258"/>
    <tableColumn id="1265" xr3:uid="{ADAA8340-834B-420D-8DC8-CE4332AAC276}" name="Column1259"/>
    <tableColumn id="1266" xr3:uid="{DCB188A2-9518-4D10-83D7-4D44FF82C56A}" name="Column1260"/>
    <tableColumn id="1267" xr3:uid="{4CD41877-29FD-473D-AA78-D9C27F95D702}" name="Column1261"/>
    <tableColumn id="1268" xr3:uid="{76F914C6-3922-4399-A26D-472FCAE2DF2C}" name="Column1262"/>
    <tableColumn id="1269" xr3:uid="{FB816E81-FB4E-4F7A-9412-556F566DB700}" name="Column1263"/>
    <tableColumn id="1270" xr3:uid="{370B2003-0208-4B2F-839C-4459847C80C5}" name="Column1264"/>
    <tableColumn id="1271" xr3:uid="{4C06899E-9F16-4CB6-8FEA-AA41FEE5D884}" name="Column1265"/>
    <tableColumn id="1272" xr3:uid="{F3239AA3-0FA1-4C98-8075-436B133A5A34}" name="Column1266"/>
    <tableColumn id="1273" xr3:uid="{A5B0EF26-DB2C-4B77-89DA-DA4F80211886}" name="Column1267"/>
    <tableColumn id="1274" xr3:uid="{19930936-761B-456E-B2EE-45ED4B1DDE82}" name="Column1268"/>
    <tableColumn id="1275" xr3:uid="{F336645F-8348-4041-A5D0-C6EEBA5EB970}" name="Column1269"/>
    <tableColumn id="1276" xr3:uid="{9E23D3A3-1D90-4FA0-845E-2B2E545398CD}" name="Column1270"/>
    <tableColumn id="1277" xr3:uid="{05D61AF3-9004-47BD-958F-8C3BA95B0927}" name="Column1271"/>
    <tableColumn id="1278" xr3:uid="{ECBA9F69-1843-4746-A977-91398106B6B2}" name="Column1272"/>
    <tableColumn id="1279" xr3:uid="{9B7F7000-0566-484F-BF26-01100A20F0F9}" name="Column1273"/>
    <tableColumn id="1280" xr3:uid="{D5158C88-2083-4759-A565-2A98970A26C9}" name="Column1274"/>
    <tableColumn id="1281" xr3:uid="{3E95E17B-4477-44E5-B276-541336512E75}" name="Column1275"/>
    <tableColumn id="1282" xr3:uid="{57155A69-5404-4A52-90C7-995CDB2D3DAE}" name="Column1276"/>
    <tableColumn id="1283" xr3:uid="{69C73D94-6A6D-40D0-83B6-4908FBA27365}" name="Column1277"/>
    <tableColumn id="1284" xr3:uid="{719EC06B-D6C7-4F26-BC22-75844BC2B3A3}" name="Column1278"/>
    <tableColumn id="1285" xr3:uid="{85948F53-9A65-4DDC-9B3F-85A603CA9A9E}" name="Column1279"/>
    <tableColumn id="1286" xr3:uid="{E6DA346A-7327-4537-88DE-2A1CEC515EAD}" name="Column1280"/>
    <tableColumn id="1287" xr3:uid="{D13A514B-0CA3-43DB-94E5-B4691713C1B9}" name="Column1281"/>
    <tableColumn id="1288" xr3:uid="{F9FA4B6E-F819-4E00-AB6C-2E2136A9BF4D}" name="Column1282"/>
    <tableColumn id="1289" xr3:uid="{71D0A2AD-9249-42B3-8048-624B80851DC5}" name="Column1283"/>
    <tableColumn id="1290" xr3:uid="{790B1DBD-0050-447B-ACE2-F439162D8622}" name="Column1284"/>
    <tableColumn id="1291" xr3:uid="{85921B98-7B8C-451B-BFD4-C6BBD446E896}" name="Column1285"/>
    <tableColumn id="1292" xr3:uid="{89BDBCD7-598E-4C53-BD17-6967F73D0691}" name="Column1286"/>
    <tableColumn id="1293" xr3:uid="{1DC47BA6-CEED-4BAE-B422-50F383406179}" name="Column1287"/>
    <tableColumn id="1294" xr3:uid="{728A69AD-C879-49DA-A38F-8D7401C30279}" name="Column1288"/>
    <tableColumn id="1295" xr3:uid="{A44A29FE-F59B-4C48-887B-FB62DD756D96}" name="Column1289"/>
    <tableColumn id="1296" xr3:uid="{078FE753-B93C-487D-810D-434F4F7C98E6}" name="Column1290"/>
    <tableColumn id="1297" xr3:uid="{22820CD0-D972-4AFF-8E3B-B442AD49D692}" name="Column1291"/>
    <tableColumn id="1298" xr3:uid="{D6617A93-4FE3-4608-9C44-C0E62E1C881A}" name="Column1292"/>
    <tableColumn id="1299" xr3:uid="{D7661932-3AE1-4C57-9D9E-B823056B204E}" name="Column1293"/>
    <tableColumn id="1300" xr3:uid="{D0B81635-C263-4595-9BA8-FFCCDDFE1A4F}" name="Column1294"/>
    <tableColumn id="1301" xr3:uid="{5E4D512F-858D-4A33-AEE7-E7B31E964119}" name="Column1295"/>
    <tableColumn id="1302" xr3:uid="{12151A1B-2A06-42E7-A2DB-9AFE88B255BC}" name="Column1296"/>
    <tableColumn id="1303" xr3:uid="{393B917B-E0D2-4890-90AA-B5B5F1A61876}" name="Column1297"/>
    <tableColumn id="1304" xr3:uid="{ED2E1AA6-B631-4CF6-B22A-2D2A0D36982C}" name="Column1298"/>
    <tableColumn id="1305" xr3:uid="{F3FBE219-CAC1-4EDB-8087-AFF1DADDA5D6}" name="Column1299"/>
    <tableColumn id="1306" xr3:uid="{171FB584-1DCF-4B12-8126-152453563800}" name="Column1300"/>
    <tableColumn id="1307" xr3:uid="{2DBCDC17-8079-424D-8B4A-57C0BF4CF0DF}" name="Column1301"/>
    <tableColumn id="1308" xr3:uid="{52B2FCDD-D010-4232-9F42-C7267E910F05}" name="Column1302"/>
    <tableColumn id="1309" xr3:uid="{1890FEAF-A7B0-4F0B-A554-CF589471E8F3}" name="Column1303"/>
    <tableColumn id="1310" xr3:uid="{EBF6ECA8-6A5D-41C3-82AE-8CC5C4072010}" name="Column1304"/>
    <tableColumn id="1311" xr3:uid="{2F043013-2F6D-412D-8BF2-E6BE8E171E2A}" name="Column1305"/>
    <tableColumn id="1312" xr3:uid="{95F6EDD3-8196-4307-84DD-D366774582DB}" name="Column1306"/>
    <tableColumn id="1313" xr3:uid="{A6238693-78C0-4DA2-A1C5-A9DE68301B1D}" name="Column1307"/>
    <tableColumn id="1314" xr3:uid="{021A0B4A-2F51-46F0-B02F-86DB03D0D9E7}" name="Column1308"/>
    <tableColumn id="1315" xr3:uid="{60F3DEEB-F11F-43B1-8457-5BE94B9B0519}" name="Column1309"/>
    <tableColumn id="1316" xr3:uid="{46DA6609-497E-4283-A8B9-5EEB37D03155}" name="Column1310"/>
    <tableColumn id="1317" xr3:uid="{AABEE2E5-6C73-43ED-99F0-09EF84095F82}" name="Column1311"/>
    <tableColumn id="1318" xr3:uid="{79C86D7F-A7A9-4358-AC78-9B9D975C22FE}" name="Column1312"/>
    <tableColumn id="1319" xr3:uid="{F0F58566-3CCA-4005-BFAF-4386237E3729}" name="Column1313"/>
    <tableColumn id="1320" xr3:uid="{5F5BD5A0-1540-478E-8304-FC755F7E68C8}" name="Column1314"/>
    <tableColumn id="1321" xr3:uid="{9D3FD5B8-9DCF-44D0-8F5E-807F838EBD14}" name="Column1315"/>
    <tableColumn id="1322" xr3:uid="{18936118-CC03-4B32-A556-B69A99CD2CFD}" name="Column1316"/>
    <tableColumn id="1323" xr3:uid="{815036A7-E3A4-4855-A451-4C515EB64A3C}" name="Column1317"/>
    <tableColumn id="1324" xr3:uid="{C0078C1F-57B0-425F-A6BA-359C59DFDD34}" name="Column1318"/>
    <tableColumn id="1325" xr3:uid="{DEDAEA9F-07E3-45C5-ADF9-FC3B0E4A694A}" name="Column1319"/>
    <tableColumn id="1326" xr3:uid="{96FF0BD8-30BE-403C-BC61-8770BCDCD64B}" name="Column1320"/>
    <tableColumn id="1327" xr3:uid="{6BC80AC8-D1DC-4FE8-B659-8B4A85C17BC1}" name="Column1321"/>
    <tableColumn id="1328" xr3:uid="{4C2BF1B1-A9E2-4201-A5CF-E33DCB71F65D}" name="Column1322"/>
    <tableColumn id="1329" xr3:uid="{F43C03C3-82EF-412A-89C6-C09D663BBE63}" name="Column1323"/>
    <tableColumn id="1330" xr3:uid="{D9C76869-15FA-47A4-8BFA-576967B47495}" name="Column1324"/>
    <tableColumn id="1331" xr3:uid="{74181A67-C367-4BC9-AFEE-4DE2CA8E01F6}" name="Column1325"/>
    <tableColumn id="1332" xr3:uid="{5CD2FAD9-737D-4E8F-B54B-416C3959CC0B}" name="Column1326"/>
    <tableColumn id="1333" xr3:uid="{350ED313-3E82-42CC-BA70-E8C7E5705596}" name="Column1327"/>
    <tableColumn id="1334" xr3:uid="{8218B27B-C677-4566-BEB1-F82C6BF48DF4}" name="Column1328"/>
    <tableColumn id="1335" xr3:uid="{7B0B3129-DE1D-4B7D-865E-FD342CD04B18}" name="Column1329"/>
    <tableColumn id="1336" xr3:uid="{303F9394-E950-41C4-9D27-C5564AAF3FF5}" name="Column1330"/>
    <tableColumn id="1337" xr3:uid="{CAF04113-46A7-4118-A840-978D12A468E4}" name="Column1331"/>
    <tableColumn id="1338" xr3:uid="{07E26AF5-D467-4955-8F8F-40D23C9D5E7D}" name="Column1332"/>
    <tableColumn id="1339" xr3:uid="{BC4E830E-1705-4838-80EF-83EA96882A5D}" name="Column1333"/>
    <tableColumn id="1340" xr3:uid="{DA9736E0-0AFA-4857-99E8-3B2D3832C1DB}" name="Column1334"/>
    <tableColumn id="1341" xr3:uid="{6CF68331-F0BE-4C3C-A8E0-643700374FC0}" name="Column1335"/>
    <tableColumn id="1342" xr3:uid="{7C8DD307-0FDB-4417-889D-5D0279203FDB}" name="Column1336"/>
    <tableColumn id="1343" xr3:uid="{64FF6E15-F5E4-426A-9557-011037F583C6}" name="Column1337"/>
    <tableColumn id="1344" xr3:uid="{AA48816C-B87C-4738-A3B1-C24AA2C65260}" name="Column1338"/>
    <tableColumn id="1345" xr3:uid="{240B2114-772F-4E61-BE0D-7008E8B84098}" name="Column1339"/>
    <tableColumn id="1346" xr3:uid="{E711A734-2CB2-4761-8C3E-5BA1324AEE26}" name="Column1340"/>
    <tableColumn id="1347" xr3:uid="{E7F488D8-9335-426A-90EF-CFC9534A6A0E}" name="Column1341"/>
    <tableColumn id="1348" xr3:uid="{107FD439-8A96-4ADB-85E4-4D624089AA29}" name="Column1342"/>
    <tableColumn id="1349" xr3:uid="{B15E7446-C961-49DE-9B3C-73E76EC5AC29}" name="Column1343"/>
    <tableColumn id="1350" xr3:uid="{DA8B9D11-061A-4C86-AF05-0BB6E23B5F0D}" name="Column1344"/>
    <tableColumn id="1351" xr3:uid="{963AD570-0761-4132-8D53-F631FB33C394}" name="Column1345"/>
    <tableColumn id="1352" xr3:uid="{0B74FB30-FD45-436D-A10B-57358AE3202E}" name="Column1346"/>
    <tableColumn id="1353" xr3:uid="{F0117912-FF5C-475D-A811-B962A15F491B}" name="Column1347"/>
    <tableColumn id="1354" xr3:uid="{074C3A92-DE88-468C-AD0B-6EEB855E1683}" name="Column1348"/>
    <tableColumn id="1355" xr3:uid="{A18363E4-A784-417B-AD0E-7C1A17F1E7B4}" name="Column1349"/>
    <tableColumn id="1356" xr3:uid="{D5D54EED-664C-4682-A76B-F9BB961BBE24}" name="Column1350"/>
    <tableColumn id="1357" xr3:uid="{502957BF-CC40-49CD-BD26-7695AEFCA018}" name="Column1351"/>
    <tableColumn id="1358" xr3:uid="{FE78848D-891A-45D6-8345-033233CE0E7A}" name="Column1352"/>
    <tableColumn id="1359" xr3:uid="{5F76347A-5B79-41C7-9BD0-49924EAEFB56}" name="Column1353"/>
    <tableColumn id="1360" xr3:uid="{64871C84-1759-42F3-9C14-463CB5048E14}" name="Column1354"/>
    <tableColumn id="1361" xr3:uid="{E92A45ED-1091-4CC9-B556-EEC8EB093E77}" name="Column1355"/>
    <tableColumn id="1362" xr3:uid="{C3E730CF-9579-4B89-A232-74D61D65BB32}" name="Column1356"/>
    <tableColumn id="1363" xr3:uid="{B70EDB3A-3BEB-4D40-BD2E-73E2B9698F8C}" name="Column1357"/>
    <tableColumn id="1364" xr3:uid="{EA096450-17EA-4D92-885A-CE2A53544E08}" name="Column1358"/>
    <tableColumn id="1365" xr3:uid="{D8AE2D6D-D318-4AFA-9381-D4213A12D775}" name="Column1359"/>
    <tableColumn id="1366" xr3:uid="{B2F18D77-9C99-46B0-84AD-95BC53ACA49A}" name="Column1360"/>
    <tableColumn id="1367" xr3:uid="{A24CD88F-69E2-4A4F-B5CA-C26FA1BD9A5E}" name="Column1361"/>
    <tableColumn id="1368" xr3:uid="{75CF596E-D660-40EC-9047-34B1DA17DDC7}" name="Column1362"/>
    <tableColumn id="1369" xr3:uid="{FD70D767-7B8F-4BBC-A8E2-3C2060916591}" name="Column1363"/>
    <tableColumn id="1370" xr3:uid="{F023EF6C-9392-45B4-AF58-DB18401B5540}" name="Column1364"/>
    <tableColumn id="1371" xr3:uid="{A608938C-87E9-427D-BEDF-0D6B1A1F95C8}" name="Column1365"/>
    <tableColumn id="1372" xr3:uid="{B3B8A00A-D1D7-4E73-B50E-9E8614A038CB}" name="Column1366"/>
    <tableColumn id="1373" xr3:uid="{18E8949C-62DF-4261-AD4E-C334B8BBF24F}" name="Column1367"/>
    <tableColumn id="1374" xr3:uid="{1EEC1802-94DC-4BB2-BD85-BC96D5D2F706}" name="Column1368"/>
    <tableColumn id="1375" xr3:uid="{E46D1D64-0341-44A4-A929-31110F78D117}" name="Column1369"/>
    <tableColumn id="1376" xr3:uid="{D04A9246-064D-4C88-847B-A4DDE3EB4593}" name="Column1370"/>
    <tableColumn id="1377" xr3:uid="{BC56F5AE-C429-4EE7-B8CA-5DBBE3FE6443}" name="Column1371"/>
    <tableColumn id="1378" xr3:uid="{C9000DF5-AA63-4182-9823-1A56C8477075}" name="Column1372"/>
    <tableColumn id="1379" xr3:uid="{91B55E02-C71E-41BF-956E-ECF83D6089E8}" name="Column1373"/>
    <tableColumn id="1380" xr3:uid="{83317640-8310-49B8-8AEB-234EAF6C0F3F}" name="Column1374"/>
    <tableColumn id="1381" xr3:uid="{A66EF7F0-E2C1-46E3-8F23-AEBCB4C4948B}" name="Column1375"/>
    <tableColumn id="1382" xr3:uid="{FD4E7EC4-3C03-4A7B-90EB-67EE6DF4E047}" name="Column1376"/>
    <tableColumn id="1383" xr3:uid="{106C3F6C-3A83-41B2-B0E1-7FCA66D1BA86}" name="Column1377"/>
    <tableColumn id="1384" xr3:uid="{10CEB399-826B-4E34-8BF1-F2548C1E7B7E}" name="Column1378"/>
    <tableColumn id="1385" xr3:uid="{838C8A39-5221-4AB9-A3F0-E2226E54DA58}" name="Column1379"/>
    <tableColumn id="1386" xr3:uid="{9F7F4C3E-2149-4590-8C2C-9C25BA77BC02}" name="Column1380"/>
    <tableColumn id="1387" xr3:uid="{83EAF9DF-AB76-4B3A-A033-37FE6F0F9968}" name="Column1381"/>
    <tableColumn id="1388" xr3:uid="{C4FF61F2-9A57-4B91-8DD7-C533DCDF6526}" name="Column1382"/>
    <tableColumn id="1389" xr3:uid="{9532D80B-6C9E-4FC4-96F7-F995BA0C3FE1}" name="Column1383"/>
    <tableColumn id="1390" xr3:uid="{B9B04C25-85F4-49CE-9A46-84BC1BFE6A0D}" name="Column1384"/>
    <tableColumn id="1391" xr3:uid="{A54BCAA5-65C4-4826-9ED8-1E6F51FBAB9E}" name="Column1385"/>
    <tableColumn id="1392" xr3:uid="{882647EF-D77F-4827-A090-467B586DC43C}" name="Column1386"/>
    <tableColumn id="1393" xr3:uid="{26DF95E0-8F81-42F2-835E-7BB2A0176C44}" name="Column1387"/>
    <tableColumn id="1394" xr3:uid="{241F940F-2AF8-408A-A341-C52CC6DD7C26}" name="Column1388"/>
    <tableColumn id="1395" xr3:uid="{8235A4AA-1F28-4D4D-9081-19DCE9B94F91}" name="Column1389"/>
    <tableColumn id="1396" xr3:uid="{E7C73B15-8497-4D7B-84C5-A9884C9C675D}" name="Column1390"/>
    <tableColumn id="1397" xr3:uid="{29893322-186F-484F-87F9-515192AFC4EB}" name="Column1391"/>
    <tableColumn id="1398" xr3:uid="{C42AED2A-DE3F-4DED-82E7-9DD069BDF6A8}" name="Column1392"/>
    <tableColumn id="1399" xr3:uid="{4223A84A-18C2-4F22-BC5C-4514C81ABEA0}" name="Column1393"/>
    <tableColumn id="1400" xr3:uid="{A632EE5C-92B9-4050-BCCC-F885D02B30E4}" name="Column1394"/>
    <tableColumn id="1401" xr3:uid="{A66D07F1-89F9-4983-A223-9FA35F5ED810}" name="Column1395"/>
    <tableColumn id="1402" xr3:uid="{D2A9F43E-6C84-4F47-AB21-CE909BF51C62}" name="Column1396"/>
    <tableColumn id="1403" xr3:uid="{E4AAC55F-E000-4757-9540-99A1824F6EA6}" name="Column1397"/>
    <tableColumn id="1404" xr3:uid="{B668527D-08E2-4790-88F3-21C77101109E}" name="Column1398"/>
    <tableColumn id="1405" xr3:uid="{0DF41BED-06ED-4389-A41B-D9D4794F7F7E}" name="Column1399"/>
    <tableColumn id="1406" xr3:uid="{9CF90B01-E686-45AB-B1CE-7BD80F6BAE11}" name="Column1400"/>
    <tableColumn id="1407" xr3:uid="{E5746783-099C-49AC-8B42-2AB112E31016}" name="Column1401"/>
    <tableColumn id="1408" xr3:uid="{9D37843C-1DF8-4375-A1C4-B065ECB66B6C}" name="Column1402"/>
    <tableColumn id="1409" xr3:uid="{0902D8AC-D510-4C06-9662-0412A814FC99}" name="Column1403"/>
    <tableColumn id="1410" xr3:uid="{30541DBB-DEB4-489B-B4C1-4B196AD058F1}" name="Column1404"/>
    <tableColumn id="1411" xr3:uid="{8829659C-921E-4E17-94D1-400820FCC939}" name="Column1405"/>
    <tableColumn id="1412" xr3:uid="{48E617BF-CDFD-409A-BBAE-14FF76B1EA2C}" name="Column1406"/>
    <tableColumn id="1413" xr3:uid="{AD1507AB-472F-4831-AA04-A6D776DCCB3D}" name="Column1407"/>
    <tableColumn id="1414" xr3:uid="{AD2731A9-6F04-4E8E-A067-1EEC1780D467}" name="Column1408"/>
    <tableColumn id="1415" xr3:uid="{8EB78145-2DD3-45F8-A9D6-0D8D053A040D}" name="Column1409"/>
    <tableColumn id="1416" xr3:uid="{1196E9E6-79EE-4A0E-871B-B1846ECF5BC0}" name="Column1410"/>
    <tableColumn id="1417" xr3:uid="{718DB588-B82C-43E1-A783-968302BE0688}" name="Column1411"/>
    <tableColumn id="1418" xr3:uid="{234C0B26-3D5A-4620-A895-A9ABBEB88962}" name="Column1412"/>
    <tableColumn id="1419" xr3:uid="{CF25657A-314C-44F5-8156-13C965C8029A}" name="Column1413"/>
    <tableColumn id="1420" xr3:uid="{9CB936DF-C7DA-48A5-B5CD-9A5E6EECCEFB}" name="Column1414"/>
    <tableColumn id="1421" xr3:uid="{AA90796D-C1D1-4169-9FAB-D6202D5470D4}" name="Column1415"/>
    <tableColumn id="1422" xr3:uid="{3288FB2C-829D-4E25-8903-CED2A9682FDC}" name="Column1416"/>
    <tableColumn id="1423" xr3:uid="{D69C8C53-48F7-445A-B030-83B2BCA3144D}" name="Column1417"/>
    <tableColumn id="1424" xr3:uid="{13834C1B-5ADA-4964-A10B-05DE7E454144}" name="Column1418"/>
    <tableColumn id="1425" xr3:uid="{E22F8A2F-4193-4C08-AEE7-53DC29B243AB}" name="Column1419"/>
    <tableColumn id="1426" xr3:uid="{EFFC08DE-0A80-4ADF-9C75-11B79DE64FA5}" name="Column1420"/>
    <tableColumn id="1427" xr3:uid="{5CE58EFB-8375-42DC-83C9-C9981F67B0C6}" name="Column1421"/>
    <tableColumn id="1428" xr3:uid="{E83023A1-1198-4277-A1B8-30B01AA1964C}" name="Column1422"/>
    <tableColumn id="1429" xr3:uid="{AD35235B-11C0-4A86-855A-DC4457D865EE}" name="Column1423"/>
    <tableColumn id="1430" xr3:uid="{7276FE54-64FF-4555-8933-F92E4C9EF70E}" name="Column1424"/>
    <tableColumn id="1431" xr3:uid="{E1DDE584-C250-4819-AF4A-F103592ECC0B}" name="Column1425"/>
    <tableColumn id="1432" xr3:uid="{02864333-EFF4-4DEE-A49F-96E80DC09B43}" name="Column1426"/>
    <tableColumn id="1433" xr3:uid="{CD867AC2-15C4-4CEC-96A6-5A740098A5CF}" name="Column1427"/>
    <tableColumn id="1434" xr3:uid="{EF59D744-4921-485A-8F9A-2225ECB98753}" name="Column1428"/>
    <tableColumn id="1435" xr3:uid="{39E3A801-9C3E-4066-B370-A2EE3EBDF4E9}" name="Column1429"/>
    <tableColumn id="1436" xr3:uid="{F6FC114D-BCD6-47AB-A6D6-26B16DCF4265}" name="Column1430"/>
    <tableColumn id="1437" xr3:uid="{9EC7B0B7-6002-44F5-8EFD-B670F52428E6}" name="Column1431"/>
    <tableColumn id="1438" xr3:uid="{1F998BA8-7218-4A12-AF52-531CBF55AFBA}" name="Column1432"/>
    <tableColumn id="1439" xr3:uid="{AD6C3C88-591B-4E8D-B41F-723F011485E1}" name="Column1433"/>
    <tableColumn id="1440" xr3:uid="{F65FE696-A930-40EC-8683-249A88D8B07D}" name="Column1434"/>
    <tableColumn id="1441" xr3:uid="{D2700E25-4F0F-4CA4-B85A-D36930F8BC3A}" name="Column1435"/>
    <tableColumn id="1442" xr3:uid="{16AE08A9-1AB0-4465-8554-AD78851A2513}" name="Column1436"/>
    <tableColumn id="1443" xr3:uid="{6823E37B-4843-4B6F-B36F-4E9481436C53}" name="Column1437"/>
    <tableColumn id="1444" xr3:uid="{85734D93-8E38-4AA4-B019-8E82883F551E}" name="Column1438"/>
    <tableColumn id="1445" xr3:uid="{11D642C1-5379-47A4-AE14-D1466CD148A0}" name="Column1439"/>
    <tableColumn id="1446" xr3:uid="{5CDF2246-C569-4E2F-967C-B3A149E6C58E}" name="Column1440"/>
    <tableColumn id="1447" xr3:uid="{27FA04BB-18AE-411C-887C-83E58677229C}" name="Column1441"/>
    <tableColumn id="1448" xr3:uid="{ED9053CA-86D8-453A-800B-7076C6DC5874}" name="Column1442"/>
    <tableColumn id="1449" xr3:uid="{DE5DB4B2-7C5B-470F-A397-BC0BD9BC26EC}" name="Column1443"/>
    <tableColumn id="1450" xr3:uid="{AFBCC79B-F641-4F43-BDB0-2A37FA393D65}" name="Column1444"/>
    <tableColumn id="1451" xr3:uid="{AB883765-E9FC-4137-A4A9-47266348ECCE}" name="Column1445"/>
    <tableColumn id="1452" xr3:uid="{EE44F94D-390A-4653-9E18-23BFCFA02698}" name="Column1446"/>
    <tableColumn id="1453" xr3:uid="{8066FC75-D606-4F1B-8F87-8E4135226000}" name="Column1447"/>
    <tableColumn id="1454" xr3:uid="{9BDD59B0-66D9-403C-AFC0-8A4E54D2F3CA}" name="Column1448"/>
    <tableColumn id="1455" xr3:uid="{67627308-F059-415A-8863-81D86719650F}" name="Column1449"/>
    <tableColumn id="1456" xr3:uid="{BD2CD725-7B09-4858-820A-457FBFFB3CA5}" name="Column1450"/>
    <tableColumn id="1457" xr3:uid="{8133F11B-1576-4FE9-B750-DC0723B6A109}" name="Column1451"/>
    <tableColumn id="1458" xr3:uid="{2A44B60D-C4D9-464B-971B-29B88DC61110}" name="Column1452"/>
    <tableColumn id="1459" xr3:uid="{51013786-A2CB-489F-8E60-65E62D2AA208}" name="Column1453"/>
    <tableColumn id="1460" xr3:uid="{A6D533E2-870D-4D0C-9113-E3452F1B6B63}" name="Column1454"/>
    <tableColumn id="1461" xr3:uid="{636CB6F7-8A3F-41C8-8B97-DF35C864D0AF}" name="Column1455"/>
    <tableColumn id="1462" xr3:uid="{EE44500F-F4A6-438F-9B65-755D98026DF6}" name="Column1456"/>
    <tableColumn id="1463" xr3:uid="{B522FA65-8524-429F-88B1-A2C4C5B94808}" name="Column1457"/>
    <tableColumn id="1464" xr3:uid="{86A79F7C-188A-4173-8071-987C5F194B72}" name="Column1458"/>
    <tableColumn id="1465" xr3:uid="{F7FA6045-5E39-4452-98CD-82FD5E03097B}" name="Column1459"/>
    <tableColumn id="1466" xr3:uid="{62AE353A-D1D9-4920-885C-BD04D9078353}" name="Column1460"/>
    <tableColumn id="1467" xr3:uid="{EB264883-DDAB-4B43-8541-AEF1D70F354A}" name="Column1461"/>
    <tableColumn id="1468" xr3:uid="{880E0A90-A57E-4DEE-B33A-54402ED0713D}" name="Column1462"/>
    <tableColumn id="1469" xr3:uid="{3A149BED-248E-4E50-9A96-772219F77369}" name="Column1463"/>
    <tableColumn id="1470" xr3:uid="{2FD07346-21DD-4579-BE68-2609A2F91B1A}" name="Column1464"/>
    <tableColumn id="1471" xr3:uid="{F14A1674-B5E3-4874-AC6C-07034E9DB04A}" name="Column1465"/>
    <tableColumn id="1472" xr3:uid="{F1867533-D58C-4A28-8F78-F4A16C0F6010}" name="Column1466"/>
    <tableColumn id="1473" xr3:uid="{328F7567-0716-40C8-8E97-CA0E60EC9399}" name="Column1467"/>
    <tableColumn id="1474" xr3:uid="{316A8255-BAD7-4D77-8680-5777C1E11766}" name="Column1468"/>
    <tableColumn id="1475" xr3:uid="{19A59E6E-4188-4A1F-A780-632A558D48FE}" name="Column1469"/>
    <tableColumn id="1476" xr3:uid="{9F114EFB-F266-4015-8939-E26DB97F2E60}" name="Column1470"/>
    <tableColumn id="1477" xr3:uid="{B3860E84-2D65-4A4E-AE58-46CDF7B0EA63}" name="Column1471"/>
    <tableColumn id="1478" xr3:uid="{1505E02C-15CC-454E-BC4A-A3D1E5CEE519}" name="Column1472"/>
    <tableColumn id="1479" xr3:uid="{F5457D20-3819-4884-9AFA-EF3FE3386BCB}" name="Column1473"/>
    <tableColumn id="1480" xr3:uid="{94979564-BBEC-459C-9C6F-2591CA3C214F}" name="Column1474"/>
    <tableColumn id="1481" xr3:uid="{6A1DC207-A3FD-499C-95EC-BF1917FEECC4}" name="Column1475"/>
    <tableColumn id="1482" xr3:uid="{6F49C782-F488-4A8C-9162-C254B6F9DC0A}" name="Column1476"/>
    <tableColumn id="1483" xr3:uid="{0500BE4F-0122-4A55-84E4-F8F450628137}" name="Column1477"/>
    <tableColumn id="1484" xr3:uid="{C89525B8-56FD-4858-9C04-4A5F507E5C04}" name="Column1478"/>
    <tableColumn id="1485" xr3:uid="{D9619B2F-23B6-495E-BC20-3E9120F8604D}" name="Column1479"/>
    <tableColumn id="1486" xr3:uid="{15585FA5-4CA6-46FB-BD10-4527805B081C}" name="Column1480"/>
    <tableColumn id="1487" xr3:uid="{1A4480F9-6E61-43B1-956B-7F39B2A059B7}" name="Column1481"/>
    <tableColumn id="1488" xr3:uid="{F8FC9790-CF62-4E04-8564-DFBD1D137404}" name="Column1482"/>
    <tableColumn id="1489" xr3:uid="{A1A040F5-6530-47AD-AF66-DAEF6F72359F}" name="Column1483"/>
    <tableColumn id="1490" xr3:uid="{8E17BBEA-1B1D-47B7-9909-C6329D9A10D3}" name="Column1484"/>
    <tableColumn id="1491" xr3:uid="{DE3FD96C-93ED-43E6-9872-8324A4AC0C7D}" name="Column1485"/>
    <tableColumn id="1492" xr3:uid="{52080A5D-6010-4B17-8D7A-D51C2B4DA8C0}" name="Column1486"/>
    <tableColumn id="1493" xr3:uid="{F5A8799B-53B2-40EF-BEB5-9634C0FE6C8D}" name="Column1487"/>
    <tableColumn id="1494" xr3:uid="{438D3D84-810E-4E1D-BE9A-D82036CADF9F}" name="Column1488"/>
    <tableColumn id="1495" xr3:uid="{5D080A6F-6FEC-44B1-A127-0059EF132970}" name="Column1489"/>
    <tableColumn id="1496" xr3:uid="{5CE154A2-B640-4241-99B6-B97B1A75C6A2}" name="Column1490"/>
    <tableColumn id="1497" xr3:uid="{35DD99B6-14DD-4AED-A7F1-5FABF0926B09}" name="Column1491"/>
    <tableColumn id="1498" xr3:uid="{D43F023C-02B8-4705-AE8E-A0D01B958281}" name="Column1492"/>
    <tableColumn id="1499" xr3:uid="{5BD693B6-AED7-4C74-A087-C9AF32EEFCF7}" name="Column1493"/>
    <tableColumn id="1500" xr3:uid="{68C46558-DF16-457D-848D-80165A7B368E}" name="Column1494"/>
    <tableColumn id="1501" xr3:uid="{CD471A90-1601-4059-BC45-D5570777932C}" name="Column1495"/>
    <tableColumn id="1502" xr3:uid="{1CC4AD60-305C-48C0-8DA7-73C35DAE3163}" name="Column1496"/>
    <tableColumn id="1503" xr3:uid="{D6C6EBF0-F191-47A3-9141-22BB053723D2}" name="Column1497"/>
    <tableColumn id="1504" xr3:uid="{208AC1CD-841F-4F1C-BEC2-C058BF886772}" name="Column1498"/>
    <tableColumn id="1505" xr3:uid="{FFF339E6-0414-42B6-BF72-B889C8C433E5}" name="Column1499"/>
    <tableColumn id="1506" xr3:uid="{DFCDCA05-4FFA-4FD7-B9FF-FE1BB8CE9324}" name="Column1500"/>
    <tableColumn id="1507" xr3:uid="{366E88D9-259A-42E1-A666-72152EAA1A88}" name="Column1501"/>
    <tableColumn id="1508" xr3:uid="{ACFB9A05-B4EC-4B45-985C-E519BE34A65C}" name="Column1502"/>
    <tableColumn id="1509" xr3:uid="{BBA732E8-D302-4F3A-B951-F367A2189E6F}" name="Column1503"/>
    <tableColumn id="1510" xr3:uid="{F74CDB45-8083-4992-A7BF-6B3840E6884E}" name="Column1504"/>
    <tableColumn id="1511" xr3:uid="{7EDFC619-6F3E-4DAC-9629-06855FC51555}" name="Column1505"/>
    <tableColumn id="1512" xr3:uid="{C5876540-8353-4576-894E-25E037DE261B}" name="Column1506"/>
    <tableColumn id="1513" xr3:uid="{23128047-900A-4DB3-9FFF-4D2F5EA8532F}" name="Column1507"/>
    <tableColumn id="1514" xr3:uid="{476BC747-6C41-408C-AEDA-226A4002036C}" name="Column1508"/>
    <tableColumn id="1515" xr3:uid="{78498C65-F191-43F1-8F20-2D9C18F1602A}" name="Column1509"/>
    <tableColumn id="1516" xr3:uid="{6094A0F0-E455-45C8-8BD0-EEFE4887F9B0}" name="Column1510"/>
    <tableColumn id="1517" xr3:uid="{ADAE7ADF-C00E-4037-8D06-F4F05B57BC53}" name="Column1511"/>
    <tableColumn id="1518" xr3:uid="{47CE44A4-4128-4FAF-BC8C-B1F9ADA0A895}" name="Column1512"/>
    <tableColumn id="1519" xr3:uid="{F71F0A7D-56A0-49C8-A57D-3783BBF83E7E}" name="Column1513"/>
    <tableColumn id="1520" xr3:uid="{725731C5-58C3-4682-918E-467D870B28A1}" name="Column1514"/>
    <tableColumn id="1521" xr3:uid="{623FBFDD-4DC7-4281-BFF2-955FEEE45676}" name="Column1515"/>
    <tableColumn id="1522" xr3:uid="{18B376C9-17A0-4715-9844-A45376669B3B}" name="Column1516"/>
    <tableColumn id="1523" xr3:uid="{97230037-6FD0-4575-B9AE-9333E41F9D28}" name="Column1517"/>
    <tableColumn id="1524" xr3:uid="{70596678-C5CE-4CC6-8EC1-E2A37A7F0A13}" name="Column1518"/>
    <tableColumn id="1525" xr3:uid="{3F611067-78E4-44C8-BC4C-C53C2C679D6F}" name="Column1519"/>
    <tableColumn id="1526" xr3:uid="{41AEF489-F47B-4E9B-A102-7B266C30EFE3}" name="Column1520"/>
    <tableColumn id="1527" xr3:uid="{0F76D84A-EECB-468D-8C7F-B4A827A9D3E9}" name="Column1521"/>
    <tableColumn id="1528" xr3:uid="{75F03247-C044-41C1-BAA7-3A7FEF31749C}" name="Column1522"/>
    <tableColumn id="1529" xr3:uid="{34D5E47D-9D03-4B2B-B5C7-EE3E6B40DD72}" name="Column1523"/>
    <tableColumn id="1530" xr3:uid="{5CE100FD-561D-4D8E-AC5C-629F6C0764B3}" name="Column1524"/>
    <tableColumn id="1531" xr3:uid="{C110782F-27A5-4171-8D98-8B6377A08709}" name="Column1525"/>
    <tableColumn id="1532" xr3:uid="{8D14FB80-CA89-476D-ACE5-9AC11B66E8C0}" name="Column1526"/>
    <tableColumn id="1533" xr3:uid="{182A209E-A821-435E-86B7-27C8F1B0E166}" name="Column1527"/>
    <tableColumn id="1534" xr3:uid="{84A88D3B-2943-40B3-88A8-4A8F45B91486}" name="Column1528"/>
    <tableColumn id="1535" xr3:uid="{DFF04B34-8EC0-42AE-811F-107D7A0F5995}" name="Column1529"/>
    <tableColumn id="1536" xr3:uid="{3A596590-78D5-4009-B274-625CEBBFC979}" name="Column1530"/>
    <tableColumn id="1537" xr3:uid="{17BE5CAA-AA65-49ED-A7F5-768AE06913BD}" name="Column1531"/>
    <tableColumn id="1538" xr3:uid="{9C17479A-E180-4DCE-911B-7D1BD26E8D87}" name="Column1532"/>
    <tableColumn id="1539" xr3:uid="{90F912A2-DA4A-4591-87C2-82AF5235AAF7}" name="Column1533"/>
    <tableColumn id="1540" xr3:uid="{34685D04-D6F6-4C57-8D79-E14E11E8C7D7}" name="Column1534"/>
    <tableColumn id="1541" xr3:uid="{4348018A-10D1-43F1-97FC-31C277E35B97}" name="Column1535"/>
    <tableColumn id="1542" xr3:uid="{CFB80FC1-47C6-4674-B8B7-F08A17CB9930}" name="Column1536"/>
    <tableColumn id="1543" xr3:uid="{C3152AE4-5C2D-436C-9E08-A419E30878BD}" name="Column1537"/>
    <tableColumn id="1544" xr3:uid="{31BB31E7-3E2B-4D3A-9D12-E99B11CF55FA}" name="Column1538"/>
    <tableColumn id="1545" xr3:uid="{782A0607-301D-4611-A185-0E4FBA5146AB}" name="Column1539"/>
    <tableColumn id="1546" xr3:uid="{1719EF65-98F0-44BC-9159-430E908C4366}" name="Column1540"/>
    <tableColumn id="1547" xr3:uid="{8F202026-950E-45E0-BE02-D67317F2456B}" name="Column1541"/>
    <tableColumn id="1548" xr3:uid="{389448E8-7942-4008-BE38-B1350C5F4FCB}" name="Column1542"/>
    <tableColumn id="1549" xr3:uid="{CF0A3CC8-1292-4DE2-A4F9-491E05EF64A1}" name="Column1543"/>
    <tableColumn id="1550" xr3:uid="{3BB478BC-8C00-462D-8BF8-CFAE8AA132CD}" name="Column1544"/>
    <tableColumn id="1551" xr3:uid="{AD59A46A-04B8-4508-B52A-C16C66160A5B}" name="Column1545"/>
    <tableColumn id="1552" xr3:uid="{28EB0263-D248-412F-93DE-7C206BE03A26}" name="Column1546"/>
    <tableColumn id="1553" xr3:uid="{FD492777-1088-432D-A687-82AE1473F910}" name="Column1547"/>
    <tableColumn id="1554" xr3:uid="{B262DC9B-B09C-43D0-9569-E2BC0235767B}" name="Column1548"/>
    <tableColumn id="1555" xr3:uid="{452CD420-7CDF-4F21-B3AD-5AFFB2423A24}" name="Column1549"/>
    <tableColumn id="1556" xr3:uid="{C1B90B05-C72A-439B-88B5-B09C4420F33C}" name="Column1550"/>
    <tableColumn id="1557" xr3:uid="{8AE76D05-160A-44AF-9C0D-003826FF7487}" name="Column1551"/>
    <tableColumn id="1558" xr3:uid="{08113B7C-8FC0-49FF-9F4C-A264D60A1920}" name="Column1552"/>
    <tableColumn id="1559" xr3:uid="{FB85BA76-7BD4-41BA-AB7B-6A51A14E5710}" name="Column1553"/>
    <tableColumn id="1560" xr3:uid="{AF81988F-5F7C-48CC-A8C8-C54E5C3DBC7C}" name="Column1554"/>
    <tableColumn id="1561" xr3:uid="{0552B2E6-B55D-4562-8C18-E06CB8D033C8}" name="Column1555"/>
    <tableColumn id="1562" xr3:uid="{12DD207F-875E-4520-9E89-77A0D31EA6E7}" name="Column1556"/>
    <tableColumn id="1563" xr3:uid="{134F13E3-B361-4AA3-A6E5-0EB841F51E60}" name="Column1557"/>
    <tableColumn id="1564" xr3:uid="{C7D16B36-646A-4C4F-9E76-60DB7E94BABC}" name="Column1558"/>
    <tableColumn id="1565" xr3:uid="{200AEF11-5E08-4330-9BB7-A2E3EBA36234}" name="Column1559"/>
    <tableColumn id="1566" xr3:uid="{3E5AFEE3-4832-432D-A452-D4D35ED15DA9}" name="Column1560"/>
    <tableColumn id="1567" xr3:uid="{8B411E45-E48F-4218-BA14-8F62DE6566E4}" name="Column1561"/>
    <tableColumn id="1568" xr3:uid="{EDB8129B-E769-47FD-B0E5-520023535C2C}" name="Column1562"/>
    <tableColumn id="1569" xr3:uid="{B8F7136E-6242-4888-9435-B900719C4A2E}" name="Column1563"/>
    <tableColumn id="1570" xr3:uid="{1D6CAB10-DE9E-4EAD-9667-5C320BB7A74B}" name="Column1564"/>
    <tableColumn id="1571" xr3:uid="{18D48ACB-55C6-41F4-8321-23B5117FA864}" name="Column1565"/>
    <tableColumn id="1572" xr3:uid="{2A45540F-9FFC-488D-9CB5-858816D7BFAC}" name="Column1566"/>
    <tableColumn id="1573" xr3:uid="{AC3C49DF-E097-4074-8F42-3551641C8B9F}" name="Column1567"/>
    <tableColumn id="1574" xr3:uid="{165F98FF-AF1D-4755-A84D-8DD775202129}" name="Column1568"/>
    <tableColumn id="1575" xr3:uid="{6E2C2EC0-72C6-4865-A705-4B07EE3D6006}" name="Column1569"/>
    <tableColumn id="1576" xr3:uid="{6DDAAD65-4B0E-4DFF-BBEA-606B8784614B}" name="Column1570"/>
    <tableColumn id="1577" xr3:uid="{256F8790-0A06-4787-939A-F66D823FF6CE}" name="Column1571"/>
    <tableColumn id="1578" xr3:uid="{E493D93F-4350-4A42-B82F-FE30FEA00649}" name="Column1572"/>
    <tableColumn id="1579" xr3:uid="{6AEC0980-D004-462F-908D-767748DFD1A3}" name="Column1573"/>
    <tableColumn id="1580" xr3:uid="{9A53E1E3-FB6D-441D-84A7-D17A46C5B947}" name="Column1574"/>
    <tableColumn id="1581" xr3:uid="{D6A778CD-712C-4FD2-8AFA-7C59BCC5F5DF}" name="Column1575"/>
    <tableColumn id="1582" xr3:uid="{C58166D3-3D33-4E10-83C0-3C383BF8E535}" name="Column1576"/>
    <tableColumn id="1583" xr3:uid="{CD477276-C316-456D-B2F9-0D787098187B}" name="Column1577"/>
    <tableColumn id="1584" xr3:uid="{2104B71E-66AB-4785-895F-09DED01ADB5F}" name="Column1578"/>
    <tableColumn id="1585" xr3:uid="{D21B113A-E634-44CF-AB9A-3E3D3B454F1E}" name="Column1579"/>
    <tableColumn id="1586" xr3:uid="{761A0521-DF74-4EE4-BFB8-5BC2EB8C1B8D}" name="Column1580"/>
    <tableColumn id="1587" xr3:uid="{B573F3C9-CFAA-46B6-92EE-F3F50779D7CE}" name="Column1581"/>
    <tableColumn id="1588" xr3:uid="{35539FA0-BDA5-4659-89A2-A5F1407AF54E}" name="Column1582"/>
    <tableColumn id="1589" xr3:uid="{3C3D7FA2-A034-42D8-A7D9-32A6E496A640}" name="Column1583"/>
    <tableColumn id="1590" xr3:uid="{1A5A5249-24E1-4DE8-BA43-4DE759825032}" name="Column1584"/>
    <tableColumn id="1591" xr3:uid="{D5117298-8B08-4DDD-B96D-6EE7AF5ED86F}" name="Column1585"/>
    <tableColumn id="1592" xr3:uid="{89B3F336-B22C-4123-A3D8-CB86EA8A8434}" name="Column1586"/>
    <tableColumn id="1593" xr3:uid="{4DFC6561-1971-44E0-AF55-732E3D350A27}" name="Column1587"/>
    <tableColumn id="1594" xr3:uid="{20455FAF-03C6-4867-AF0D-1305DDDFEE0D}" name="Column1588"/>
    <tableColumn id="1595" xr3:uid="{AF098B37-95F9-493B-A20F-44A8A4C75DF8}" name="Column1589"/>
    <tableColumn id="1596" xr3:uid="{83D8CCF7-2B56-426F-9B03-5EC3F41AD670}" name="Column1590"/>
    <tableColumn id="1597" xr3:uid="{237CCD52-0545-4773-B87B-F619BC3B6A43}" name="Column1591"/>
    <tableColumn id="1598" xr3:uid="{9D1F8B53-4FBD-482A-A032-4D8F3556453E}" name="Column1592"/>
    <tableColumn id="1599" xr3:uid="{FFFEE27D-C561-4F0B-B886-9A86997353C8}" name="Column1593"/>
    <tableColumn id="1600" xr3:uid="{C15EB149-0244-4DB2-8B88-DAA885C265F8}" name="Column1594"/>
    <tableColumn id="1601" xr3:uid="{CD75A157-FB0A-499A-84D3-1E1777C39866}" name="Column1595"/>
    <tableColumn id="1602" xr3:uid="{BEEE498A-A2DF-4342-808C-97492069C174}" name="Column1596"/>
    <tableColumn id="1603" xr3:uid="{F78923B1-BD9D-4BE3-A0D4-63A2A8B98866}" name="Column1597"/>
    <tableColumn id="1604" xr3:uid="{EC907681-9FEB-4D71-A5B9-8090725D4A71}" name="Column1598"/>
    <tableColumn id="1605" xr3:uid="{25E6D58B-920C-4106-A96A-A23D52D76028}" name="Column1599"/>
    <tableColumn id="1606" xr3:uid="{DF6ED5EE-AF2D-4A23-8ED0-F8389B8CFC9F}" name="Column1600"/>
    <tableColumn id="1607" xr3:uid="{CABAC77F-D72F-4176-BC0A-2304C557F06E}" name="Column1601"/>
    <tableColumn id="1608" xr3:uid="{3ADDDCCC-C035-4B65-9343-65A8B8730C62}" name="Column1602"/>
    <tableColumn id="1609" xr3:uid="{29604BCB-8DD1-4F99-A5CB-3DDEAFD38AC6}" name="Column1603"/>
    <tableColumn id="1610" xr3:uid="{4B003628-B5DA-44A7-816D-8A433537E5B3}" name="Column1604"/>
    <tableColumn id="1611" xr3:uid="{F21A9454-15C8-4878-8A00-1367F2B178B7}" name="Column1605"/>
    <tableColumn id="1612" xr3:uid="{5B6F7407-0516-441A-B55D-97CC3A3E622E}" name="Column1606"/>
    <tableColumn id="1613" xr3:uid="{F4845DE1-6424-4C93-9BFC-A00C1E93B6DE}" name="Column1607"/>
    <tableColumn id="1614" xr3:uid="{CDBB05A3-EEF2-437F-8E57-CCAABE0746A7}" name="Column1608"/>
    <tableColumn id="1615" xr3:uid="{15993E1B-73A0-4BDD-B48D-5761ECB1D680}" name="Column1609"/>
    <tableColumn id="1616" xr3:uid="{65EDCD3F-B71E-4106-BD51-67B86F11934A}" name="Column1610"/>
    <tableColumn id="1617" xr3:uid="{D3D9E12F-41C2-4703-8261-7399AA01CE0F}" name="Column1611"/>
    <tableColumn id="1618" xr3:uid="{0C744673-908C-4E94-B8BA-4608C91628B9}" name="Column1612"/>
    <tableColumn id="1619" xr3:uid="{4FE23EE8-E51C-47B7-BDA9-AD393B8983B4}" name="Column1613"/>
    <tableColumn id="1620" xr3:uid="{3C8DCE06-237B-4C68-898E-D903DAF85942}" name="Column1614"/>
    <tableColumn id="1621" xr3:uid="{95FD11D7-CABF-414D-A6E5-6EE95855669E}" name="Column1615"/>
    <tableColumn id="1622" xr3:uid="{6F08F977-9F3D-4CE0-9380-56D1B3F5FD13}" name="Column1616"/>
    <tableColumn id="1623" xr3:uid="{4C732B66-7F3C-40A0-9DD5-FAC0E1E768A1}" name="Column1617"/>
    <tableColumn id="1624" xr3:uid="{1294C738-FDF6-4DEA-98AB-148AF2BD30E4}" name="Column1618"/>
    <tableColumn id="1625" xr3:uid="{F835A8C5-8350-446A-916B-0438D226794E}" name="Column1619"/>
    <tableColumn id="1626" xr3:uid="{115C4240-4735-43C1-B666-7FAB67322FA3}" name="Column1620"/>
    <tableColumn id="1627" xr3:uid="{83CEB394-548A-49A0-9FB0-A0AA1E7FD473}" name="Column1621"/>
    <tableColumn id="1628" xr3:uid="{5ADDB33C-4ED1-4EAD-9170-63C5B72F728C}" name="Column1622"/>
    <tableColumn id="1629" xr3:uid="{FF62A140-1833-4DD1-824D-17026249DA96}" name="Column1623"/>
    <tableColumn id="1630" xr3:uid="{D869EA96-9BC2-4283-B469-F09077AB9CA6}" name="Column1624"/>
    <tableColumn id="1631" xr3:uid="{F85F815B-C692-4B1A-BA20-33D14CD70C0E}" name="Column1625"/>
    <tableColumn id="1632" xr3:uid="{CD5177EA-984C-420E-9BCB-25F3FA2DA388}" name="Column1626"/>
    <tableColumn id="1633" xr3:uid="{E388CF78-49B8-492F-86B7-AB2FB0847F65}" name="Column1627"/>
    <tableColumn id="1634" xr3:uid="{DB4000CD-8CF3-47A3-9973-AD2375241F48}" name="Column1628"/>
    <tableColumn id="1635" xr3:uid="{50291C8A-07EF-435A-BFF9-F3B564EAF69B}" name="Column1629"/>
    <tableColumn id="1636" xr3:uid="{2F0B4E7F-1C76-4DC7-AE94-20D605167B1D}" name="Column1630"/>
    <tableColumn id="1637" xr3:uid="{C4CCBDBA-7812-49A3-9512-19EFA56F795F}" name="Column1631"/>
    <tableColumn id="1638" xr3:uid="{FC2FDE03-698D-4FFD-99D2-297F1C578AF8}" name="Column1632"/>
    <tableColumn id="1639" xr3:uid="{6368A220-7AA7-4A09-A9D9-A59B95695362}" name="Column1633"/>
    <tableColumn id="1640" xr3:uid="{F0018B39-7004-4EA6-ADF7-502B9676F4D1}" name="Column1634"/>
    <tableColumn id="1641" xr3:uid="{E16B9C7A-61C4-4CC5-9587-98D4CB6406AA}" name="Column1635"/>
    <tableColumn id="1642" xr3:uid="{51A9256D-8155-4DC4-95E2-C0037A7DF04F}" name="Column1636"/>
    <tableColumn id="1643" xr3:uid="{F38EE842-91ED-4E46-A0A6-8BA28513DB41}" name="Column1637"/>
    <tableColumn id="1644" xr3:uid="{07880358-25E8-419E-BBA4-61B76DD9F7C6}" name="Column1638"/>
    <tableColumn id="1645" xr3:uid="{269307E3-64C6-4904-B818-F3FA44FA49FA}" name="Column1639"/>
    <tableColumn id="1646" xr3:uid="{E6DB4DBB-DF06-417D-A48B-118EF0976E33}" name="Column1640"/>
    <tableColumn id="1647" xr3:uid="{6222E934-C19F-4F7F-A4A1-A2C95FC1C625}" name="Column1641"/>
    <tableColumn id="1648" xr3:uid="{F0476338-F148-4C21-952E-68446638E7EF}" name="Column1642"/>
    <tableColumn id="1649" xr3:uid="{E3292EC0-3614-4986-ACDA-65D5B99F0838}" name="Column1643"/>
    <tableColumn id="1650" xr3:uid="{4C548423-11F0-4618-99A8-70C1FA34A9AE}" name="Column1644"/>
    <tableColumn id="1651" xr3:uid="{765ECA4C-E48B-48FC-A5C0-F5D0E7461B63}" name="Column1645"/>
    <tableColumn id="1652" xr3:uid="{984A105E-D960-4D7E-93AD-7B4BE81BC257}" name="Column1646"/>
    <tableColumn id="1653" xr3:uid="{ABF24CC3-4E34-41A6-9140-041E06ABD91D}" name="Column1647"/>
    <tableColumn id="1654" xr3:uid="{E50534B8-B7AE-4B20-9E8F-B3B13B6B3B9B}" name="Column1648"/>
    <tableColumn id="1655" xr3:uid="{08023611-59C1-453E-9DBE-CB1ECDA563BF}" name="Column1649"/>
    <tableColumn id="1656" xr3:uid="{B72FDF46-26F4-4762-A34B-A4C4656BB7BB}" name="Column1650"/>
    <tableColumn id="1657" xr3:uid="{DE79B0B4-2552-4C0D-A3A4-D62DD366A88E}" name="Column1651"/>
    <tableColumn id="1658" xr3:uid="{7A282458-C153-43F7-9A4B-F1BB7E4610AD}" name="Column1652"/>
    <tableColumn id="1659" xr3:uid="{9A8E845D-EEEE-43B2-B8CC-156815BFF664}" name="Column1653"/>
    <tableColumn id="1660" xr3:uid="{888978AF-02D3-41C8-B00E-9F75892336A9}" name="Column1654"/>
    <tableColumn id="1661" xr3:uid="{4F7A8B52-208F-4DC8-8CF1-77F402A09D4F}" name="Column1655"/>
    <tableColumn id="1662" xr3:uid="{896C2E19-E703-4A1C-8614-7F8F8275389F}" name="Column1656"/>
    <tableColumn id="1663" xr3:uid="{C340B673-1531-4B1B-9296-AC353B59F7A3}" name="Column1657"/>
    <tableColumn id="1664" xr3:uid="{67B3F13E-0F99-4DBB-8C7A-DFA7B97CD6BE}" name="Column1658"/>
    <tableColumn id="1665" xr3:uid="{4ED8C6E6-C22A-44C4-8767-AC725EDF45A3}" name="Column1659"/>
    <tableColumn id="1666" xr3:uid="{1F8DDBA6-8F74-451C-9AA1-D8DBD0637391}" name="Column1660"/>
    <tableColumn id="1667" xr3:uid="{805B0061-8DD0-4026-A530-9B75211E90D1}" name="Column1661"/>
    <tableColumn id="1668" xr3:uid="{86D9CEAB-942D-44AE-BB1E-31AC7695B710}" name="Column1662"/>
    <tableColumn id="1669" xr3:uid="{0B1C1DFD-57CA-4007-A4FC-79358DDD67C5}" name="Column1663"/>
    <tableColumn id="1670" xr3:uid="{E58B6B30-CC1D-44CE-9E02-42342D9A63B7}" name="Column1664"/>
    <tableColumn id="1671" xr3:uid="{32D5854E-F5B9-402B-82EC-91588ADDDD28}" name="Column1665"/>
    <tableColumn id="1672" xr3:uid="{A87A140E-6859-4087-9BB3-8ED735373E76}" name="Column1666"/>
    <tableColumn id="1673" xr3:uid="{B45D03D4-B8DB-4591-ABF2-70114FFF4E14}" name="Column1667"/>
    <tableColumn id="1674" xr3:uid="{8B48E0F0-391C-4A05-AEDF-73860671637A}" name="Column1668"/>
    <tableColumn id="1675" xr3:uid="{9C2FC9D8-375A-4330-BB07-249AF3512773}" name="Column1669"/>
    <tableColumn id="1676" xr3:uid="{9BDDADB6-B526-4933-9B4C-E50DF5775A30}" name="Column1670"/>
    <tableColumn id="1677" xr3:uid="{86359F00-2E39-42F2-815D-E609EF7C64B1}" name="Column1671"/>
    <tableColumn id="1678" xr3:uid="{6467AB03-7B89-47DC-A9A6-5F4B89372535}" name="Column1672"/>
    <tableColumn id="1679" xr3:uid="{689878AB-2FB1-4FFC-B29C-2583512A0784}" name="Column1673"/>
    <tableColumn id="1680" xr3:uid="{289F3957-A71C-4673-BA55-A1C213FBFC37}" name="Column1674"/>
    <tableColumn id="1681" xr3:uid="{832B5C16-FF2D-4482-A1C5-2A23B78787DA}" name="Column1675"/>
    <tableColumn id="1682" xr3:uid="{D9143399-441A-4A52-A036-A6B186B09A79}" name="Column1676"/>
    <tableColumn id="1683" xr3:uid="{DD04C89C-936A-4445-891F-6496E280017F}" name="Column1677"/>
    <tableColumn id="1684" xr3:uid="{4DCDC5F9-3B79-47C5-860E-07E426213D74}" name="Column1678"/>
    <tableColumn id="1685" xr3:uid="{8E6E4979-E2D4-4ADC-9D6D-76F72949ADB1}" name="Column1679"/>
    <tableColumn id="1686" xr3:uid="{424BDA20-3DDB-4A90-9182-F27853E9BACE}" name="Column1680"/>
    <tableColumn id="1687" xr3:uid="{B7C99748-1842-4AB0-83AF-9E50851CA016}" name="Column1681"/>
    <tableColumn id="1688" xr3:uid="{D2479AAB-6EC7-4A6B-BDEB-7C5FCEB402C2}" name="Column1682"/>
    <tableColumn id="1689" xr3:uid="{BD5C1905-3F47-4EB4-BA6F-1696D7232241}" name="Column1683"/>
    <tableColumn id="1690" xr3:uid="{5025D269-F1EC-464E-8B53-8561389165DD}" name="Column1684"/>
    <tableColumn id="1691" xr3:uid="{BF94EA13-135E-4373-B0EC-677B87D10D2C}" name="Column1685"/>
    <tableColumn id="1692" xr3:uid="{65C21206-F07D-42DF-BB6F-6EA09A6EEE3A}" name="Column1686"/>
    <tableColumn id="1693" xr3:uid="{0DBB00C5-2A84-4F98-ADCA-5F60528B14EE}" name="Column1687"/>
    <tableColumn id="1694" xr3:uid="{ACCFCB15-B9A6-4C19-8256-4F2A227C2084}" name="Column1688"/>
    <tableColumn id="1695" xr3:uid="{FF6ACF99-A9DA-4AFF-A82B-D953D1AE0BD8}" name="Column1689"/>
    <tableColumn id="1696" xr3:uid="{7082958B-A935-4D8C-8C27-6ED51A8F6CDD}" name="Column1690"/>
    <tableColumn id="1697" xr3:uid="{132E1E32-3D01-42A0-8035-75AA9E0DE594}" name="Column1691"/>
    <tableColumn id="1698" xr3:uid="{67E74CF0-76DB-4A63-B481-D54B921654C3}" name="Column1692"/>
    <tableColumn id="1699" xr3:uid="{983FDF80-918B-4DD1-AAB9-4DC255101DBC}" name="Column1693"/>
    <tableColumn id="1700" xr3:uid="{841841BE-B618-423A-A8EA-D84CFE208E83}" name="Column1694"/>
    <tableColumn id="1701" xr3:uid="{0C538DA7-29A8-43F1-A68B-97A60516E4E9}" name="Column1695"/>
    <tableColumn id="1702" xr3:uid="{2B9C435E-3C80-4293-A4F6-1621906BF975}" name="Column1696"/>
    <tableColumn id="1703" xr3:uid="{5F872DD8-9F2B-4946-B6F9-8327FC9935A2}" name="Column1697"/>
    <tableColumn id="1704" xr3:uid="{F951867F-27DF-45F8-87D3-45FAEF6ADF7E}" name="Column1698"/>
    <tableColumn id="1705" xr3:uid="{712A0A31-924B-4C2E-90BF-FD628D071CFF}" name="Column1699"/>
    <tableColumn id="1706" xr3:uid="{6789EFA0-D817-40CB-A7EE-A4359B2A4F23}" name="Column1700"/>
    <tableColumn id="1707" xr3:uid="{8D3E644E-A490-4621-ADD9-FE087A9C0F13}" name="Column1701"/>
    <tableColumn id="1708" xr3:uid="{58F838BE-DC04-4346-86B2-53720AB5A877}" name="Column1702"/>
    <tableColumn id="1709" xr3:uid="{585D6DBF-8E2F-4641-8B60-1FE77B94DDE0}" name="Column1703"/>
    <tableColumn id="1710" xr3:uid="{C7CAAAFB-A6F6-4925-9E0F-9AF6320AF586}" name="Column1704"/>
    <tableColumn id="1711" xr3:uid="{DC6FD4DC-1E1D-48AC-8BEE-16264CDE5DD9}" name="Column1705"/>
    <tableColumn id="1712" xr3:uid="{85BA5A46-2656-4F09-A0E0-7BED5E593535}" name="Column1706"/>
    <tableColumn id="1713" xr3:uid="{F1744CA4-111B-4FC1-B824-43333D2DA298}" name="Column1707"/>
    <tableColumn id="1714" xr3:uid="{D8BB1B56-482F-406B-8C65-1F2907D1C20B}" name="Column1708"/>
    <tableColumn id="1715" xr3:uid="{55E164AF-09B8-44F2-8F5E-41231446F2E3}" name="Column1709"/>
    <tableColumn id="1716" xr3:uid="{E0C83FDE-3A55-45D9-B431-1FD5E7F8A9D0}" name="Column1710"/>
    <tableColumn id="1717" xr3:uid="{21B471C5-3FAD-48AC-8575-C62E9E970E9E}" name="Column1711"/>
    <tableColumn id="1718" xr3:uid="{5288C081-0E34-4884-8879-A324E09C885A}" name="Column1712"/>
    <tableColumn id="1719" xr3:uid="{0FD3B2A7-F864-4619-A762-452DD556FB86}" name="Column1713"/>
    <tableColumn id="1720" xr3:uid="{E9889EB6-2B9C-4FDC-B573-48F3949131CF}" name="Column1714"/>
    <tableColumn id="1721" xr3:uid="{3CCDF386-167B-499D-888C-129A4F41EFAD}" name="Column1715"/>
    <tableColumn id="1722" xr3:uid="{75A5EEC9-7DF2-4A95-A53A-A9BCC7F0C5D6}" name="Column1716"/>
    <tableColumn id="1723" xr3:uid="{6352C7EB-1790-4E63-BD78-44A8A5BABC76}" name="Column1717"/>
    <tableColumn id="1724" xr3:uid="{68505549-FA66-496A-85F6-16F78DC9F9C5}" name="Column1718"/>
    <tableColumn id="1725" xr3:uid="{F6F78459-B9A7-4740-8BE8-084F5EB46667}" name="Column1719"/>
    <tableColumn id="1726" xr3:uid="{DF56CBEC-214A-4EF0-A357-18EC6611131A}" name="Column1720"/>
    <tableColumn id="1727" xr3:uid="{90CA499B-F704-4B7C-AD42-170AEE406E4B}" name="Column1721"/>
    <tableColumn id="1728" xr3:uid="{C50187DF-B38D-48FB-87A0-7FE5C3046639}" name="Column1722"/>
    <tableColumn id="1729" xr3:uid="{552A42CA-FCFD-46D7-A33F-6005B4975C76}" name="Column1723"/>
    <tableColumn id="1730" xr3:uid="{A2BF7160-93DE-4202-B503-FE9E06C2D6BF}" name="Column1724"/>
    <tableColumn id="1731" xr3:uid="{3C8471EF-9C72-4E6F-BC1E-78D6647376C1}" name="Column1725"/>
    <tableColumn id="1732" xr3:uid="{312F4FFC-BBC0-47DF-B1FA-71E33789C43C}" name="Column1726"/>
    <tableColumn id="1733" xr3:uid="{B7A4115A-8FCC-40EB-9CF7-EC6869AC5D76}" name="Column1727"/>
    <tableColumn id="1734" xr3:uid="{CF6BC31E-530C-4194-83D4-3F3A6E2024BD}" name="Column1728"/>
    <tableColumn id="1735" xr3:uid="{CE2F9190-C32A-4FC0-A1A9-3F251B91B562}" name="Column1729"/>
    <tableColumn id="1736" xr3:uid="{A27E3236-AC3D-4A92-8DA7-665A546183CA}" name="Column1730"/>
    <tableColumn id="1737" xr3:uid="{65544672-CDD0-450C-9208-5BBE867883B3}" name="Column1731"/>
    <tableColumn id="1738" xr3:uid="{10AD62E0-31DA-4421-87A6-E5B0C9480474}" name="Column1732"/>
    <tableColumn id="1739" xr3:uid="{B9DFECDC-1489-4343-9AA8-A516060182FC}" name="Column1733"/>
    <tableColumn id="1740" xr3:uid="{718A8153-E718-4931-A13F-959C2B34E1C8}" name="Column1734"/>
    <tableColumn id="1741" xr3:uid="{FB5D0B0D-924E-42B5-B755-EDE68221F248}" name="Column1735"/>
    <tableColumn id="1742" xr3:uid="{33D0A8BF-6245-4A66-8578-1B337AC833B6}" name="Column1736"/>
    <tableColumn id="1743" xr3:uid="{9044DCA8-5DD0-4B60-848F-653D0595AEF2}" name="Column1737"/>
    <tableColumn id="1744" xr3:uid="{72DDFF8D-B561-4690-8536-203E9EA8BDE0}" name="Column1738"/>
    <tableColumn id="1745" xr3:uid="{EDEFD0F7-3DDE-4F86-A765-434F0FB2019E}" name="Column1739"/>
    <tableColumn id="1746" xr3:uid="{320FFEAF-599C-4BAE-9FD5-256EAA1AA19F}" name="Column1740"/>
    <tableColumn id="1747" xr3:uid="{1AF9D849-CCB7-4B75-A5F9-F1E484F7E52B}" name="Column1741"/>
    <tableColumn id="1748" xr3:uid="{5B3B6F3C-4BE1-4B32-AC53-869DC0C0725B}" name="Column1742"/>
    <tableColumn id="1749" xr3:uid="{F79CD30C-E5AD-43B0-83C1-C014C8CC549D}" name="Column1743"/>
    <tableColumn id="1750" xr3:uid="{D6082EAB-9A21-4B4A-8156-8071084A87A4}" name="Column1744"/>
    <tableColumn id="1751" xr3:uid="{13BC1FA1-8383-4D2A-8ADE-23BE5703F95C}" name="Column1745"/>
    <tableColumn id="1752" xr3:uid="{F590DDBB-1DAF-422F-8015-4341FEB3B494}" name="Column1746"/>
    <tableColumn id="1753" xr3:uid="{2B43286A-7EAA-4930-8270-32D74B5D26CE}" name="Column1747"/>
    <tableColumn id="1754" xr3:uid="{9FDACF5E-3933-4152-AE4F-F1112B4BCEF3}" name="Column1748"/>
    <tableColumn id="1755" xr3:uid="{1C39011B-71C5-4B72-A458-E0BC0B12C971}" name="Column1749"/>
    <tableColumn id="1756" xr3:uid="{7F83198F-5311-4A82-8DDA-8FE05705E231}" name="Column1750"/>
    <tableColumn id="1757" xr3:uid="{6FD54A46-AF7D-44A1-8C42-8ED005D6B9BF}" name="Column1751"/>
    <tableColumn id="1758" xr3:uid="{0FAE5B57-2E55-48D7-B23D-386A4A9B8A03}" name="Column1752"/>
    <tableColumn id="1759" xr3:uid="{8F45CD8A-9849-4ADB-BE37-07476F2FD456}" name="Column1753"/>
    <tableColumn id="1760" xr3:uid="{80746AE0-9F91-424C-A91C-4D2AB667E355}" name="Column1754"/>
    <tableColumn id="1761" xr3:uid="{F2F0C9BE-856A-4424-BAA0-B4556E9A78FC}" name="Column1755"/>
    <tableColumn id="1762" xr3:uid="{E8C4A200-5908-46AD-B965-51DAEA3F84A7}" name="Column1756"/>
    <tableColumn id="1763" xr3:uid="{C7C95AB5-BF84-4E87-A7A7-6BBBCDCC3E75}" name="Column1757"/>
    <tableColumn id="1764" xr3:uid="{36BB3752-E239-4E7F-BF2E-A866A9341356}" name="Column1758"/>
    <tableColumn id="1765" xr3:uid="{ABD16365-1AE6-4D88-B19B-1E544BF3DD44}" name="Column1759"/>
    <tableColumn id="1766" xr3:uid="{7DEF2D23-1FE0-48DC-8001-BA9868E146D2}" name="Column1760"/>
    <tableColumn id="1767" xr3:uid="{A98B4505-E714-44BD-8F19-60CAE074BECE}" name="Column1761"/>
    <tableColumn id="1768" xr3:uid="{D0BB5E2E-49C3-4F77-90B6-567D136643E3}" name="Column1762"/>
    <tableColumn id="1769" xr3:uid="{B6F11A6E-C759-4681-867B-8E71A9358109}" name="Column1763"/>
    <tableColumn id="1770" xr3:uid="{25013A4A-D1C5-43C6-AD0A-CFBEACA00274}" name="Column1764"/>
    <tableColumn id="1771" xr3:uid="{BA9CB3CA-C99F-4B41-A527-E94B8DAD83EE}" name="Column1765"/>
    <tableColumn id="1772" xr3:uid="{DCFA50B7-BBEF-41A7-880B-ED36823EBC86}" name="Column1766"/>
    <tableColumn id="1773" xr3:uid="{546D04E7-61F8-45FA-BE40-0D4694475CCA}" name="Column1767"/>
    <tableColumn id="1774" xr3:uid="{CC5D78F4-8401-40D0-BB4A-B3D1C1C2E787}" name="Column1768"/>
    <tableColumn id="1775" xr3:uid="{9F327E0C-FCC7-4C7F-AA85-7FDA396372C5}" name="Column1769"/>
    <tableColumn id="1776" xr3:uid="{2BCDF236-3AA3-4437-A004-D3457286124B}" name="Column1770"/>
    <tableColumn id="1777" xr3:uid="{50B6E7B6-106D-42A0-B3B4-A61A5B976ADB}" name="Column1771"/>
    <tableColumn id="1778" xr3:uid="{90E235C5-83C0-4731-8884-DB78377F9463}" name="Column1772"/>
    <tableColumn id="1779" xr3:uid="{E85A6DBD-6EE8-4176-9D1A-689A8CFC5728}" name="Column1773"/>
    <tableColumn id="1780" xr3:uid="{4AC84324-D104-4CB4-BF46-B1F6FD66407D}" name="Column1774"/>
    <tableColumn id="1781" xr3:uid="{90F17393-B237-4640-ACCD-44B2B298E720}" name="Column1775"/>
    <tableColumn id="1782" xr3:uid="{69CBF0EA-0497-43E8-98AA-F0277AC56BAC}" name="Column1776"/>
    <tableColumn id="1783" xr3:uid="{DF63B109-F755-4C43-B45D-E093789C1B2D}" name="Column1777"/>
    <tableColumn id="1784" xr3:uid="{6849A4A4-3225-4878-87EA-BFC6F46D4A9D}" name="Column1778"/>
    <tableColumn id="1785" xr3:uid="{84FF0BCF-F394-480E-A36B-ED21322BA831}" name="Column1779"/>
    <tableColumn id="1786" xr3:uid="{9A09DDED-EAB7-4BF0-B2B3-D68668F0799B}" name="Column1780"/>
    <tableColumn id="1787" xr3:uid="{8B557709-4D13-427C-8E45-3CF57A40551C}" name="Column1781"/>
    <tableColumn id="1788" xr3:uid="{7B14FB42-666F-4A4A-A3F8-4D5FEF598172}" name="Column1782"/>
    <tableColumn id="1789" xr3:uid="{1B0DF6BF-AB68-4DFE-8678-FC1174734D52}" name="Column1783"/>
    <tableColumn id="1790" xr3:uid="{6BAE0BA3-5A95-43CE-B89D-C342D9322026}" name="Column1784"/>
    <tableColumn id="1791" xr3:uid="{8876A253-A1FD-4A61-AEAA-FBE9778E0AAD}" name="Column1785"/>
    <tableColumn id="1792" xr3:uid="{147FD135-4958-41EF-A2EF-7419771A03E9}" name="Column1786"/>
    <tableColumn id="1793" xr3:uid="{5A6ACFCE-B381-416C-BE2B-FC9F606B8E72}" name="Column1787"/>
    <tableColumn id="1794" xr3:uid="{D2359FD6-7459-49F0-AC18-14F305FB7735}" name="Column1788"/>
    <tableColumn id="1795" xr3:uid="{99F33594-94FA-421A-B013-F9F5C3924BC5}" name="Column1789"/>
    <tableColumn id="1796" xr3:uid="{419EF80B-6DD7-4C6E-A5BE-9CDD1AF6F241}" name="Column1790"/>
    <tableColumn id="1797" xr3:uid="{DDF5FD8F-A31B-4932-8674-E83E53C76EA4}" name="Column1791"/>
    <tableColumn id="1798" xr3:uid="{CD023121-EDD6-4873-A6B8-C9CC772DD26C}" name="Column1792"/>
    <tableColumn id="1799" xr3:uid="{FC30E388-C3B6-440A-8806-427B62BF05BF}" name="Column1793"/>
    <tableColumn id="1800" xr3:uid="{489F140A-A35F-4187-A932-CCFE234701F5}" name="Column1794"/>
    <tableColumn id="1801" xr3:uid="{97516D0F-945F-4D8A-BB8E-FDC56FFD2D6C}" name="Column1795"/>
    <tableColumn id="1802" xr3:uid="{9A46C41F-3429-4E53-8659-4B60DBDAB68C}" name="Column1796"/>
    <tableColumn id="1803" xr3:uid="{C364A09E-BDFB-4A13-BBDC-76BD23013C01}" name="Column1797"/>
    <tableColumn id="1804" xr3:uid="{BD45637D-F636-4243-940D-6C6DDD9730B8}" name="Column1798"/>
    <tableColumn id="1805" xr3:uid="{FCC3B49D-2639-44C8-B6CA-7E9803334F7A}" name="Column1799"/>
    <tableColumn id="1806" xr3:uid="{1E2ACB46-E88D-4C94-A677-36B2C2A93D53}" name="Column1800"/>
    <tableColumn id="1807" xr3:uid="{212F6CAF-7E86-43F8-8335-55F1BB08B3FB}" name="Column1801"/>
    <tableColumn id="1808" xr3:uid="{FCA18366-373E-4A46-A97B-1440A7C5223C}" name="Column1802"/>
    <tableColumn id="1809" xr3:uid="{1DBC890D-E1EE-4E03-BEA0-86685C94A0E2}" name="Column1803"/>
    <tableColumn id="1810" xr3:uid="{D73E2625-1A76-4D23-BAB7-45DD5921966A}" name="Column1804"/>
    <tableColumn id="1811" xr3:uid="{633715ED-2DD8-4E76-BA77-6FD875AF32AB}" name="Column1805"/>
    <tableColumn id="1812" xr3:uid="{6A79EC2B-A881-414C-9846-E72E00023C77}" name="Column1806"/>
    <tableColumn id="1813" xr3:uid="{CD3D264D-8686-4881-8DA7-2A2F9B34AD27}" name="Column1807"/>
    <tableColumn id="1814" xr3:uid="{78D80971-2357-488E-BC5A-EC83210B2BDE}" name="Column1808"/>
    <tableColumn id="1815" xr3:uid="{55A23445-181B-4FC7-9E82-5E62864F9B0B}" name="Column1809"/>
    <tableColumn id="1816" xr3:uid="{4AC7943B-0100-4E35-BB64-B14D19C03A94}" name="Column1810"/>
    <tableColumn id="1817" xr3:uid="{84CA8400-BC54-43A5-B2A2-F49567C5031E}" name="Column1811"/>
    <tableColumn id="1818" xr3:uid="{55A0C8FC-362B-4521-A3DE-A78556C2D039}" name="Column1812"/>
    <tableColumn id="1819" xr3:uid="{65248369-0E24-45AE-8241-D4908E14C2CE}" name="Column1813"/>
    <tableColumn id="1820" xr3:uid="{5C18B3E0-F170-42E0-857E-DD027799E271}" name="Column1814"/>
    <tableColumn id="1821" xr3:uid="{A770B823-447D-44A2-8EF7-4AA58D0A0007}" name="Column1815"/>
    <tableColumn id="1822" xr3:uid="{9F4BC751-5E0E-4C53-A0C2-FDB0A261676D}" name="Column1816"/>
    <tableColumn id="1823" xr3:uid="{47F71F2F-E0B4-4C36-AB27-7E3097139617}" name="Column1817"/>
    <tableColumn id="1824" xr3:uid="{7FF7B1A0-7DA8-4C31-9C3C-EAC70D233538}" name="Column1818"/>
    <tableColumn id="1825" xr3:uid="{0C0DB54A-73BD-402D-A76C-0F752C83864B}" name="Column1819"/>
    <tableColumn id="1826" xr3:uid="{822E752E-2405-4B4E-97C4-BE754349B2FC}" name="Column1820"/>
    <tableColumn id="1827" xr3:uid="{4782709B-6795-4F23-9B7D-4923BF98B52A}" name="Column1821"/>
    <tableColumn id="1828" xr3:uid="{AECAB2C2-CB4F-49EC-B074-05AED3BA3A38}" name="Column1822"/>
    <tableColumn id="1829" xr3:uid="{D138B2A4-148F-4458-BD3F-DA1B86E79A7F}" name="Column1823"/>
    <tableColumn id="1830" xr3:uid="{9D6047F4-F1B1-4DBE-A955-989C56EA1718}" name="Column1824"/>
    <tableColumn id="1831" xr3:uid="{931E8C68-261A-43C4-A3E0-B6340ABE6092}" name="Column1825"/>
    <tableColumn id="1832" xr3:uid="{6838A006-6AE8-43BE-83B3-B8711D68FFFD}" name="Column1826"/>
    <tableColumn id="1833" xr3:uid="{3CB87C1F-A20F-42D4-85EE-133BF2D9DA3F}" name="Column1827"/>
    <tableColumn id="1834" xr3:uid="{B6CB8B08-49B8-443D-A302-5C88753DB3A8}" name="Column1828"/>
    <tableColumn id="1835" xr3:uid="{5BADA456-EE46-4AC0-BDC3-99FAC342484C}" name="Column1829"/>
    <tableColumn id="1836" xr3:uid="{421E7D4D-2BBF-4181-9DDD-B5F518AEEA57}" name="Column1830"/>
    <tableColumn id="1837" xr3:uid="{A3C7B1AD-D530-4FB1-BFAD-AB2C0BEBCE16}" name="Column1831"/>
    <tableColumn id="1838" xr3:uid="{2473E671-609D-4A36-BF4F-E43BD80850B5}" name="Column1832"/>
    <tableColumn id="1839" xr3:uid="{6C54F443-C674-4446-955B-D3A4929F02DB}" name="Column1833"/>
    <tableColumn id="1840" xr3:uid="{506B022E-8D4D-42C1-9351-0D8DA3400CB2}" name="Column1834"/>
    <tableColumn id="1841" xr3:uid="{50A9E5DF-9972-49F1-9618-13D1630020B1}" name="Column1835"/>
    <tableColumn id="1842" xr3:uid="{ACB746DC-CE84-4D43-BC7A-FCE33E832A1B}" name="Column1836"/>
    <tableColumn id="1843" xr3:uid="{A03A97DB-2B44-4436-98EF-48E584209C48}" name="Column1837"/>
    <tableColumn id="1844" xr3:uid="{B24A8AA3-B776-4A6F-93BB-8EB7618CFF88}" name="Column1838"/>
    <tableColumn id="1845" xr3:uid="{E6F1A9FB-24C2-4C43-B45C-8E900D3BCEC6}" name="Column1839"/>
    <tableColumn id="1846" xr3:uid="{237C93B8-680C-4108-9B76-859B81E126A3}" name="Column1840"/>
    <tableColumn id="1847" xr3:uid="{E65BF6BA-E13F-4A53-8ECC-81BBF23A9C0F}" name="Column1841"/>
    <tableColumn id="1848" xr3:uid="{21854192-50A5-45DB-86F4-17E9B3CAB964}" name="Column1842"/>
    <tableColumn id="1849" xr3:uid="{43774F52-2CF2-4456-B0A7-B1C2B4378DBB}" name="Column1843"/>
    <tableColumn id="1850" xr3:uid="{0CA22CB7-CA2F-4EC7-AB98-BFD68CDE8BC8}" name="Column1844"/>
    <tableColumn id="1851" xr3:uid="{F6CCFED9-AE31-4B9C-A906-A12F719097F1}" name="Column1845"/>
    <tableColumn id="1852" xr3:uid="{B3C32804-4BAA-4AE7-AC7F-785F869E6656}" name="Column1846"/>
    <tableColumn id="1853" xr3:uid="{F94AAC1F-C8EB-456D-84F7-20D107672AB7}" name="Column1847"/>
    <tableColumn id="1854" xr3:uid="{62E3B514-C633-40E2-90EA-1EEFF224C7F6}" name="Column1848"/>
    <tableColumn id="1855" xr3:uid="{6F992396-5981-450B-BA41-DD2EFC6E1619}" name="Column1849"/>
    <tableColumn id="1856" xr3:uid="{050D141F-5A53-4968-8B23-5F3424E3942A}" name="Column1850"/>
    <tableColumn id="1857" xr3:uid="{AFB826E5-09D0-4761-BA44-7F6C609A046E}" name="Column1851"/>
    <tableColumn id="1858" xr3:uid="{5C492067-AF67-4BD5-9C6A-F261D890ED0E}" name="Column1852"/>
    <tableColumn id="1859" xr3:uid="{D7EE3FDE-194B-4351-9BEA-FCB69B47D7C2}" name="Column1853"/>
    <tableColumn id="1860" xr3:uid="{E90DD8D8-21C2-4CC7-B544-6ACD4164612D}" name="Column1854"/>
    <tableColumn id="1861" xr3:uid="{55D6ABFF-4D8F-4FB3-BF5B-6B817CDB6AD9}" name="Column1855"/>
    <tableColumn id="1862" xr3:uid="{7FCA0430-7C3C-4240-87FC-C3BDED789058}" name="Column1856"/>
    <tableColumn id="1863" xr3:uid="{5730337B-2132-47BE-9D6E-719DFBB31AFB}" name="Column1857"/>
    <tableColumn id="1864" xr3:uid="{ACADCD68-781F-41F4-A1D2-E935A54B7FC8}" name="Column1858"/>
    <tableColumn id="1865" xr3:uid="{0189408A-3AEB-4841-A5EC-759C5C81A091}" name="Column1859"/>
    <tableColumn id="1866" xr3:uid="{1097B897-035E-480F-8A55-ACA6FE25DFC6}" name="Column1860"/>
    <tableColumn id="1867" xr3:uid="{4C09DC7F-A0CA-4B55-8912-317238A204EA}" name="Column1861"/>
    <tableColumn id="1868" xr3:uid="{B756D352-E868-4E65-BFAA-12EEECEEEADA}" name="Column1862"/>
    <tableColumn id="1869" xr3:uid="{43C43D85-CADE-472C-A00C-A3593EDF1D30}" name="Column1863"/>
    <tableColumn id="1870" xr3:uid="{E715F9D8-C02B-4134-9147-B30B81BADCE3}" name="Column1864"/>
    <tableColumn id="1871" xr3:uid="{B3307CA4-3EBC-4928-908C-EE29E79CEF26}" name="Column1865"/>
    <tableColumn id="1872" xr3:uid="{3C9DFB1F-9603-43CA-B71F-27074F8938B2}" name="Column1866"/>
    <tableColumn id="1873" xr3:uid="{6E2124B3-8D14-4249-8384-790E808F1568}" name="Column1867"/>
    <tableColumn id="1874" xr3:uid="{69C0AD6F-48FF-42EC-96FF-B9B892CAC8EE}" name="Column1868"/>
    <tableColumn id="1875" xr3:uid="{6B11CCD2-5ED6-4125-A860-1DB75A8F9A93}" name="Column1869"/>
    <tableColumn id="1876" xr3:uid="{91A881E9-37C9-41B9-950D-25DAB03941A1}" name="Column1870"/>
    <tableColumn id="1877" xr3:uid="{8C9E1192-B500-4D59-96D0-6A994A65D0B3}" name="Column1871"/>
    <tableColumn id="1878" xr3:uid="{C56E43CD-90A7-4F18-8714-277AA3271A62}" name="Column1872"/>
    <tableColumn id="1879" xr3:uid="{EEE79ED3-0198-4328-941D-FAD51071F48F}" name="Column1873"/>
    <tableColumn id="1880" xr3:uid="{968774C7-84B1-4933-A4E6-FCE039684604}" name="Column1874"/>
    <tableColumn id="1881" xr3:uid="{0F8C0714-0A84-4E9F-9D6F-0B95D46AD14A}" name="Column1875"/>
    <tableColumn id="1882" xr3:uid="{470980EE-4291-405F-80EC-F669E3BDB993}" name="Column1876"/>
    <tableColumn id="1883" xr3:uid="{51F55CF6-B023-406F-B10A-813AA81C9BEB}" name="Column1877"/>
    <tableColumn id="1884" xr3:uid="{8BC8D7A6-4D2D-4ADA-B506-D8A0E7C943CC}" name="Column1878"/>
    <tableColumn id="1885" xr3:uid="{1A6A3766-252F-4D32-B03F-2307CA65482D}" name="Column1879"/>
    <tableColumn id="1886" xr3:uid="{35E088A3-C707-41FA-9E7F-FCF0CB8FE5DC}" name="Column1880"/>
    <tableColumn id="1887" xr3:uid="{D63A04CB-4BD4-438B-9E7E-FA03350C2689}" name="Column1881"/>
    <tableColumn id="1888" xr3:uid="{B09FE462-64F4-45F5-9CB8-E41C55F49B09}" name="Column1882"/>
    <tableColumn id="1889" xr3:uid="{D5276C1F-3904-465F-9F2A-5232DCA37C60}" name="Column1883"/>
    <tableColumn id="1890" xr3:uid="{51BC1302-15DE-4794-8BA9-C96CEFACEBC9}" name="Column1884"/>
    <tableColumn id="1891" xr3:uid="{C55806AE-98A6-4628-8630-F4FCD57533D9}" name="Column1885"/>
    <tableColumn id="1892" xr3:uid="{5ABC39AF-CFCC-4402-B5A2-574E4EF947DF}" name="Column1886"/>
    <tableColumn id="1893" xr3:uid="{542F80CB-11D3-41E6-9818-D4BF5827B075}" name="Column1887"/>
    <tableColumn id="1894" xr3:uid="{0075F12D-EB55-49B9-85B1-92BB626FEF70}" name="Column1888"/>
    <tableColumn id="1895" xr3:uid="{97D2E46B-EC0C-49AF-8C6D-FA08DE3F2827}" name="Column1889"/>
    <tableColumn id="1896" xr3:uid="{F36E021A-4F81-42F1-8686-6757665C94D2}" name="Column1890"/>
    <tableColumn id="1897" xr3:uid="{533ECEB7-2CDB-4E35-B3E1-860037F9C73C}" name="Column1891"/>
    <tableColumn id="1898" xr3:uid="{115E4A23-0C6F-4316-BA6B-379B76E132EE}" name="Column1892"/>
    <tableColumn id="1899" xr3:uid="{D93D8231-9D1B-47D2-8D83-5A3B0C4B3185}" name="Column1893"/>
    <tableColumn id="1900" xr3:uid="{BBCA9C73-0CAA-44B7-98A7-6419CBC76EED}" name="Column1894"/>
    <tableColumn id="1901" xr3:uid="{F2D98914-94B2-4279-9317-4F1B8F37CEE9}" name="Column1895"/>
    <tableColumn id="1902" xr3:uid="{EDA39D25-8864-4CA4-A41B-D6299D8F73F7}" name="Column1896"/>
    <tableColumn id="1903" xr3:uid="{FB39F5C8-C2A7-4CBB-8D51-A2F9C38441B5}" name="Column1897"/>
    <tableColumn id="1904" xr3:uid="{0C90C9AC-67FF-4BE9-A4CF-E045A2A5B7DB}" name="Column1898"/>
    <tableColumn id="1905" xr3:uid="{DF8EC822-5372-4DA1-83BC-EB1E37C2BFBE}" name="Column1899"/>
    <tableColumn id="1906" xr3:uid="{F1489C4D-0DAD-467A-9C0A-BFBC4B61407E}" name="Column1900"/>
    <tableColumn id="1907" xr3:uid="{38A91461-321C-4BF1-8445-0A6F295A32EB}" name="Column1901"/>
    <tableColumn id="1908" xr3:uid="{CA9DBFB2-D0F4-4A91-811C-6DE1E411F0CC}" name="Column1902"/>
    <tableColumn id="1909" xr3:uid="{69669477-8A2B-4C5E-BB65-60B90DB5819B}" name="Column1903"/>
    <tableColumn id="1910" xr3:uid="{D2B1B767-6222-4CDF-A3E1-F6D235BC4D51}" name="Column1904"/>
    <tableColumn id="1911" xr3:uid="{7B37ACE9-68CC-4DB7-999B-69DFFEB788E1}" name="Column1905"/>
    <tableColumn id="1912" xr3:uid="{2FBF8EDE-5943-4415-8E3D-6ACBAC19F86C}" name="Column1906"/>
    <tableColumn id="1913" xr3:uid="{2314571C-3EC1-43E1-9625-E1F4B70E9BD0}" name="Column1907"/>
    <tableColumn id="1914" xr3:uid="{196C7DB4-D25C-42E6-BBAF-96B64A022CB3}" name="Column1908"/>
    <tableColumn id="1915" xr3:uid="{B2577D4F-4E21-4C37-B3EE-B791406ECA41}" name="Column1909"/>
    <tableColumn id="1916" xr3:uid="{44AA7A0B-3DAA-403C-B4D6-CB0D2123FF5A}" name="Column1910"/>
    <tableColumn id="1917" xr3:uid="{F3917456-7BB6-4219-877D-F93D8DFA2B60}" name="Column1911"/>
    <tableColumn id="1918" xr3:uid="{E2CE8C7E-295F-46F9-A719-8124F16BBD73}" name="Column1912"/>
    <tableColumn id="1919" xr3:uid="{F443667E-B30C-49D7-8AD3-EB312F551D13}" name="Column1913"/>
    <tableColumn id="1920" xr3:uid="{B3874835-E20D-4CCF-B9E0-58353895C2A2}" name="Column1914"/>
    <tableColumn id="1921" xr3:uid="{5CA0AEC6-3B2B-4E43-A268-57C359F42873}" name="Column1915"/>
    <tableColumn id="1922" xr3:uid="{F8B3B788-00B0-4EE8-8282-CAC8D43B1908}" name="Column1916"/>
    <tableColumn id="1923" xr3:uid="{8BA328C6-8903-4BF0-9EBD-119D4773C6C7}" name="Column1917"/>
    <tableColumn id="1924" xr3:uid="{061CE395-3FC4-410A-BB63-1E45EAA3E641}" name="Column1918"/>
    <tableColumn id="1925" xr3:uid="{3B9A7E0A-AFCB-4A58-88A7-768F24990DDC}" name="Column1919"/>
    <tableColumn id="1926" xr3:uid="{68932082-1866-429A-A988-B8335FD88113}" name="Column1920"/>
    <tableColumn id="1927" xr3:uid="{E8F055B0-27F5-41D9-BEB4-D2A32750E619}" name="Column1921"/>
    <tableColumn id="1928" xr3:uid="{D37C4BB8-7EA5-4FF8-A20A-DFAD091A3406}" name="Column1922"/>
    <tableColumn id="1929" xr3:uid="{75475856-2ED8-4956-A277-7A27EBDEDF6B}" name="Column1923"/>
    <tableColumn id="1930" xr3:uid="{97805C5D-A540-4D8E-8249-B8B2F7C84F84}" name="Column1924"/>
    <tableColumn id="1931" xr3:uid="{DB458ADB-6BE6-4207-AA6C-EA8319889AF0}" name="Column1925"/>
    <tableColumn id="1932" xr3:uid="{28226A3E-4CB5-42E8-AAD9-E0CAFE576D49}" name="Column1926"/>
    <tableColumn id="1933" xr3:uid="{0485978D-C75E-4532-BEC6-8BB6A5D1223F}" name="Column1927"/>
    <tableColumn id="1934" xr3:uid="{C8866C4B-16F2-4029-94DE-BFBD243944A7}" name="Column1928"/>
    <tableColumn id="1935" xr3:uid="{14D5B16C-8760-493E-90E9-D914CCB8CC14}" name="Column1929"/>
    <tableColumn id="1936" xr3:uid="{38E36BAA-0279-4318-8A08-6B3939A2EC14}" name="Column1930"/>
    <tableColumn id="1937" xr3:uid="{1C5EB15E-9192-4055-A639-CD5BC704EFDB}" name="Column1931"/>
    <tableColumn id="1938" xr3:uid="{5EBD035A-70F1-4EA0-9FA0-36F36A363964}" name="Column1932"/>
    <tableColumn id="1939" xr3:uid="{28AD4312-7EDF-4D22-9831-07FF159A6615}" name="Column1933"/>
    <tableColumn id="1940" xr3:uid="{43156B5D-D7EB-4BB9-BFCF-B77011F07B32}" name="Column1934"/>
    <tableColumn id="1941" xr3:uid="{56331B65-DFB8-4F44-977F-93AC8B152E1F}" name="Column1935"/>
    <tableColumn id="1942" xr3:uid="{9BA2B6E0-7449-43D8-BE72-55A0D50B5025}" name="Column1936"/>
    <tableColumn id="1943" xr3:uid="{18221C7E-7BBD-47BB-9979-F4B0006FAEC3}" name="Column1937"/>
    <tableColumn id="1944" xr3:uid="{BC8BA1AC-A1B2-4EC5-AC55-EC4FF9D031AB}" name="Column1938"/>
    <tableColumn id="1945" xr3:uid="{56DCE113-BCE4-4303-A259-DA159B8851AD}" name="Column1939"/>
    <tableColumn id="1946" xr3:uid="{2FBA208F-1373-4717-AF14-F90FAE2763FB}" name="Column1940"/>
    <tableColumn id="1947" xr3:uid="{E47EDF8A-95AE-430D-86B0-34996739DD52}" name="Column1941"/>
    <tableColumn id="1948" xr3:uid="{E6EAA961-2CF3-4A5F-B798-EF3C42615085}" name="Column1942"/>
    <tableColumn id="1949" xr3:uid="{7EBB02E5-0DC7-4AFC-A65D-4B05957AA6EC}" name="Column1943"/>
    <tableColumn id="1950" xr3:uid="{9F4280BE-23C7-474F-8CFA-688EA1F3A17D}" name="Column1944"/>
    <tableColumn id="1951" xr3:uid="{36220F75-393D-4A54-86E8-BA98635EB6FF}" name="Column1945"/>
    <tableColumn id="1952" xr3:uid="{62B5B82B-8FA9-432E-89F5-9166F51C76BC}" name="Column1946"/>
    <tableColumn id="1953" xr3:uid="{B2FC70F7-2DC8-4F34-9B98-1844514BE11A}" name="Column1947"/>
    <tableColumn id="1954" xr3:uid="{2EB7735E-730C-41EC-AA44-D11A9A6D9894}" name="Column1948"/>
    <tableColumn id="1955" xr3:uid="{644BE433-2334-4227-B825-DF9967206126}" name="Column1949"/>
    <tableColumn id="1956" xr3:uid="{C62E97B6-47FC-4DD5-BD95-C012D6897E3D}" name="Column1950"/>
    <tableColumn id="1957" xr3:uid="{C1DE42C0-B36E-4671-9E0A-3863A358C40B}" name="Column1951"/>
    <tableColumn id="1958" xr3:uid="{EA0F9B13-DF3D-432F-902A-4F1605711721}" name="Column1952"/>
    <tableColumn id="1959" xr3:uid="{07288AD2-EF2C-44FE-9254-BA0E39ABEE50}" name="Column1953"/>
    <tableColumn id="1960" xr3:uid="{0F7EFDDC-C0C2-4BDB-B44C-E0DBB4C8F35F}" name="Column1954"/>
    <tableColumn id="1961" xr3:uid="{F564CC4C-D449-4FDA-B257-BC8292804917}" name="Column1955"/>
    <tableColumn id="1962" xr3:uid="{BACBD076-934C-4DC9-8A79-B66CC5747275}" name="Column1956"/>
    <tableColumn id="1963" xr3:uid="{CF422BF9-8D44-423E-BC13-93F102F1D098}" name="Column1957"/>
    <tableColumn id="1964" xr3:uid="{1ADECE4F-B750-44C8-BE1A-6E817F671193}" name="Column1958"/>
    <tableColumn id="1965" xr3:uid="{F7E5CF7B-A3A9-49FF-A34A-82C5FBCD88DE}" name="Column1959"/>
    <tableColumn id="1966" xr3:uid="{60508B55-CEC4-426D-A273-B7F81C8BB812}" name="Column1960"/>
    <tableColumn id="1967" xr3:uid="{F2987250-806D-4A78-9BFF-63D04C860539}" name="Column1961"/>
    <tableColumn id="1968" xr3:uid="{0610F786-BCE5-4337-86CB-B8CFAB0BA78D}" name="Column1962"/>
    <tableColumn id="1969" xr3:uid="{17BEAD76-4833-4CFE-9FD9-164EDEB29429}" name="Column1963"/>
    <tableColumn id="1970" xr3:uid="{A686EC14-D390-4BB7-A8B1-30380504F3EF}" name="Column1964"/>
    <tableColumn id="1971" xr3:uid="{43A6829B-993B-4F92-B813-FE91D153B3DC}" name="Column1965"/>
    <tableColumn id="1972" xr3:uid="{619D034D-84FD-429E-9E1C-7E123F58E868}" name="Column1966"/>
    <tableColumn id="1973" xr3:uid="{78C70E81-02E9-4ADD-A78D-C2CCC2B30D54}" name="Column1967"/>
    <tableColumn id="1974" xr3:uid="{3320C97F-E28A-4A18-966D-79A29684F8F6}" name="Column1968"/>
    <tableColumn id="1975" xr3:uid="{67C03FC1-718B-4B82-BFAC-948C901AEA83}" name="Column1969"/>
    <tableColumn id="1976" xr3:uid="{4E16D355-748F-45A4-8B68-D7C848C4DC90}" name="Column1970"/>
    <tableColumn id="1977" xr3:uid="{E80F9744-5D96-4EE8-A2E3-AA1E56A0DA60}" name="Column1971"/>
    <tableColumn id="1978" xr3:uid="{1A7994DF-9E07-4176-BE25-DD51729F55EA}" name="Column1972"/>
    <tableColumn id="1979" xr3:uid="{7A76DD08-A760-45CF-BF24-813487864781}" name="Column1973"/>
    <tableColumn id="1980" xr3:uid="{066B8E94-5117-40AE-ABC4-4359D3D2117A}" name="Column1974"/>
    <tableColumn id="1981" xr3:uid="{7AF8B7E1-95D5-44AF-BD58-41CC984BD395}" name="Column1975"/>
    <tableColumn id="1982" xr3:uid="{CF76E6AB-BB9B-4BA0-90B6-A3C97E72578E}" name="Column1976"/>
    <tableColumn id="1983" xr3:uid="{1F1150CA-DB66-43B9-8C4F-162D518AF4EE}" name="Column1977"/>
    <tableColumn id="1984" xr3:uid="{379E57AD-6D08-457B-9BFA-4ED168CC38FF}" name="Column1978"/>
    <tableColumn id="1985" xr3:uid="{880BDC5F-E73D-4067-BC8E-96A73127FB06}" name="Column1979"/>
    <tableColumn id="1986" xr3:uid="{EB0BBD33-5143-4356-9DCC-5A79A1A326B6}" name="Column1980"/>
    <tableColumn id="1987" xr3:uid="{3B81854F-27C1-4BE2-AB29-DC7B81DE013C}" name="Column1981"/>
    <tableColumn id="1988" xr3:uid="{1EA6B198-9FBF-4443-AC2D-E7CE66EFEB77}" name="Column1982"/>
    <tableColumn id="1989" xr3:uid="{55F2B744-BCEA-4367-8E34-6DE88F2619F3}" name="Column1983"/>
    <tableColumn id="1990" xr3:uid="{F433C4E2-D903-473A-AE21-2703E70197B1}" name="Column1984"/>
    <tableColumn id="1991" xr3:uid="{0FB20DC0-E716-4E43-8055-434DAA6CCCC9}" name="Column1985"/>
    <tableColumn id="1992" xr3:uid="{8DD10906-5056-48A8-BFF8-85DB78A234CC}" name="Column1986"/>
    <tableColumn id="1993" xr3:uid="{237D0996-72FC-4FD8-AC44-9B9E1F41EEDD}" name="Column1987"/>
    <tableColumn id="1994" xr3:uid="{731544EE-6212-4F62-95D6-3753726677F4}" name="Column1988"/>
    <tableColumn id="1995" xr3:uid="{14D12646-7A65-4AAD-9869-0528CEF926E7}" name="Column1989"/>
    <tableColumn id="1996" xr3:uid="{4603B905-2A97-47AA-BD91-4F01906FDCCC}" name="Column1990"/>
    <tableColumn id="1997" xr3:uid="{89FAA7BB-83DC-4720-A341-F6EA4A1A90C8}" name="Column1991"/>
    <tableColumn id="1998" xr3:uid="{D50DEDC4-83A9-4CF8-AFC2-17274698EB55}" name="Column1992"/>
    <tableColumn id="1999" xr3:uid="{E4A56A47-2C90-4019-9591-304519290811}" name="Column1993"/>
    <tableColumn id="2000" xr3:uid="{B63A8AB9-8FA5-4DFC-AC8D-EEE09682AA75}" name="Column1994"/>
    <tableColumn id="2001" xr3:uid="{629FAAB7-A36B-46B5-80B9-CD0C24118090}" name="Column1995"/>
    <tableColumn id="2002" xr3:uid="{85DA26D6-C1C5-495F-9329-989B37C870C8}" name="Column1996"/>
    <tableColumn id="2003" xr3:uid="{53D42002-9143-4B73-9C88-60CCA01A5BB7}" name="Column1997"/>
    <tableColumn id="2004" xr3:uid="{2D14E802-44E5-4139-B44B-752878012D49}" name="Column1998"/>
    <tableColumn id="2005" xr3:uid="{98760CC9-E07F-4C11-A1BA-FDA3029DD2AE}" name="Column1999"/>
    <tableColumn id="2006" xr3:uid="{B91FC572-3D39-4038-9C9C-656A87471FFB}" name="Column2000"/>
    <tableColumn id="2007" xr3:uid="{A055C755-73A0-4FF1-8912-0E10A51FE9F4}" name="Column2001"/>
    <tableColumn id="2008" xr3:uid="{1EE66EF7-4FF6-4E37-B444-2975EB56E885}" name="Column2002"/>
    <tableColumn id="2009" xr3:uid="{59842D03-965D-482F-930C-74B95CF2F669}" name="Column2003"/>
    <tableColumn id="2010" xr3:uid="{F7349351-6FEF-4290-8109-A6B0E9486ED5}" name="Column2004"/>
    <tableColumn id="2011" xr3:uid="{E56B2417-E788-441C-B357-8D5D274EC462}" name="Column2005"/>
    <tableColumn id="2012" xr3:uid="{108DBC57-CB71-4321-A05C-6DF61734CC09}" name="Column2006"/>
    <tableColumn id="2013" xr3:uid="{3EF9F271-9A49-4142-8D6E-3E840FC200A3}" name="Column2007"/>
    <tableColumn id="2014" xr3:uid="{EDABD66F-97B9-4E67-B8C9-0BDACDA0C486}" name="Column2008"/>
    <tableColumn id="2015" xr3:uid="{E7399C06-B6C0-421D-A799-3AC064D24B80}" name="Column2009"/>
    <tableColumn id="2016" xr3:uid="{BD8020E6-32FD-4EB8-847D-032EA0A2CE33}" name="Column2010"/>
    <tableColumn id="2017" xr3:uid="{5954D393-659E-4D19-B810-C7C531209B6F}" name="Column2011"/>
    <tableColumn id="2018" xr3:uid="{C4BAF5A7-D5F1-45D1-A063-CC66C18868D8}" name="Column2012"/>
    <tableColumn id="2019" xr3:uid="{FC69B1E0-511E-4404-BB48-19C434E84A57}" name="Column2013"/>
    <tableColumn id="2020" xr3:uid="{DE053D4F-3EB8-42E8-87AE-6DFE446D8CDA}" name="Column2014"/>
    <tableColumn id="2021" xr3:uid="{ACA97BAB-2059-4592-ABF6-65A06C2B3FC9}" name="Column2015"/>
    <tableColumn id="2022" xr3:uid="{8B722AB2-B844-409E-AB0E-322C292157C5}" name="Column2016"/>
    <tableColumn id="2023" xr3:uid="{87B8C3F2-90B0-4A9D-B3FD-C8E2387CC4E2}" name="Column2017"/>
    <tableColumn id="2024" xr3:uid="{A1654146-6392-458F-808D-E84D86555CC8}" name="Column2018"/>
    <tableColumn id="2025" xr3:uid="{8DCFCB63-E5FF-4C40-A4CD-753D5406E80A}" name="Column2019"/>
    <tableColumn id="2026" xr3:uid="{85FF00F6-FD0D-46A5-BE35-7FE6CA1A3FA9}" name="Column2020"/>
    <tableColumn id="2027" xr3:uid="{3DEA31D2-E1C0-4A99-988B-9E8EAB4DE4CE}" name="Column2021"/>
    <tableColumn id="2028" xr3:uid="{B717454B-205A-403F-802B-C5990F397C2A}" name="Column2022"/>
    <tableColumn id="2029" xr3:uid="{DE20E201-F201-4E68-855A-C7D3FC409A06}" name="Column2023"/>
    <tableColumn id="2030" xr3:uid="{B20581FD-3BF7-4889-A7F2-56145BDC0678}" name="Column2024"/>
    <tableColumn id="2031" xr3:uid="{CD3E5660-30BD-4D87-8AF4-5BDC87CBDA49}" name="Column2025"/>
    <tableColumn id="2032" xr3:uid="{606D793E-8C3C-4D5A-9DA7-53037FE95A58}" name="Column2026"/>
    <tableColumn id="2033" xr3:uid="{0E655651-DA54-4EB3-BA09-110ED181A0B1}" name="Column2027"/>
    <tableColumn id="2034" xr3:uid="{6E9659A5-418E-4D91-A273-A7A2ED1EDEC8}" name="Column2028"/>
    <tableColumn id="2035" xr3:uid="{7337B6EE-31F7-44A9-8493-E8C73BE83206}" name="Column2029"/>
    <tableColumn id="2036" xr3:uid="{78F967D9-C682-47D9-82A2-3367E435DB3D}" name="Column2030"/>
    <tableColumn id="2037" xr3:uid="{3D79081C-451A-4288-B9AF-146B44B6E4A4}" name="Column2031"/>
    <tableColumn id="2038" xr3:uid="{2AA64DD9-A26D-4749-B00B-5EE835D14527}" name="Column2032"/>
    <tableColumn id="2039" xr3:uid="{E6337246-DD63-4EE6-BF99-9557E9604E30}" name="Column2033"/>
    <tableColumn id="2040" xr3:uid="{734DD0B0-CB2D-4A92-BA5C-BA138432B30A}" name="Column2034"/>
    <tableColumn id="2041" xr3:uid="{1D2BF374-D0C2-4B63-9B03-14FB28FB0018}" name="Column2035"/>
    <tableColumn id="2042" xr3:uid="{50C9C7CB-3E74-4F2A-8DC3-77845600B910}" name="Column2036"/>
    <tableColumn id="2043" xr3:uid="{82F94FC3-3AD4-44FA-BBFD-0E4A4B883720}" name="Column2037"/>
    <tableColumn id="2044" xr3:uid="{50A8D162-9072-40E8-B4AF-748BBC446556}" name="Column2038"/>
    <tableColumn id="2045" xr3:uid="{790E93DE-27A8-43FD-AB29-BC8EDCEF3BA6}" name="Column2039"/>
    <tableColumn id="2046" xr3:uid="{D0CDEBD1-F635-4E11-8B9F-BF8461EEEECB}" name="Column2040"/>
    <tableColumn id="2047" xr3:uid="{2E347177-62A1-4883-A057-5773352054C8}" name="Column2041"/>
    <tableColumn id="2048" xr3:uid="{A558CFB5-987E-4EA0-A639-6786357DC9DC}" name="Column2042"/>
    <tableColumn id="2049" xr3:uid="{946BBD40-F26A-4521-A058-D6F9F113B76F}" name="Column2043"/>
    <tableColumn id="2050" xr3:uid="{3718FDF6-2158-4B47-A60E-D8BD4A15E35F}" name="Column2044"/>
    <tableColumn id="2051" xr3:uid="{4D87624D-FF8D-429C-9E9E-72061AA7FBE5}" name="Column2045"/>
    <tableColumn id="2052" xr3:uid="{2DEA25B3-FA58-4C9C-A1A2-A98125B5833C}" name="Column2046"/>
    <tableColumn id="2053" xr3:uid="{BAC6FFEC-66EB-4737-829D-A3BFB728F81A}" name="Column2047"/>
    <tableColumn id="2054" xr3:uid="{566AA58A-B2AF-4BFB-B31C-F7161103DCA9}" name="Column2048"/>
    <tableColumn id="2055" xr3:uid="{DD2A4F81-466A-4C51-88B0-D9F9A60F3D09}" name="Column2049"/>
    <tableColumn id="2056" xr3:uid="{D3F4D277-AC90-45C5-8092-340519AD0206}" name="Column2050"/>
    <tableColumn id="2057" xr3:uid="{95393BCD-3BA1-493B-9779-E5C2FBFB1029}" name="Column2051"/>
    <tableColumn id="2058" xr3:uid="{CD382133-A523-4395-BE40-56ED405DC0CE}" name="Column2052"/>
    <tableColumn id="2059" xr3:uid="{0E717B7C-4AB5-4238-ADF3-42C7FB823F62}" name="Column2053"/>
    <tableColumn id="2060" xr3:uid="{0682FD05-5DF7-4B5E-9C3C-5093DA06D7C4}" name="Column2054"/>
    <tableColumn id="2061" xr3:uid="{2E5F2257-56B6-4ACE-933A-21C0B18683C6}" name="Column2055"/>
    <tableColumn id="2062" xr3:uid="{A9FAECC2-C4B6-4843-B610-7B2A955068D6}" name="Column2056"/>
    <tableColumn id="2063" xr3:uid="{E26986AE-0505-443F-9D53-9731211E4B9E}" name="Column2057"/>
    <tableColumn id="2064" xr3:uid="{D67C4DC9-7BD4-4D47-BAFD-410A946FF084}" name="Column2058"/>
    <tableColumn id="2065" xr3:uid="{1426CD0E-E80B-4139-B847-F4693462C378}" name="Column2059"/>
    <tableColumn id="2066" xr3:uid="{D8E4E370-ED0E-4B5C-B1F2-ED63EAB97EFB}" name="Column2060"/>
    <tableColumn id="2067" xr3:uid="{E052E09C-7D6A-47B3-B55D-DFF0F2B92937}" name="Column2061"/>
    <tableColumn id="2068" xr3:uid="{133F0B61-F303-4730-9F91-EB5DC926C66B}" name="Column2062"/>
    <tableColumn id="2069" xr3:uid="{FA53CC7D-1970-4285-9F80-CDC5091D6714}" name="Column2063"/>
    <tableColumn id="2070" xr3:uid="{CB7E3B70-7EFA-4A3B-B398-361B24514D12}" name="Column2064"/>
    <tableColumn id="2071" xr3:uid="{6B69A694-60A8-4925-8CE9-A3AB96ECF965}" name="Column2065"/>
    <tableColumn id="2072" xr3:uid="{0FE9E75E-8306-4CD5-8FA0-5E774CA2F650}" name="Column2066"/>
    <tableColumn id="2073" xr3:uid="{E3500DFA-A733-4AEF-9E8A-BF3E4A86E23F}" name="Column2067"/>
    <tableColumn id="2074" xr3:uid="{23A0081A-573C-4A8B-9E04-4163BE4EC186}" name="Column2068"/>
    <tableColumn id="2075" xr3:uid="{F633C1B8-76E3-4761-BD6F-3CA87C49B624}" name="Column2069"/>
    <tableColumn id="2076" xr3:uid="{46C66A48-C6D6-40F7-8DE3-C854A38C6365}" name="Column2070"/>
    <tableColumn id="2077" xr3:uid="{294D36AC-1703-4CC5-BA29-C421BDCB9358}" name="Column2071"/>
    <tableColumn id="2078" xr3:uid="{4322F6CB-E0BA-4020-98AD-0C757909E108}" name="Column2072"/>
    <tableColumn id="2079" xr3:uid="{E7A32CBD-731B-4D90-BBFD-62CE0873620C}" name="Column2073"/>
    <tableColumn id="2080" xr3:uid="{008BD205-0C2E-426D-80E9-F4A05C331DDA}" name="Column2074"/>
    <tableColumn id="2081" xr3:uid="{D04A7F99-AC98-451D-98AB-5BCD71359192}" name="Column2075"/>
    <tableColumn id="2082" xr3:uid="{B72A1CD1-C9BC-44B0-8789-E2F2E40136B6}" name="Column2076"/>
    <tableColumn id="2083" xr3:uid="{401E3A65-4F05-4DF6-A570-61943DA4FAED}" name="Column2077"/>
    <tableColumn id="2084" xr3:uid="{E0D1F62B-7648-4C3A-9FD1-487E74878110}" name="Column2078"/>
    <tableColumn id="2085" xr3:uid="{7DD1626C-17D6-4BB7-9CA5-123ED84A1139}" name="Column2079"/>
    <tableColumn id="2086" xr3:uid="{AE8F2AE0-FD9B-49F8-A114-EE8F30EA0B3B}" name="Column2080"/>
    <tableColumn id="2087" xr3:uid="{DCA74950-0AE6-4815-86CA-CB34582AC4DA}" name="Column2081"/>
    <tableColumn id="2088" xr3:uid="{4A5CE1A7-A3B4-4A91-B30F-1EC3B9241BF4}" name="Column2082"/>
    <tableColumn id="2089" xr3:uid="{E35DCCDB-212E-4066-983C-CF0CAE6874F5}" name="Column2083"/>
    <tableColumn id="2090" xr3:uid="{58247BE8-ACAC-4F93-AFF8-8300E709C6C1}" name="Column2084"/>
    <tableColumn id="2091" xr3:uid="{954DA5FA-5D02-46E1-AFBE-937F4651DF34}" name="Column2085"/>
    <tableColumn id="2092" xr3:uid="{ABBE2BFF-A58A-4EE6-BC58-6DF142DBEC0D}" name="Column2086"/>
    <tableColumn id="2093" xr3:uid="{63792DFD-3E55-49A4-95D6-0F0BAF8544C8}" name="Column2087"/>
    <tableColumn id="2094" xr3:uid="{E84D1E99-7CFD-496C-B61E-DDD229629CC8}" name="Column2088"/>
    <tableColumn id="2095" xr3:uid="{D26BAFBF-E66A-4C17-9B43-42E1BDE21585}" name="Column2089"/>
    <tableColumn id="2096" xr3:uid="{7DAB6ED3-CDFE-42F8-96DB-504B523C65E7}" name="Column2090"/>
    <tableColumn id="2097" xr3:uid="{A5407078-5938-4026-9142-FB2912638D8D}" name="Column2091"/>
    <tableColumn id="2098" xr3:uid="{7DADF251-CE99-4AB3-BA59-6EDE4DB3EE49}" name="Column2092"/>
    <tableColumn id="2099" xr3:uid="{F6CE0AAA-23ED-4CC6-8087-221A5EEEC086}" name="Column2093"/>
    <tableColumn id="2100" xr3:uid="{6C7B5407-AAA6-40F4-9C22-7D33DC9332E5}" name="Column2094"/>
    <tableColumn id="2101" xr3:uid="{AE4ADC01-B2B2-49A8-BB79-A10DDF5C692B}" name="Column2095"/>
    <tableColumn id="2102" xr3:uid="{C7247D18-A32B-4D28-982F-B6A95E779FB9}" name="Column2096"/>
    <tableColumn id="2103" xr3:uid="{98A81508-BA4B-4752-AB61-F33BB502E187}" name="Column2097"/>
    <tableColumn id="2104" xr3:uid="{EB74E579-12B3-4B25-A0B3-07B0EF7A1781}" name="Column2098"/>
    <tableColumn id="2105" xr3:uid="{178E771C-9880-4328-82E6-6B14667644C2}" name="Column2099"/>
    <tableColumn id="2106" xr3:uid="{E2F5A32F-C6CB-4436-93EE-EC8BBC525D66}" name="Column2100"/>
    <tableColumn id="2107" xr3:uid="{64E60A8F-BD4B-4EC9-90E2-94A88896E4C4}" name="Column2101"/>
    <tableColumn id="2108" xr3:uid="{1C0D0D10-604D-4223-AD21-E24A68638F31}" name="Column2102"/>
    <tableColumn id="2109" xr3:uid="{9B7AFC7F-88B6-4EA6-898C-1A7FA11F58A5}" name="Column2103"/>
    <tableColumn id="2110" xr3:uid="{3CFE9051-9C22-48C3-B916-C20D6DDB0672}" name="Column2104"/>
    <tableColumn id="2111" xr3:uid="{046933A9-1812-4287-8311-BA7FC7D2164E}" name="Column2105"/>
    <tableColumn id="2112" xr3:uid="{C879E4BB-A5B1-48D7-99DC-8A746661C3C9}" name="Column2106"/>
    <tableColumn id="2113" xr3:uid="{75B6A23F-E9CB-4188-B27B-1A3F07C222DB}" name="Column2107"/>
    <tableColumn id="2114" xr3:uid="{40ECDF73-2DD5-44DB-B104-1FC84F5201C7}" name="Column2108"/>
    <tableColumn id="2115" xr3:uid="{F9370326-47A3-41F5-92F9-A2CEE3BEEBEB}" name="Column2109"/>
    <tableColumn id="2116" xr3:uid="{122108F1-5E4A-4532-82A4-F0CE30E7D731}" name="Column2110"/>
    <tableColumn id="2117" xr3:uid="{F1DD6E55-0093-44DE-9F1F-A28E45EBF99F}" name="Column2111"/>
    <tableColumn id="2118" xr3:uid="{715D78BB-21CF-487E-A9F7-91C23AC9CAF6}" name="Column2112"/>
    <tableColumn id="2119" xr3:uid="{6634C60F-A3D5-430B-A852-2C001373FA05}" name="Column2113"/>
    <tableColumn id="2120" xr3:uid="{506AE7EC-638D-4566-8E4E-278CC7CC6AFB}" name="Column2114"/>
    <tableColumn id="2121" xr3:uid="{71255C44-D57A-49A5-B299-20330765E67C}" name="Column2115"/>
    <tableColumn id="2122" xr3:uid="{C405B192-CBFE-4222-B5FF-6C53284A2893}" name="Column2116"/>
    <tableColumn id="2123" xr3:uid="{DBB66451-B388-4A63-A539-EBB11551F8A4}" name="Column2117"/>
    <tableColumn id="2124" xr3:uid="{7D103D42-5F79-4934-AFDC-04A4CB069F33}" name="Column2118"/>
    <tableColumn id="2125" xr3:uid="{9EC1170B-9001-4096-899F-5940D3BEB8BC}" name="Column2119"/>
    <tableColumn id="2126" xr3:uid="{9DA8EB85-9399-48F5-ACB4-5C8CEB26095D}" name="Column2120"/>
    <tableColumn id="2127" xr3:uid="{EB7F1D78-BAA3-4C12-B6CD-6931098E6F5B}" name="Column2121"/>
    <tableColumn id="2128" xr3:uid="{4C17C2E0-785F-42EB-AC5C-7ACBF9694E24}" name="Column2122"/>
    <tableColumn id="2129" xr3:uid="{B7CB443E-C019-4EEF-A600-D76DAE284745}" name="Column2123"/>
    <tableColumn id="2130" xr3:uid="{3EEAE9BC-C210-47C5-85F8-F52A288B281F}" name="Column2124"/>
    <tableColumn id="2131" xr3:uid="{41BE75EF-E205-4EEA-8A22-A96C730FF0C7}" name="Column2125"/>
    <tableColumn id="2132" xr3:uid="{8120DDDF-0D86-4DBA-A812-0E91CE40F229}" name="Column2126"/>
    <tableColumn id="2133" xr3:uid="{0E6B80DB-992A-473F-8343-C34C36E9D69C}" name="Column2127"/>
    <tableColumn id="2134" xr3:uid="{6D411423-7740-4A71-9A3F-92C0C8A10906}" name="Column2128"/>
    <tableColumn id="2135" xr3:uid="{A9C1477E-522D-44F9-AC63-06A819D8AA24}" name="Column2129"/>
    <tableColumn id="2136" xr3:uid="{F17686DE-2A77-472C-A15B-F24D497967CA}" name="Column2130"/>
    <tableColumn id="2137" xr3:uid="{161BEBA2-83F6-45B9-A225-7B0BE0C0CBF8}" name="Column2131"/>
    <tableColumn id="2138" xr3:uid="{6862CEF6-BAEC-43B1-921A-1B983A68F6EE}" name="Column2132"/>
    <tableColumn id="2139" xr3:uid="{B418331D-8FCB-455C-81B5-36EFC56791CA}" name="Column2133"/>
    <tableColumn id="2140" xr3:uid="{66F987F4-87D0-4546-9133-80C58CC28854}" name="Column2134"/>
    <tableColumn id="2141" xr3:uid="{EDAFB26B-79D0-4CDB-9AC9-E94EF796112A}" name="Column2135"/>
    <tableColumn id="2142" xr3:uid="{A9EDBB9E-5BEE-46D2-A15F-AA75B78312E6}" name="Column2136"/>
    <tableColumn id="2143" xr3:uid="{9340E1A0-EB5F-4E57-AA5A-FEB87273EEC9}" name="Column2137"/>
    <tableColumn id="2144" xr3:uid="{2779F1A0-BFB2-4ED6-8F64-8B49815C6B07}" name="Column2138"/>
    <tableColumn id="2145" xr3:uid="{37857ADE-E52F-4F0C-9AE0-F084820D7E31}" name="Column2139"/>
    <tableColumn id="2146" xr3:uid="{136ACFCE-9AA3-4309-BAF5-56FA4DEC5F4F}" name="Column2140"/>
    <tableColumn id="2147" xr3:uid="{A595A2B5-D27A-4F0A-974E-0AEFC068E172}" name="Column2141"/>
    <tableColumn id="2148" xr3:uid="{D5994FDF-47ED-4559-8BE3-EA326F15F9D3}" name="Column2142"/>
    <tableColumn id="2149" xr3:uid="{A2435824-8851-4A36-A5D0-B3B8E926588E}" name="Column2143"/>
    <tableColumn id="2150" xr3:uid="{05A5F13B-37F3-4DE9-B2CB-9E52DB0EF1A6}" name="Column2144"/>
    <tableColumn id="2151" xr3:uid="{4966BC80-101A-473F-AD06-3A379FA2D3BC}" name="Column2145"/>
    <tableColumn id="2152" xr3:uid="{4615CA11-E490-4500-9A7E-55EBD2B5A6D1}" name="Column2146"/>
    <tableColumn id="2153" xr3:uid="{9098F93F-2C9E-45B3-A022-AE63EE6712FB}" name="Column2147"/>
    <tableColumn id="2154" xr3:uid="{2E533CD1-D9D6-4295-8938-23F3F4E4590E}" name="Column2148"/>
    <tableColumn id="2155" xr3:uid="{941478B4-FBF8-4544-8F5A-E29F81185E83}" name="Column2149"/>
    <tableColumn id="2156" xr3:uid="{925AFB1B-29EC-4209-96B2-5E17308A0484}" name="Column2150"/>
    <tableColumn id="2157" xr3:uid="{70A45B9E-1306-4189-85B4-BF7D7FF96049}" name="Column2151"/>
    <tableColumn id="2158" xr3:uid="{7E9D57A1-C9DB-46C5-9D37-1DFC033526BB}" name="Column2152"/>
    <tableColumn id="2159" xr3:uid="{46592400-1069-41CA-B594-959D1BFFA399}" name="Column2153"/>
    <tableColumn id="2160" xr3:uid="{10255CB9-127D-4C25-AA05-9E07F02D4F44}" name="Column2154"/>
    <tableColumn id="2161" xr3:uid="{1D96BB48-1CBD-4532-8960-D99C191B88A9}" name="Column2155"/>
    <tableColumn id="2162" xr3:uid="{DB54D081-E87D-49E4-B6F5-5D99D6AAC67A}" name="Column2156"/>
    <tableColumn id="2163" xr3:uid="{A712AA2D-4BAF-42B0-A3C2-3C7FC8D1EB7B}" name="Column2157"/>
    <tableColumn id="2164" xr3:uid="{1AB460F2-E943-4D0C-B6FB-6596288CF13B}" name="Column2158"/>
    <tableColumn id="2165" xr3:uid="{648C73E7-849D-49E1-9E86-90BE4A15D8FF}" name="Column2159"/>
    <tableColumn id="2166" xr3:uid="{C2EA675B-3F35-4257-AF37-53B1295C0D0E}" name="Column2160"/>
    <tableColumn id="2167" xr3:uid="{3ED8985D-EA35-47F8-840D-604BE50AD573}" name="Column2161"/>
    <tableColumn id="2168" xr3:uid="{4BD232F2-036D-4BA9-A34C-8E4F67167EBA}" name="Column2162"/>
    <tableColumn id="2169" xr3:uid="{A2DCAFFC-734F-4E32-890A-164AEE27AC0E}" name="Column2163"/>
    <tableColumn id="2170" xr3:uid="{2D76D391-E4E7-4D7C-806A-80A05B0D5AB5}" name="Column2164"/>
    <tableColumn id="2171" xr3:uid="{8BB6FC44-4D97-4762-BF2D-D0727EDC07A0}" name="Column2165"/>
    <tableColumn id="2172" xr3:uid="{31ACD56C-8AFE-47C0-81B2-5554F6A113DC}" name="Column2166"/>
    <tableColumn id="2173" xr3:uid="{33BC328F-A6DA-4F33-9719-C5B9364AB64E}" name="Column2167"/>
    <tableColumn id="2174" xr3:uid="{C67E4CE5-C896-4A85-91F4-52FB09E46CFB}" name="Column2168"/>
    <tableColumn id="2175" xr3:uid="{308F3F77-0E14-47D3-9C02-7D543EFC3D49}" name="Column2169"/>
    <tableColumn id="2176" xr3:uid="{764682DB-017F-4475-A30A-B6464044D908}" name="Column2170"/>
    <tableColumn id="2177" xr3:uid="{4C7212EE-A035-4CE8-BDB2-9267940C7EBB}" name="Column2171"/>
    <tableColumn id="2178" xr3:uid="{9265F5AD-D45E-4DE7-AB54-F3F560D1E909}" name="Column2172"/>
    <tableColumn id="2179" xr3:uid="{10F02ED9-B646-4E67-A08C-93E343C0289E}" name="Column2173"/>
    <tableColumn id="2180" xr3:uid="{68AD9127-7672-4B76-A5F1-DF2C2050545A}" name="Column2174"/>
    <tableColumn id="2181" xr3:uid="{BACEF602-F76E-4435-98BB-4FBE890E673A}" name="Column2175"/>
    <tableColumn id="2182" xr3:uid="{F78DF8CF-3161-4C83-9781-375323A1E87C}" name="Column2176"/>
    <tableColumn id="2183" xr3:uid="{78628305-348B-4933-BCF4-85976DB5A4AF}" name="Column2177"/>
    <tableColumn id="2184" xr3:uid="{172362B5-2DD2-4951-B614-D7914213DC5B}" name="Column2178"/>
    <tableColumn id="2185" xr3:uid="{3E265A2E-0094-46E5-9D68-E0E3F3429723}" name="Column2179"/>
    <tableColumn id="2186" xr3:uid="{221D451D-D417-456D-9AD3-4E06CFBA8396}" name="Column2180"/>
    <tableColumn id="2187" xr3:uid="{4AD66230-1F26-452B-8913-A536EB872BEC}" name="Column2181"/>
    <tableColumn id="2188" xr3:uid="{A373F1A7-3D6B-4F4D-8023-E667681B605C}" name="Column2182"/>
    <tableColumn id="2189" xr3:uid="{42400450-B05A-45D3-9CF5-6456C70D28B3}" name="Column2183"/>
    <tableColumn id="2190" xr3:uid="{C22AE221-C6C8-4E2F-B3AA-CB96A8445CA3}" name="Column2184"/>
    <tableColumn id="2191" xr3:uid="{B33F4622-27D0-4475-80B7-B43809B44EEA}" name="Column2185"/>
    <tableColumn id="2192" xr3:uid="{C6EA7E37-3322-4420-86E6-28E462E6C2B2}" name="Column2186"/>
    <tableColumn id="2193" xr3:uid="{3B39A04B-A516-4C38-8C2F-7406C933C6B8}" name="Column2187"/>
    <tableColumn id="2194" xr3:uid="{C09446AC-F662-4417-8B92-B03522A3A117}" name="Column2188"/>
    <tableColumn id="2195" xr3:uid="{488ADFC1-5562-47A9-B7A1-A39FC02FADF0}" name="Column2189"/>
    <tableColumn id="2196" xr3:uid="{C37467D2-3086-44C7-8A77-E28A69D093EE}" name="Column2190"/>
    <tableColumn id="2197" xr3:uid="{B9D0F703-59CE-469C-8FCF-B0D7257137E2}" name="Column2191"/>
    <tableColumn id="2198" xr3:uid="{7BBD0726-1F88-41C7-8275-F23303C76CB5}" name="Column2192"/>
    <tableColumn id="2199" xr3:uid="{D7C71C51-5FA3-4918-99A2-5D20EE5A8C94}" name="Column2193"/>
    <tableColumn id="2200" xr3:uid="{79E8AE83-D713-4D69-9058-460D0AD37DCC}" name="Column2194"/>
    <tableColumn id="2201" xr3:uid="{39CB2D3E-8875-43D2-8B18-A2823467FFBF}" name="Column2195"/>
    <tableColumn id="2202" xr3:uid="{B86956C1-6C94-4F0E-B055-6CAFB956AB8F}" name="Column2196"/>
    <tableColumn id="2203" xr3:uid="{9B134554-5CD3-4941-AFD4-5ADF7CBBC7C5}" name="Column2197"/>
    <tableColumn id="2204" xr3:uid="{64648C5C-3F7C-4809-8411-5CAB11A6BEE7}" name="Column2198"/>
    <tableColumn id="2205" xr3:uid="{AB9E62FC-EF6C-4406-893E-F44D3CD09A6B}" name="Column2199"/>
    <tableColumn id="2206" xr3:uid="{3D3DFE3F-D981-4011-9586-2F1BCE32FA0D}" name="Column2200"/>
    <tableColumn id="2207" xr3:uid="{4C8C7E13-0F05-4C1F-9F0B-3459733DB951}" name="Column2201"/>
    <tableColumn id="2208" xr3:uid="{F5B1F3F1-BCFC-44D3-988E-28537C6FD70B}" name="Column2202"/>
    <tableColumn id="2209" xr3:uid="{02AB5D4E-2E72-4D92-91B1-5CEC8B6B6F3E}" name="Column2203"/>
    <tableColumn id="2210" xr3:uid="{99FA7397-17EB-425C-8D86-7F7883EFA0DD}" name="Column2204"/>
    <tableColumn id="2211" xr3:uid="{EE92E7F8-4C51-4035-B6D6-5B32B29CA420}" name="Column2205"/>
    <tableColumn id="2212" xr3:uid="{C789CFF6-44F5-457B-BAF1-7888645165FB}" name="Column2206"/>
    <tableColumn id="2213" xr3:uid="{04705C40-A508-4F6E-981F-093DE413E5AC}" name="Column2207"/>
    <tableColumn id="2214" xr3:uid="{BD021B63-E238-4AF8-A6DC-46B03500FA39}" name="Column2208"/>
    <tableColumn id="2215" xr3:uid="{911477B3-70E8-4363-BB7A-169A9B6BDAF5}" name="Column2209"/>
    <tableColumn id="2216" xr3:uid="{33AAC437-19EC-4411-B700-FE0996E67E3D}" name="Column2210"/>
    <tableColumn id="2217" xr3:uid="{1D7F29E7-5B77-4233-8CB1-25D306076CD2}" name="Column2211"/>
    <tableColumn id="2218" xr3:uid="{0305475A-18F6-481F-AB1E-A520809D73FB}" name="Column2212"/>
    <tableColumn id="2219" xr3:uid="{F309C3B2-07E8-46BC-BE85-BF1B2897F3D6}" name="Column2213"/>
    <tableColumn id="2220" xr3:uid="{15BE6848-8625-4181-9672-7A225BD5C982}" name="Column2214"/>
    <tableColumn id="2221" xr3:uid="{9DE8612A-974C-416A-A53C-8E0724BC5E50}" name="Column2215"/>
    <tableColumn id="2222" xr3:uid="{A10847B1-0A5B-4CE3-8248-56BFC7DFE9F6}" name="Column2216"/>
    <tableColumn id="2223" xr3:uid="{DDD83A0C-28BA-4FD3-BF7B-46ADAC961031}" name="Column2217"/>
    <tableColumn id="2224" xr3:uid="{B01B1B1C-2E40-484D-B70E-A519E51A86ED}" name="Column2218"/>
    <tableColumn id="2225" xr3:uid="{16D84BCE-7C66-4F1E-AE65-677967A0052F}" name="Column2219"/>
    <tableColumn id="2226" xr3:uid="{FFE12A39-1181-4BCF-A0C7-FE2D2A306DFD}" name="Column2220"/>
    <tableColumn id="2227" xr3:uid="{1C61B5AE-421B-4733-B048-937103A348D5}" name="Column2221"/>
    <tableColumn id="2228" xr3:uid="{57C6B77E-D62E-497B-BEA2-07164F62EFDD}" name="Column2222"/>
    <tableColumn id="2229" xr3:uid="{BBEAEE68-9219-4834-ABAA-4B0295298DEC}" name="Column2223"/>
    <tableColumn id="2230" xr3:uid="{3E512B25-1083-4154-944D-4543E93A8C74}" name="Column2224"/>
    <tableColumn id="2231" xr3:uid="{8D4BF4A3-3A9C-4A06-A19B-B656A35CF389}" name="Column2225"/>
    <tableColumn id="2232" xr3:uid="{B8A22935-84F5-45D7-87D5-FED43416D2D0}" name="Column2226"/>
    <tableColumn id="2233" xr3:uid="{C8A2C728-FCEA-4A38-A886-7849C9A36D51}" name="Column2227"/>
    <tableColumn id="2234" xr3:uid="{9D497B6A-A88F-43A9-A543-195AE50878E4}" name="Column2228"/>
    <tableColumn id="2235" xr3:uid="{298C6CDF-AC7A-4A92-AC22-6C517F8D2DB5}" name="Column2229"/>
    <tableColumn id="2236" xr3:uid="{D5505501-C219-41B2-A5FA-3CBC5E31355E}" name="Column2230"/>
    <tableColumn id="2237" xr3:uid="{62389F6D-2C20-4AED-82ED-0081AB57DAF9}" name="Column2231"/>
    <tableColumn id="2238" xr3:uid="{8F7E4756-A9AB-4E27-A0CF-2EDA8933F63D}" name="Column2232"/>
    <tableColumn id="2239" xr3:uid="{5E5EE26D-127B-43F0-BFFD-92C678936595}" name="Column2233"/>
    <tableColumn id="2240" xr3:uid="{6C444FA5-9E47-4B22-A138-B8DDEF98882C}" name="Column2234"/>
    <tableColumn id="2241" xr3:uid="{9236F8A0-C4B8-48D5-BD56-D7E01EBC26B4}" name="Column2235"/>
    <tableColumn id="2242" xr3:uid="{D27B12CE-A707-4386-8353-49805E96C88D}" name="Column2236"/>
    <tableColumn id="2243" xr3:uid="{15E64D9A-39FB-4EB6-A4A2-5B25EAA60B57}" name="Column2237"/>
    <tableColumn id="2244" xr3:uid="{0C58F78F-6EF9-4121-8F97-0F5E8DAE95B9}" name="Column2238"/>
    <tableColumn id="2245" xr3:uid="{54BBAE0C-4CEC-43C3-B7B7-805FE40DCC2F}" name="Column2239"/>
    <tableColumn id="2246" xr3:uid="{5B1EF93A-B4E6-4237-B499-7E91F62DF0C5}" name="Column2240"/>
    <tableColumn id="2247" xr3:uid="{2D45E6F7-D767-4FC8-819E-77539D8AA0ED}" name="Column2241"/>
    <tableColumn id="2248" xr3:uid="{2E7DFA48-4B56-4E57-A065-2A4E773504B3}" name="Column2242"/>
    <tableColumn id="2249" xr3:uid="{F22C33B1-1379-4CF7-9418-BEB0C1293664}" name="Column2243"/>
    <tableColumn id="2250" xr3:uid="{E1442A3E-1E80-40C1-A549-58313AEA9705}" name="Column2244"/>
    <tableColumn id="2251" xr3:uid="{7633CFED-E183-4455-BF86-1A1B62B77289}" name="Column2245"/>
    <tableColumn id="2252" xr3:uid="{6E16FDDA-1EF2-4A7D-945A-806F6498DC04}" name="Column2246"/>
    <tableColumn id="2253" xr3:uid="{0B5D197C-2CB5-49DC-8CFD-E49743D9308C}" name="Column2247"/>
    <tableColumn id="2254" xr3:uid="{DBB31A36-9E52-46BB-A9D0-AA0754F03922}" name="Column2248"/>
    <tableColumn id="2255" xr3:uid="{C13E4EEE-BA69-4158-BB62-BB06D7B5B757}" name="Column2249"/>
    <tableColumn id="2256" xr3:uid="{411A1062-BC1B-4824-B34A-492326018B59}" name="Column2250"/>
    <tableColumn id="2257" xr3:uid="{18E335EC-C668-4BDF-8968-E3DBD03BD98F}" name="Column2251"/>
    <tableColumn id="2258" xr3:uid="{AA01A096-5A05-47EA-AFFB-E7F165343D41}" name="Column2252"/>
    <tableColumn id="2259" xr3:uid="{7BD0917F-C442-4283-98E1-4978701926CC}" name="Column2253"/>
    <tableColumn id="2260" xr3:uid="{D82252C0-E121-405C-933E-0A01C4C2AAB4}" name="Column2254"/>
    <tableColumn id="2261" xr3:uid="{89BF32CE-8D89-4AF3-ACF3-45A6EC974BC6}" name="Column2255"/>
    <tableColumn id="2262" xr3:uid="{5C6413B7-DC15-4956-8F11-78CA070FD2C7}" name="Column2256"/>
    <tableColumn id="2263" xr3:uid="{0A2C4C9A-ADD8-4CD3-915A-59F6376A912E}" name="Column2257"/>
    <tableColumn id="2264" xr3:uid="{A78AC18D-8836-4454-8D13-D7D8764B5A1A}" name="Column2258"/>
    <tableColumn id="2265" xr3:uid="{94423EDB-6F2E-498D-9838-8CB83F423F23}" name="Column2259"/>
    <tableColumn id="2266" xr3:uid="{06F85BF5-5470-41FA-8C30-DACA6DC535F4}" name="Column2260"/>
    <tableColumn id="2267" xr3:uid="{F3A78601-FBDE-4B33-9E31-BBE236C96350}" name="Column2261"/>
    <tableColumn id="2268" xr3:uid="{70B7C52E-5E73-4157-BB4F-CB223F84F58E}" name="Column2262"/>
    <tableColumn id="2269" xr3:uid="{B12E27C6-D151-43CE-B539-D0A58FF6207A}" name="Column2263"/>
    <tableColumn id="2270" xr3:uid="{D3ACF827-430F-4556-887B-8DA631E24218}" name="Column2264"/>
    <tableColumn id="2271" xr3:uid="{CC1A2969-9FD4-449F-92A3-4B96C3D219BF}" name="Column2265"/>
    <tableColumn id="2272" xr3:uid="{F43B20DB-9D74-4824-AE9C-B769B32FB983}" name="Column2266"/>
    <tableColumn id="2273" xr3:uid="{8F223E77-FD69-4FFE-863A-F99BDA802BAB}" name="Column2267"/>
    <tableColumn id="2274" xr3:uid="{15B3A458-15CA-4D45-ACFC-23EA4E286131}" name="Column2268"/>
    <tableColumn id="2275" xr3:uid="{892FCB19-BA48-41E4-BA40-3855EB74CE9F}" name="Column2269"/>
    <tableColumn id="2276" xr3:uid="{D6102D27-98FC-4619-B384-B2D6076B38A8}" name="Column2270"/>
    <tableColumn id="2277" xr3:uid="{6B4AEE6E-E640-4B85-A570-D5566459EF74}" name="Column2271"/>
    <tableColumn id="2278" xr3:uid="{F47441B9-3AAA-4431-A31C-FDBBC9C81010}" name="Column2272"/>
    <tableColumn id="2279" xr3:uid="{418F7A22-78D4-4ECB-B2E1-DC8485CDB3EF}" name="Column2273"/>
    <tableColumn id="2280" xr3:uid="{1E5C50A8-9488-4140-9A54-0EC539C8E870}" name="Column2274"/>
    <tableColumn id="2281" xr3:uid="{B2F77700-B2B8-4620-8D27-FEF671D74753}" name="Column2275"/>
    <tableColumn id="2282" xr3:uid="{3616311B-A2CA-46E8-A064-AD1E3E0E3AFA}" name="Column2276"/>
    <tableColumn id="2283" xr3:uid="{F13CB9DF-9565-40CD-87AC-38C3CA21DC13}" name="Column2277"/>
    <tableColumn id="2284" xr3:uid="{F45BCE16-A137-45C4-BC8F-0C9BC9088DE7}" name="Column2278"/>
    <tableColumn id="2285" xr3:uid="{0B31277A-F7AA-451E-A8C7-47A5D1B4277E}" name="Column2279"/>
    <tableColumn id="2286" xr3:uid="{CF2DCFD6-B200-4B3F-A83A-829D01031565}" name="Column2280"/>
    <tableColumn id="2287" xr3:uid="{D04C7F43-F4D8-489E-9E96-CA86627ACDF2}" name="Column2281"/>
    <tableColumn id="2288" xr3:uid="{AFAB0C6A-4FDA-4094-9FBC-011C603F13C7}" name="Column2282"/>
    <tableColumn id="2289" xr3:uid="{E9FEB891-E55C-457E-A359-A80302438B18}" name="Column2283"/>
    <tableColumn id="2290" xr3:uid="{634886CF-4E66-430C-88A5-F536E7F70EAA}" name="Column2284"/>
    <tableColumn id="2291" xr3:uid="{E5D6C446-2135-4B61-B350-4B6A3A70D523}" name="Column2285"/>
    <tableColumn id="2292" xr3:uid="{4AB1557A-8BE2-4B48-8964-309A2BEBD7B2}" name="Column2286"/>
    <tableColumn id="2293" xr3:uid="{2F7C7016-0FB9-4CE4-AD85-DAF40E910B64}" name="Column2287"/>
    <tableColumn id="2294" xr3:uid="{E330015F-0F47-4BB3-919F-E13850422D28}" name="Column2288"/>
    <tableColumn id="2295" xr3:uid="{A6B948E4-5460-444A-8898-13E1A42D3886}" name="Column2289"/>
    <tableColumn id="2296" xr3:uid="{C72121BB-30F6-442C-88C2-BED60EB6CBB2}" name="Column2290"/>
    <tableColumn id="2297" xr3:uid="{3C95949A-63D5-42D5-BD67-87FB4A5511D9}" name="Column2291"/>
    <tableColumn id="2298" xr3:uid="{29BFF183-6123-4CC8-994A-C77AA989E204}" name="Column2292"/>
    <tableColumn id="2299" xr3:uid="{47A8C884-EBA4-4C98-ADB8-498B33AFC7F0}" name="Column2293"/>
    <tableColumn id="2300" xr3:uid="{EC866EFB-93AA-4E6B-87F3-1568FAA0D62E}" name="Column2294"/>
    <tableColumn id="2301" xr3:uid="{2B4E86C4-0C3E-4EBA-B1C4-69D64DF68FB0}" name="Column2295"/>
    <tableColumn id="2302" xr3:uid="{9DDDFB8E-3EE3-42A3-99EF-5A357EF065DD}" name="Column2296"/>
    <tableColumn id="2303" xr3:uid="{DFA69AD4-9E38-4753-AA8C-66C08C438AEA}" name="Column2297"/>
    <tableColumn id="2304" xr3:uid="{F66781BB-24F5-4D9B-9AC3-29DDACD7384B}" name="Column2298"/>
    <tableColumn id="2305" xr3:uid="{56202152-AA79-45EF-8343-906DD695EBDC}" name="Column2299"/>
    <tableColumn id="2306" xr3:uid="{7658CEDC-609B-484E-9C12-C847188156E9}" name="Column2300"/>
    <tableColumn id="2307" xr3:uid="{292DD521-4B4F-40EC-8C31-080036C9EDEB}" name="Column2301"/>
    <tableColumn id="2308" xr3:uid="{734B8803-D312-4827-8B6C-8BC8AD0D280F}" name="Column2302"/>
    <tableColumn id="2309" xr3:uid="{D80DB977-E219-4A12-8719-C8941C47C455}" name="Column2303"/>
    <tableColumn id="2310" xr3:uid="{DBA523D2-0727-4BF3-997A-3F6B3783FEB9}" name="Column2304"/>
    <tableColumn id="2311" xr3:uid="{F6759CF2-0137-4167-AA15-2545E6309161}" name="Column2305"/>
    <tableColumn id="2312" xr3:uid="{629DF599-7708-46C1-9FEF-F08F712C8776}" name="Column2306"/>
    <tableColumn id="2313" xr3:uid="{8123E532-0B87-40DA-A4F3-792DDF4CA621}" name="Column2307"/>
    <tableColumn id="2314" xr3:uid="{D6FCDB7A-EB27-4175-9ABC-0285D1926A79}" name="Column2308"/>
    <tableColumn id="2315" xr3:uid="{BC3EF28D-55AA-4FF9-9901-729B9679F6E7}" name="Column2309"/>
    <tableColumn id="2316" xr3:uid="{EF9CF6EF-F9BF-413B-AAF1-5E601F77F823}" name="Column2310"/>
    <tableColumn id="2317" xr3:uid="{E359D8D5-B0E0-4405-B910-072267ED712A}" name="Column2311"/>
    <tableColumn id="2318" xr3:uid="{6649F991-A8AD-47C1-839C-94B9FBFFAF9F}" name="Column2312"/>
    <tableColumn id="2319" xr3:uid="{CC106AEB-C74C-4C44-9EEC-F0B2A2EEFDE5}" name="Column2313"/>
    <tableColumn id="2320" xr3:uid="{4B1842AA-F9FC-479F-B25E-CF0C95B0911D}" name="Column2314"/>
    <tableColumn id="2321" xr3:uid="{D28DEC44-471E-45E1-BB0B-83B5B5A9A90D}" name="Column2315"/>
    <tableColumn id="2322" xr3:uid="{2D91A1EA-BA6E-49B6-BC0C-41119A0ECEFA}" name="Column2316"/>
    <tableColumn id="2323" xr3:uid="{0D55EDEF-AB91-4D3B-BE4A-B87CA2949734}" name="Column2317"/>
    <tableColumn id="2324" xr3:uid="{E9FFB8D7-5EC5-415D-9FAE-6D2F3748652D}" name="Column2318"/>
    <tableColumn id="2325" xr3:uid="{E5135471-191B-406C-8DE6-B1030660B5AB}" name="Column2319"/>
    <tableColumn id="2326" xr3:uid="{DE681FAC-3ED1-4956-AFE4-F938FEC116F6}" name="Column2320"/>
    <tableColumn id="2327" xr3:uid="{660D3089-2A40-41CD-BDD4-0A2C2BE4E296}" name="Column2321"/>
    <tableColumn id="2328" xr3:uid="{2DF5225B-164B-4C95-87DB-AD85277046C8}" name="Column2322"/>
    <tableColumn id="2329" xr3:uid="{40F2B5E5-9A7C-432F-8A0C-BE506BB2976D}" name="Column2323"/>
    <tableColumn id="2330" xr3:uid="{8DE7771B-BCB9-48D3-A7EB-3BA46B4FFF80}" name="Column2324"/>
    <tableColumn id="2331" xr3:uid="{EF06206A-8209-445C-98C7-09752FDE40C2}" name="Column2325"/>
    <tableColumn id="2332" xr3:uid="{15BD0035-6ED1-414A-9E45-800B1046E9C5}" name="Column2326"/>
    <tableColumn id="2333" xr3:uid="{B7C639E6-114A-47AC-B4CB-AA361B73356F}" name="Column2327"/>
    <tableColumn id="2334" xr3:uid="{7840B50E-B0E9-47A1-817F-C10A3EF2B970}" name="Column2328"/>
    <tableColumn id="2335" xr3:uid="{78F75BF0-2E11-412B-96DA-CAAFE98CA1E9}" name="Column2329"/>
    <tableColumn id="2336" xr3:uid="{CE51BB67-3986-475D-A8CF-1D807C5C343D}" name="Column2330"/>
    <tableColumn id="2337" xr3:uid="{03FEA878-C054-46AC-8780-EAB2AFD9BFFC}" name="Column2331"/>
    <tableColumn id="2338" xr3:uid="{4E73C6D7-1D36-4F25-A8B8-CC441D582C33}" name="Column2332"/>
    <tableColumn id="2339" xr3:uid="{7F7FA712-CF83-4328-837F-2141AD3E4B24}" name="Column2333"/>
    <tableColumn id="2340" xr3:uid="{F29C4911-B00D-4B70-B1F7-5BF345183BCF}" name="Column2334"/>
    <tableColumn id="2341" xr3:uid="{A1128132-ADD1-4715-A985-A3643DA312C1}" name="Column2335"/>
    <tableColumn id="2342" xr3:uid="{128A3D44-5192-4A1B-BD2B-3FC59C8BDC82}" name="Column2336"/>
    <tableColumn id="2343" xr3:uid="{BFE644CC-214A-4655-8173-92D224921516}" name="Column2337"/>
    <tableColumn id="2344" xr3:uid="{41C2DAA6-718A-4E59-8122-688B6DDBCC2B}" name="Column2338"/>
    <tableColumn id="2345" xr3:uid="{52760485-E46F-44D7-BC13-9E3788C53611}" name="Column2339"/>
    <tableColumn id="2346" xr3:uid="{452C59C5-C335-4E29-AC93-A408B77576B5}" name="Column2340"/>
    <tableColumn id="2347" xr3:uid="{C176C468-F885-4374-B0DF-A2F0E5675815}" name="Column2341"/>
    <tableColumn id="2348" xr3:uid="{52D2C189-B4CD-4521-B968-D3F1E0128527}" name="Column2342"/>
    <tableColumn id="2349" xr3:uid="{3109BC85-A2F4-479B-B0DC-BEC0C69846FF}" name="Column2343"/>
    <tableColumn id="2350" xr3:uid="{76A27A94-8902-489C-AE0C-CC1A2BB88ACD}" name="Column2344"/>
    <tableColumn id="2351" xr3:uid="{4AA8F326-333A-4A5D-8E4D-2364017649E6}" name="Column2345"/>
    <tableColumn id="2352" xr3:uid="{6A01C81C-1330-4CEF-A010-3D0A4C0EEDA5}" name="Column2346"/>
    <tableColumn id="2353" xr3:uid="{36658517-48D3-469A-9C0F-A2CFF80BEA20}" name="Column2347"/>
    <tableColumn id="2354" xr3:uid="{D137EA23-4228-4781-8F50-3FBB8225DE49}" name="Column2348"/>
    <tableColumn id="2355" xr3:uid="{A55FC6EB-599F-4792-BD68-5ABD971FBFEF}" name="Column2349"/>
    <tableColumn id="2356" xr3:uid="{9EDAC03A-1051-455E-B109-483B2DC9723A}" name="Column2350"/>
    <tableColumn id="2357" xr3:uid="{E8589490-C602-42D5-AD14-DE9130464E43}" name="Column2351"/>
    <tableColumn id="2358" xr3:uid="{E34BE580-2433-46AB-8BDF-FF6C8174DD5E}" name="Column2352"/>
    <tableColumn id="2359" xr3:uid="{D751E881-B93D-4D5B-94A1-9E3073F880C1}" name="Column2353"/>
    <tableColumn id="2360" xr3:uid="{6A509951-883E-4888-92A1-ABA41A49C283}" name="Column2354"/>
    <tableColumn id="2361" xr3:uid="{0FCCA8EE-5A25-49C2-8CB4-BD2B4C7363A6}" name="Column2355"/>
    <tableColumn id="2362" xr3:uid="{8846671D-400B-4039-BA44-98A9D1E6D509}" name="Column2356"/>
    <tableColumn id="2363" xr3:uid="{B3166095-6908-42DD-BA18-54F2EF89C105}" name="Column2357"/>
    <tableColumn id="2364" xr3:uid="{603350A6-EF1E-4A6B-9B89-D1826FD0748C}" name="Column2358"/>
    <tableColumn id="2365" xr3:uid="{90A86D71-374C-4ADA-9CDC-C8D5065D1F20}" name="Column2359"/>
    <tableColumn id="2366" xr3:uid="{91B928CC-B8BA-4228-9B2B-C308A02659E8}" name="Column2360"/>
    <tableColumn id="2367" xr3:uid="{E015D4A7-F54B-4E23-B33E-09220F06B25F}" name="Column2361"/>
    <tableColumn id="2368" xr3:uid="{D60092D6-77AE-4D6A-882C-DB9533C6E48D}" name="Column2362"/>
    <tableColumn id="2369" xr3:uid="{EEFDEA11-749A-44E3-99EF-B6F15B3EF507}" name="Column2363"/>
    <tableColumn id="2370" xr3:uid="{4E24870F-74F9-4094-843F-FF8638E7B3B8}" name="Column2364"/>
    <tableColumn id="2371" xr3:uid="{D9716568-ABD9-43C6-B91E-FBDAC6E5805E}" name="Column2365"/>
    <tableColumn id="2372" xr3:uid="{A4B60EEB-F2C2-4110-A213-EEE561539B8E}" name="Column2366"/>
    <tableColumn id="2373" xr3:uid="{40C210E6-F0F2-4531-8457-66493FD07112}" name="Column2367"/>
    <tableColumn id="2374" xr3:uid="{4B2965E4-4AF6-47E9-885D-5938304FCBF0}" name="Column2368"/>
    <tableColumn id="2375" xr3:uid="{19981FE3-D18E-4AAB-8089-725118AB8D8C}" name="Column2369"/>
    <tableColumn id="2376" xr3:uid="{5D1C34EF-8DC4-49BE-A73D-EC3F46FCABFC}" name="Column2370"/>
    <tableColumn id="2377" xr3:uid="{072819BB-832D-405C-88AA-9821D53638FF}" name="Column2371"/>
    <tableColumn id="2378" xr3:uid="{EED7F42F-20DF-48F0-8EF3-28AFE7D96BA3}" name="Column2372"/>
    <tableColumn id="2379" xr3:uid="{43514C05-8F8E-4248-8E23-209C36F4121B}" name="Column2373"/>
    <tableColumn id="2380" xr3:uid="{BDFBB496-65AD-431C-BF99-4C075DE0DB45}" name="Column2374"/>
    <tableColumn id="2381" xr3:uid="{154B0A36-ABC1-40C0-9505-E603214B7EC7}" name="Column2375"/>
    <tableColumn id="2382" xr3:uid="{8F8331AF-29B9-47C4-B9BC-F4D02850B665}" name="Column2376"/>
    <tableColumn id="2383" xr3:uid="{C7C2A887-381E-4890-A208-A0658BA23D4D}" name="Column2377"/>
    <tableColumn id="2384" xr3:uid="{52AA99C2-086A-4D39-8CDF-FA167B409CF2}" name="Column2378"/>
    <tableColumn id="2385" xr3:uid="{2E5F08B1-9D0F-42DB-8F74-1E8C1F571456}" name="Column2379"/>
    <tableColumn id="2386" xr3:uid="{611E53E5-98B3-489F-B2CE-23F375DF5616}" name="Column2380"/>
    <tableColumn id="2387" xr3:uid="{58167E2C-DCDF-426F-B39F-1EDA4348E03A}" name="Column2381"/>
    <tableColumn id="2388" xr3:uid="{EC64921D-3CB3-4100-8133-95CA8C975F15}" name="Column2382"/>
    <tableColumn id="2389" xr3:uid="{FB9368EB-41B1-4766-8B8D-EC078B3B5E82}" name="Column2383"/>
    <tableColumn id="2390" xr3:uid="{B8F3CF3A-CA66-4C2E-AB8A-0D5134110DA8}" name="Column2384"/>
    <tableColumn id="2391" xr3:uid="{C14322F6-4A9B-4192-A9B5-12A6A77562CF}" name="Column2385"/>
    <tableColumn id="2392" xr3:uid="{ABCCB6EC-EEDC-460D-BBC3-DF2860B793E3}" name="Column2386"/>
    <tableColumn id="2393" xr3:uid="{B06EE5F9-3908-4C4C-B8AB-DE553256F7DB}" name="Column2387"/>
    <tableColumn id="2394" xr3:uid="{09DDB13A-1E9F-4A31-A4D8-B7B1098BA867}" name="Column2388"/>
    <tableColumn id="2395" xr3:uid="{6A88F8C0-273D-4DAA-869E-45180A7C1D5C}" name="Column2389"/>
    <tableColumn id="2396" xr3:uid="{1DB7B496-1663-4D17-95F7-F8BF69DE1F69}" name="Column2390"/>
    <tableColumn id="2397" xr3:uid="{177170AE-AF70-4F3C-863C-77CBCD4FB0C0}" name="Column2391"/>
    <tableColumn id="2398" xr3:uid="{308C2E52-2DC2-410F-AB26-DADC6AE37328}" name="Column2392"/>
    <tableColumn id="2399" xr3:uid="{B50CB793-8FD0-4198-B613-365B75E05F4E}" name="Column2393"/>
    <tableColumn id="2400" xr3:uid="{C5A86E4E-6231-4CC8-BF8B-58AB07FDC459}" name="Column2394"/>
    <tableColumn id="2401" xr3:uid="{4D6F7BBF-4033-4611-AD13-E12D61FE8579}" name="Column2395"/>
    <tableColumn id="2402" xr3:uid="{F7B25F26-2681-4323-BD01-9E8C043697C8}" name="Column2396"/>
    <tableColumn id="2403" xr3:uid="{108EB791-1897-459C-9169-CFC2EB0E88E5}" name="Column2397"/>
    <tableColumn id="2404" xr3:uid="{3E9BDB85-BD11-4812-8C48-10C3B68CA941}" name="Column2398"/>
    <tableColumn id="2405" xr3:uid="{907C5169-80AC-4A83-B88D-438EC4794DD8}" name="Column2399"/>
    <tableColumn id="2406" xr3:uid="{2656B5CA-E2A3-4126-9AE5-EF0C65C9430E}" name="Column2400"/>
    <tableColumn id="2407" xr3:uid="{B0786E51-EC3A-4359-98BF-898F16706370}" name="Column2401"/>
    <tableColumn id="2408" xr3:uid="{939A131D-B4AC-4F67-ACBF-1B593474CEC4}" name="Column2402"/>
    <tableColumn id="2409" xr3:uid="{B582DC69-E6D9-46B3-B569-8D4A9DD100F9}" name="Column2403"/>
    <tableColumn id="2410" xr3:uid="{8D9C3161-92B8-47CA-B930-BD6633E643C4}" name="Column2404"/>
    <tableColumn id="2411" xr3:uid="{2541F1F6-E3F6-453F-B870-97728B122B7F}" name="Column2405"/>
    <tableColumn id="2412" xr3:uid="{CA4CE446-6AB4-422B-8638-F3A93D080E87}" name="Column2406"/>
    <tableColumn id="2413" xr3:uid="{3B8557FE-23FD-4758-8F8E-D9E5E5E06ED0}" name="Column2407"/>
    <tableColumn id="2414" xr3:uid="{14B5BBA5-BD88-497A-B477-31022AF108DF}" name="Column2408"/>
    <tableColumn id="2415" xr3:uid="{3FAD1756-B4DC-4024-B311-243B0DA87645}" name="Column2409"/>
    <tableColumn id="2416" xr3:uid="{330809C2-D095-4D56-8C04-8159DBB71D89}" name="Column2410"/>
    <tableColumn id="2417" xr3:uid="{DC4CB586-EAA2-48BE-8108-AABAD902CCB1}" name="Column2411"/>
    <tableColumn id="2418" xr3:uid="{DB22A9B9-1F42-48FC-B4D8-27BEBA8916C9}" name="Column2412"/>
    <tableColumn id="2419" xr3:uid="{5E679B6A-FF8A-4328-8E3D-8285469037C4}" name="Column2413"/>
    <tableColumn id="2420" xr3:uid="{9B273536-253B-43E5-BD69-B92F862CAAB5}" name="Column2414"/>
    <tableColumn id="2421" xr3:uid="{7F95450F-B2A9-447B-8A0D-39BCF0D6F0AC}" name="Column2415"/>
    <tableColumn id="2422" xr3:uid="{98C482AE-A02F-4ED4-8F2D-02D28F7BC0E3}" name="Column2416"/>
    <tableColumn id="2423" xr3:uid="{F81DBA02-0D01-4BCD-A4E3-1DB4A7DFEE3C}" name="Column2417"/>
    <tableColumn id="2424" xr3:uid="{6E7B77B7-8876-4D34-BC57-8F22C7984B40}" name="Column2418"/>
    <tableColumn id="2425" xr3:uid="{D0C4506A-A094-4D07-BECF-300638170FCC}" name="Column2419"/>
    <tableColumn id="2426" xr3:uid="{2CC26E3D-755E-4C50-AAC1-82FC4A52EC9C}" name="Column2420"/>
    <tableColumn id="2427" xr3:uid="{F6A9984F-5638-42E2-B29E-783979278E0D}" name="Column2421"/>
    <tableColumn id="2428" xr3:uid="{D5B0FEBC-D8BC-4FE1-B75B-32FF7A29C4AF}" name="Column2422"/>
    <tableColumn id="2429" xr3:uid="{E008E25A-69F4-43A3-BD04-A87C2BF1DFCF}" name="Column2423"/>
    <tableColumn id="2430" xr3:uid="{899559C3-B3EC-41B2-B511-5BBEBD807B0C}" name="Column2424"/>
    <tableColumn id="2431" xr3:uid="{B9FF43CC-112D-43E8-931B-B544D73FBAA0}" name="Column2425"/>
    <tableColumn id="2432" xr3:uid="{3513630C-B584-4B5D-93F6-AD844110D379}" name="Column2426"/>
    <tableColumn id="2433" xr3:uid="{A7C709BE-9873-47D6-8A5A-1FC29740BDE4}" name="Column2427"/>
    <tableColumn id="2434" xr3:uid="{72795303-208C-425F-B006-A02DCF178D4C}" name="Column2428"/>
    <tableColumn id="2435" xr3:uid="{453F20E6-1105-40CB-BE17-7122C250A87A}" name="Column2429"/>
    <tableColumn id="2436" xr3:uid="{E7CD05C5-C2AF-47F8-BFBB-A7CFAD836716}" name="Column2430"/>
    <tableColumn id="2437" xr3:uid="{76A92570-6C0A-421D-AB28-601594A36124}" name="Column2431"/>
    <tableColumn id="2438" xr3:uid="{F9C19CF6-20B2-446F-93A8-D6B7FA1C6639}" name="Column2432"/>
    <tableColumn id="2439" xr3:uid="{F49EE22F-E720-44D0-AC7D-48FA05B52E7E}" name="Column2433"/>
    <tableColumn id="2440" xr3:uid="{93069950-DACE-4B98-870E-DA71826085AA}" name="Column2434"/>
    <tableColumn id="2441" xr3:uid="{AD982185-CB84-4F50-8623-858349474265}" name="Column2435"/>
    <tableColumn id="2442" xr3:uid="{E45B4F75-C698-4EB0-87E8-67DF9A87DB45}" name="Column2436"/>
    <tableColumn id="2443" xr3:uid="{66A1A25B-5D5C-45AF-8070-C49ABFBC709B}" name="Column2437"/>
    <tableColumn id="2444" xr3:uid="{926D6F99-F497-4428-B487-68A7D39E985D}" name="Column2438"/>
    <tableColumn id="2445" xr3:uid="{02C0C66F-DB55-451C-B0AA-30EBB0C16995}" name="Column2439"/>
    <tableColumn id="2446" xr3:uid="{73BA8C77-003F-41B0-8359-EE9FB85739A3}" name="Column2440"/>
    <tableColumn id="2447" xr3:uid="{49FA78DD-40E0-4F31-9266-2FCAA1AF1695}" name="Column2441"/>
    <tableColumn id="2448" xr3:uid="{8871707E-07EF-432C-9F34-875FDAB30114}" name="Column2442"/>
    <tableColumn id="2449" xr3:uid="{6AA41099-C537-4610-B3B6-D94FD0DB47A6}" name="Column2443"/>
    <tableColumn id="2450" xr3:uid="{01787F4D-B9D4-4B8A-BBE6-37B838A3FAE6}" name="Column2444"/>
    <tableColumn id="2451" xr3:uid="{0EB8127C-6797-4DBC-8D16-D467F6942512}" name="Column2445"/>
    <tableColumn id="2452" xr3:uid="{5A8834DE-9113-4808-AAD9-65325231A918}" name="Column2446"/>
    <tableColumn id="2453" xr3:uid="{F4C2DA22-495D-4BA9-874F-90E21D46A4D0}" name="Column2447"/>
    <tableColumn id="2454" xr3:uid="{23406CDB-E737-4133-9FB0-C77919D84203}" name="Column2448"/>
    <tableColumn id="2455" xr3:uid="{E3E2C778-0B08-4EF5-B4BB-2106BF332B86}" name="Column2449"/>
    <tableColumn id="2456" xr3:uid="{05A899DD-1537-4CC0-BB59-22E1C87043FF}" name="Column2450"/>
    <tableColumn id="2457" xr3:uid="{0E1AD533-8B99-4E5D-BA44-4E30AD278754}" name="Column2451"/>
    <tableColumn id="2458" xr3:uid="{EDD8D91A-C0CF-453B-9429-690A4FF81484}" name="Column2452"/>
    <tableColumn id="2459" xr3:uid="{B4559F33-BC69-4B62-98F1-B6C5A44E73A4}" name="Column2453"/>
    <tableColumn id="2460" xr3:uid="{22858ABB-CF89-40AF-9D9A-3B277B529BCB}" name="Column2454"/>
    <tableColumn id="2461" xr3:uid="{DEE1BB58-0F65-4D9C-B4B8-D1F4128C2051}" name="Column2455"/>
    <tableColumn id="2462" xr3:uid="{EF0FCBED-406B-471B-871E-B603D7FA44BF}" name="Column2456"/>
    <tableColumn id="2463" xr3:uid="{ECE09639-340B-4892-9B3A-9C46D1358E36}" name="Column2457"/>
    <tableColumn id="2464" xr3:uid="{B9D21950-FD40-4C1B-935A-B7A9AA726040}" name="Column2458"/>
    <tableColumn id="2465" xr3:uid="{272E64F7-8F0A-4922-B86A-97BCC42C1DE1}" name="Column2459"/>
    <tableColumn id="2466" xr3:uid="{C25857A1-73A1-4B9C-AB78-D2E5DB0C73BA}" name="Column2460"/>
    <tableColumn id="2467" xr3:uid="{C3F540AF-49D4-45DB-A6E4-6EE81D86B476}" name="Column2461"/>
    <tableColumn id="2468" xr3:uid="{7C27EA5C-5783-4473-86D7-D61AACA1662F}" name="Column2462"/>
    <tableColumn id="2469" xr3:uid="{85F01F03-3188-4534-875B-A6539E67B3FB}" name="Column2463"/>
    <tableColumn id="2470" xr3:uid="{B402B585-FD73-4CB5-84D0-2AA611BD0C45}" name="Column2464"/>
    <tableColumn id="2471" xr3:uid="{C47805C5-4033-4230-8C91-CA32E7EF5BC0}" name="Column2465"/>
    <tableColumn id="2472" xr3:uid="{AF1EA5D3-8B43-4E6C-8DBB-766700500556}" name="Column2466"/>
    <tableColumn id="2473" xr3:uid="{22228288-5DE4-4440-A635-24F44CF4315A}" name="Column2467"/>
    <tableColumn id="2474" xr3:uid="{D89777DD-7C05-4CE2-A25E-4631F0797DFE}" name="Column2468"/>
    <tableColumn id="2475" xr3:uid="{07C5B573-8CFF-45C4-A9F8-578BF882F49A}" name="Column2469"/>
    <tableColumn id="2476" xr3:uid="{731FDBBE-0A6D-4975-8DE0-EFE1AAD24A3E}" name="Column2470"/>
    <tableColumn id="2477" xr3:uid="{9A882755-ACC1-4FD7-A895-DA2A5C648BED}" name="Column2471"/>
    <tableColumn id="2478" xr3:uid="{5065300C-31AD-4A2D-ACF1-8A58276FA456}" name="Column2472"/>
    <tableColumn id="2479" xr3:uid="{E1D93B49-DC9D-4045-916B-A315FD72AB97}" name="Column2473"/>
    <tableColumn id="2480" xr3:uid="{78C2B457-4C89-480B-BC96-5F463FA1DE47}" name="Column2474"/>
    <tableColumn id="2481" xr3:uid="{2AC9C8D0-C1BB-42B2-8D91-84CDEF86E26C}" name="Column2475"/>
    <tableColumn id="2482" xr3:uid="{BDF24366-FB4F-462A-A858-3128DB54AE37}" name="Column2476"/>
    <tableColumn id="2483" xr3:uid="{5CC5DC3F-D8FC-4F39-BDC5-006E1D5DF184}" name="Column2477"/>
    <tableColumn id="2484" xr3:uid="{C5120A3E-2C35-4EAD-8C28-287F0956D34A}" name="Column2478"/>
    <tableColumn id="2485" xr3:uid="{6462F5E9-FD82-4F17-9FF1-6AE807B03D4E}" name="Column2479"/>
    <tableColumn id="2486" xr3:uid="{DDBE795B-850F-47CF-A11D-9BF3D295E2B4}" name="Column2480"/>
    <tableColumn id="2487" xr3:uid="{5CF20DF6-4889-4F91-A3E5-D08755CF4ADF}" name="Column2481"/>
    <tableColumn id="2488" xr3:uid="{E763C79B-E01A-4715-AC44-A8B25A910446}" name="Column2482"/>
    <tableColumn id="2489" xr3:uid="{354F2E36-74D5-48E7-B655-2DA4C27A1DE1}" name="Column2483"/>
    <tableColumn id="2490" xr3:uid="{DA43F642-2C33-43F3-B797-3D0233D68145}" name="Column2484"/>
    <tableColumn id="2491" xr3:uid="{F4C8BEDA-8F21-4EAA-9A88-7096B5982076}" name="Column2485"/>
    <tableColumn id="2492" xr3:uid="{910D9D20-0EFA-433C-8FF6-C567B89C739B}" name="Column2486"/>
    <tableColumn id="2493" xr3:uid="{F3450FFD-145D-4463-B4E8-43DAB1E63934}" name="Column2487"/>
    <tableColumn id="2494" xr3:uid="{B7DDB304-5792-450F-82CF-9D7396EF7E82}" name="Column2488"/>
    <tableColumn id="2495" xr3:uid="{FAE734AB-0B16-4839-A868-1CAF14CFCB22}" name="Column2489"/>
    <tableColumn id="2496" xr3:uid="{C7718B9D-8EB1-4963-AB92-5DEA70FDD4FA}" name="Column2490"/>
    <tableColumn id="2497" xr3:uid="{B84D77CE-57C0-414B-8CE8-D797925083C0}" name="Column2491"/>
    <tableColumn id="2498" xr3:uid="{CAB509E9-6831-47B9-86B6-9CBAD69CDBB3}" name="Column2492"/>
    <tableColumn id="2499" xr3:uid="{D6275EAA-1C7E-44CD-9410-5E72B16B7CC9}" name="Column2493"/>
    <tableColumn id="2500" xr3:uid="{B19A63A2-B48F-4D41-9187-9538EA9A7401}" name="Column2494"/>
    <tableColumn id="2501" xr3:uid="{0754A60C-47D2-4AFB-AF80-F6F5BCF9F257}" name="Column2495"/>
    <tableColumn id="2502" xr3:uid="{00AB5F5E-205D-46E3-A5A2-8B74574C3D78}" name="Column2496"/>
    <tableColumn id="2503" xr3:uid="{997A96D0-7B9E-4E6A-A83B-EEBA32C1319B}" name="Column2497"/>
    <tableColumn id="2504" xr3:uid="{9FD717C4-0F45-4FFD-84D5-091AC6EB7F19}" name="Column2498"/>
    <tableColumn id="2505" xr3:uid="{CF2D8F91-F982-4304-ACB5-825CED6E0DF6}" name="Column2499"/>
    <tableColumn id="2506" xr3:uid="{F8EA87A2-CF9E-4AAA-8FEC-8893A8EA3362}" name="Column2500"/>
    <tableColumn id="2507" xr3:uid="{910E8378-9ED0-4AB2-8633-5597242C26EF}" name="Column2501"/>
    <tableColumn id="2508" xr3:uid="{CCC3A232-9C08-466F-B24D-93AFF99A40DA}" name="Column2502"/>
    <tableColumn id="2509" xr3:uid="{2B240F0F-B5CD-4637-92C5-8221C7562863}" name="Column2503"/>
    <tableColumn id="2510" xr3:uid="{87B2843E-0F1A-4055-989C-CBBCBE8D0197}" name="Column2504"/>
    <tableColumn id="2511" xr3:uid="{9C73E266-94EC-4E4A-B223-A4A3E4E05987}" name="Column2505"/>
    <tableColumn id="2512" xr3:uid="{504213A8-9502-4E75-93E3-C99D7AA43669}" name="Column2506"/>
    <tableColumn id="2513" xr3:uid="{870CF429-735B-4F93-A4C7-4518567B6B5D}" name="Column2507"/>
    <tableColumn id="2514" xr3:uid="{5B965ECA-19FF-4FB7-92BD-49D8F421281D}" name="Column2508"/>
    <tableColumn id="2515" xr3:uid="{5723CF39-B6FF-4EB6-8E98-3860572DC9AE}" name="Column2509"/>
    <tableColumn id="2516" xr3:uid="{7BEBA94B-3BF3-49D3-8335-2580F6016CAA}" name="Column2510"/>
    <tableColumn id="2517" xr3:uid="{E08F4392-67A6-4606-A2BD-1F89B6EA85DC}" name="Column2511"/>
    <tableColumn id="2518" xr3:uid="{E85065B6-14A9-42C7-80B2-9494847AF0D6}" name="Column2512"/>
    <tableColumn id="2519" xr3:uid="{34F5E04C-DAAA-4D18-88EF-BAEE5C6CBC0F}" name="Column2513"/>
    <tableColumn id="2520" xr3:uid="{7581A5B6-AF46-4229-AFE4-6E9FC01B3DDF}" name="Column2514"/>
    <tableColumn id="2521" xr3:uid="{B650D993-005A-4C30-9561-D5B7D41919F3}" name="Column2515"/>
    <tableColumn id="2522" xr3:uid="{F546D386-66FE-41E2-8046-B0B91EB160F6}" name="Column2516"/>
    <tableColumn id="2523" xr3:uid="{26FBB5F4-0D12-4CB3-A509-60C0403BE793}" name="Column2517"/>
    <tableColumn id="2524" xr3:uid="{C0996362-CB4B-4E1B-8846-8384E42941EF}" name="Column2518"/>
    <tableColumn id="2525" xr3:uid="{90F12E14-74FC-44CE-B557-0E513606CB6E}" name="Column2519"/>
    <tableColumn id="2526" xr3:uid="{0118DD72-489F-4B92-B836-7C8EBE20A5DC}" name="Column2520"/>
    <tableColumn id="2527" xr3:uid="{EBA0D328-03FF-4616-BAA7-6495E6387251}" name="Column2521"/>
    <tableColumn id="2528" xr3:uid="{F3D003F1-2816-4FF2-8DC8-809682778927}" name="Column2522"/>
    <tableColumn id="2529" xr3:uid="{B396EDF3-9EC4-49F1-A93C-CC3639687856}" name="Column2523"/>
    <tableColumn id="2530" xr3:uid="{57565DC3-302F-4355-8009-76F0BCE3A921}" name="Column2524"/>
    <tableColumn id="2531" xr3:uid="{38337950-3D2A-47A3-BAC0-131C3D51918D}" name="Column2525"/>
    <tableColumn id="2532" xr3:uid="{0D945EC1-985C-4DB4-81E0-860811B51C1E}" name="Column2526"/>
    <tableColumn id="2533" xr3:uid="{8E006913-A79D-495D-A442-69DD81C9FFE1}" name="Column2527"/>
    <tableColumn id="2534" xr3:uid="{26D3FE4D-0687-46EA-860E-07345B442AB6}" name="Column2528"/>
    <tableColumn id="2535" xr3:uid="{D573FEEE-7D8D-40BF-95DF-74C1E1EA14B8}" name="Column2529"/>
    <tableColumn id="2536" xr3:uid="{EB6BCA17-6313-430D-A900-33BD67679112}" name="Column2530"/>
    <tableColumn id="2537" xr3:uid="{AAF64307-18FF-4624-A18D-042AA038EC5B}" name="Column2531"/>
    <tableColumn id="2538" xr3:uid="{E4D07F15-BD8E-42D7-9B12-C02FC153A7A8}" name="Column2532"/>
    <tableColumn id="2539" xr3:uid="{21551622-10A9-436C-A33A-372E44566D70}" name="Column2533"/>
    <tableColumn id="2540" xr3:uid="{A3EB5F5B-759C-4C53-BFAB-AC3CFD72A0F7}" name="Column2534"/>
    <tableColumn id="2541" xr3:uid="{FC66A5D5-A387-4BAE-80FB-F60F82EE125E}" name="Column2535"/>
    <tableColumn id="2542" xr3:uid="{4A44BBA6-03E8-4D6C-8ED4-F0D80A24F65E}" name="Column2536"/>
    <tableColumn id="2543" xr3:uid="{8A49189E-B8FE-4AA8-B7A9-3E76C14F304A}" name="Column2537"/>
    <tableColumn id="2544" xr3:uid="{DFBAFD3D-F8C4-44E7-86F0-52CB09135381}" name="Column2538"/>
    <tableColumn id="2545" xr3:uid="{81F2AED5-3E88-46EF-8E74-406D8028B400}" name="Column2539"/>
    <tableColumn id="2546" xr3:uid="{D1353366-0EA0-4C87-8852-942460BA6892}" name="Column2540"/>
    <tableColumn id="2547" xr3:uid="{0B5C8987-1C25-4DCE-B1FF-D46715A5B0B8}" name="Column2541"/>
    <tableColumn id="2548" xr3:uid="{C6AC6BD8-340F-471B-B41B-F75EBB05E8A6}" name="Column2542"/>
    <tableColumn id="2549" xr3:uid="{65C80309-3EC4-43CF-978C-2B169AABFF57}" name="Column2543"/>
    <tableColumn id="2550" xr3:uid="{8FD4B5C7-1E3C-4374-82A7-C1E32040ADD9}" name="Column2544"/>
    <tableColumn id="2551" xr3:uid="{FC10CA09-C4F9-47D6-83FB-AF0A1257FA2C}" name="Column2545"/>
    <tableColumn id="2552" xr3:uid="{D20DC092-25BC-43B4-ABE7-E6FFAE7C1090}" name="Column2546"/>
    <tableColumn id="2553" xr3:uid="{524A059F-1A81-43CE-91F6-1AE923A2A4AC}" name="Column2547"/>
    <tableColumn id="2554" xr3:uid="{1C6E6A1D-9FAF-416B-A572-5C5AADA38669}" name="Column2548"/>
    <tableColumn id="2555" xr3:uid="{A0D2E4E6-1E2D-4FDC-8B35-3DDCAAD856F5}" name="Column2549"/>
    <tableColumn id="2556" xr3:uid="{C8D11006-55BF-47EA-A257-193CB6A061C3}" name="Column2550"/>
    <tableColumn id="2557" xr3:uid="{E87F569A-455C-48E3-843F-1143B31EC763}" name="Column2551"/>
    <tableColumn id="2558" xr3:uid="{96319CF0-C4CA-4D97-8FF6-13468E0F2BAD}" name="Column2552"/>
    <tableColumn id="2559" xr3:uid="{D30D1013-3DA3-4E9B-9806-72031398EDE3}" name="Column2553"/>
    <tableColumn id="2560" xr3:uid="{6C21D0F1-4EAF-4E31-83AA-EDCB54D75A8A}" name="Column2554"/>
    <tableColumn id="2561" xr3:uid="{23FF9398-99FD-4156-8866-7E8FBA5F8AED}" name="Column2555"/>
    <tableColumn id="2562" xr3:uid="{21457622-B88B-431B-AB8D-5C07303C8293}" name="Column2556"/>
    <tableColumn id="2563" xr3:uid="{A2CEC6D5-2F75-49C0-A49E-C8C43ECC4FA1}" name="Column2557"/>
    <tableColumn id="2564" xr3:uid="{61E5C038-E5D7-48B7-A0A6-3E3BE25720BC}" name="Column2558"/>
    <tableColumn id="2565" xr3:uid="{D0F6A515-F900-4587-8A93-250985DA3F22}" name="Column2559"/>
    <tableColumn id="2566" xr3:uid="{8266FE36-2DEA-4BA2-B85B-0AEF61B38EC1}" name="Column2560"/>
    <tableColumn id="2567" xr3:uid="{AAB04755-E540-4ECD-BD8C-7702D2B49A44}" name="Column2561"/>
    <tableColumn id="2568" xr3:uid="{31A9D1C6-D056-41EA-B05D-C2C9D7980C4F}" name="Column2562"/>
    <tableColumn id="2569" xr3:uid="{EC5D3DEB-2E6E-42D0-8440-7BCB7A761237}" name="Column2563"/>
    <tableColumn id="2570" xr3:uid="{30F97C06-3326-4E8C-A264-62BABD3F50CA}" name="Column2564"/>
    <tableColumn id="2571" xr3:uid="{32AAA3BC-AB6E-40E4-ADE3-36D08E97BC6B}" name="Column2565"/>
    <tableColumn id="2572" xr3:uid="{812DF3DB-5A63-476E-A8E5-74A4955A6B91}" name="Column2566"/>
    <tableColumn id="2573" xr3:uid="{0BBB2C41-934E-4772-A68C-E5523EAF04C6}" name="Column2567"/>
    <tableColumn id="2574" xr3:uid="{F45BD118-C4D6-4CD6-ABA4-B0D650290EDA}" name="Column2568"/>
    <tableColumn id="2575" xr3:uid="{B2D0512F-025E-4BFF-816E-97AE51A65D8A}" name="Column2569"/>
    <tableColumn id="2576" xr3:uid="{8DF1AA81-5AED-4E05-8389-E58FE9CC0FC6}" name="Column2570"/>
    <tableColumn id="2577" xr3:uid="{AA484D7F-376E-4A1E-A083-65F016C72512}" name="Column2571"/>
    <tableColumn id="2578" xr3:uid="{51953697-F6CD-4222-AF2F-D2C4A353C47E}" name="Column2572"/>
    <tableColumn id="2579" xr3:uid="{B159DB6D-E1E3-430B-A4EE-AF7002CFCC04}" name="Column2573"/>
    <tableColumn id="2580" xr3:uid="{1035C1F5-45A7-490E-97F0-5A10297E1C37}" name="Column2574"/>
    <tableColumn id="2581" xr3:uid="{72537462-D02F-44DF-B4D0-F72BA28B78AE}" name="Column2575"/>
    <tableColumn id="2582" xr3:uid="{5126620A-0FC9-4359-BD03-556EA17DDF4C}" name="Column2576"/>
    <tableColumn id="2583" xr3:uid="{7996189A-A602-41A9-AA78-BC63190E2613}" name="Column2577"/>
    <tableColumn id="2584" xr3:uid="{1A29CC90-2518-4957-9B11-F9F4DAEE18B2}" name="Column2578"/>
    <tableColumn id="2585" xr3:uid="{4FCF1327-E53E-42BC-969F-69E296B236BF}" name="Column2579"/>
    <tableColumn id="2586" xr3:uid="{2E6E3591-4CBE-4500-9F4D-198504813EB4}" name="Column2580"/>
    <tableColumn id="2587" xr3:uid="{7B4392A4-C942-471E-BD71-4F7685B8E183}" name="Column2581"/>
    <tableColumn id="2588" xr3:uid="{A9E75794-DE60-4A9A-9EAB-F5B427E09741}" name="Column2582"/>
    <tableColumn id="2589" xr3:uid="{61AD6600-6799-4122-B02F-C8F3D21AAC39}" name="Column2583"/>
    <tableColumn id="2590" xr3:uid="{8B987BA8-21D8-4B96-98AC-098366B67158}" name="Column2584"/>
    <tableColumn id="2591" xr3:uid="{0CC1ADDD-E0AC-4B32-8887-F46C8FDF9593}" name="Column2585"/>
    <tableColumn id="2592" xr3:uid="{B06C658A-6A8E-4329-869F-4496CCECD721}" name="Column2586"/>
    <tableColumn id="2593" xr3:uid="{1924E99F-A924-4B75-99F1-CAEDA5B9356D}" name="Column2587"/>
    <tableColumn id="2594" xr3:uid="{7A96FF31-2B2E-42BB-BA1A-5757F0710A6B}" name="Column2588"/>
    <tableColumn id="2595" xr3:uid="{D4C63CE4-26C6-4B08-9358-B8B3DA716C83}" name="Column2589"/>
    <tableColumn id="2596" xr3:uid="{B5BA9606-ECB9-40ED-80BC-391CF0FCAD37}" name="Column2590"/>
    <tableColumn id="2597" xr3:uid="{C0DCC86B-9A3A-42B5-BEF5-C01DEE3DBF95}" name="Column2591"/>
    <tableColumn id="2598" xr3:uid="{CFF058A9-C5DC-4BD1-8AD7-0737A50A0174}" name="Column2592"/>
    <tableColumn id="2599" xr3:uid="{9CF85671-0292-4F03-81DF-20AE73A2DC9A}" name="Column2593"/>
    <tableColumn id="2600" xr3:uid="{CB873AEE-981B-4AE1-ADAC-8F25E0077144}" name="Column2594"/>
    <tableColumn id="2601" xr3:uid="{42008BBA-5DD5-4DD9-977A-970D21450482}" name="Column2595"/>
    <tableColumn id="2602" xr3:uid="{242256DB-3CE0-4BC3-8A07-7EBF0A864D47}" name="Column2596"/>
    <tableColumn id="2603" xr3:uid="{47E1E752-CE2F-4C45-82A7-25E67DB67569}" name="Column2597"/>
    <tableColumn id="2604" xr3:uid="{D5C030F5-421B-4D24-A523-5F2308BC8BA4}" name="Column2598"/>
    <tableColumn id="2605" xr3:uid="{A6AFA089-5C70-43BB-8C5F-BFCBB5A730DB}" name="Column2599"/>
    <tableColumn id="2606" xr3:uid="{7AD9013A-1B22-4C85-994D-9B2CA60CDFB6}" name="Column2600"/>
    <tableColumn id="2607" xr3:uid="{F6757BBC-671E-4D78-A8ED-67D9B56055AD}" name="Column2601"/>
    <tableColumn id="2608" xr3:uid="{80B201C2-2B7C-4705-90EE-4FEC97A27C61}" name="Column2602"/>
    <tableColumn id="2609" xr3:uid="{66379458-ADFE-47BB-A955-FEDD66E1C3C9}" name="Column2603"/>
    <tableColumn id="2610" xr3:uid="{6F9F9B2C-42E1-4974-8338-CA80F457346D}" name="Column2604"/>
    <tableColumn id="2611" xr3:uid="{9AB0072C-C221-4647-BC4B-A04834B88273}" name="Column2605"/>
    <tableColumn id="2612" xr3:uid="{1DD28168-FCB1-4E9B-B3C0-8BBCA4A20740}" name="Column2606"/>
    <tableColumn id="2613" xr3:uid="{B0D38140-392F-40BC-AFD9-5438A09BD433}" name="Column2607"/>
    <tableColumn id="2614" xr3:uid="{63A14E94-7B0D-465C-ABAB-AA9E28E664AC}" name="Column2608"/>
    <tableColumn id="2615" xr3:uid="{7E5F6300-7B9D-4673-988D-8DC82023D5AE}" name="Column2609"/>
    <tableColumn id="2616" xr3:uid="{782F6991-31FC-4B8C-B028-CEFD7272A64A}" name="Column2610"/>
    <tableColumn id="2617" xr3:uid="{A6218195-36D3-405A-8E4B-52AA24DB1A24}" name="Column2611"/>
    <tableColumn id="2618" xr3:uid="{42865EA5-F849-4BE0-A5A0-79115E73168B}" name="Column2612"/>
    <tableColumn id="2619" xr3:uid="{8DC0D678-8E1C-40F9-AC3D-BD305CA1E9B8}" name="Column2613"/>
    <tableColumn id="2620" xr3:uid="{985ADA53-CBE7-4203-8F65-ED95261ACC83}" name="Column2614"/>
    <tableColumn id="2621" xr3:uid="{9FECC53E-21BA-49ED-BFD2-F0B530D6CD36}" name="Column2615"/>
    <tableColumn id="2622" xr3:uid="{D13F5311-347F-40DB-8F34-5EC8F1A799F1}" name="Column2616"/>
    <tableColumn id="2623" xr3:uid="{A112E7C1-3478-4A91-BC78-E2DF5F3AAFB9}" name="Column2617"/>
    <tableColumn id="2624" xr3:uid="{51FA41ED-7D21-404E-B5D1-86D4B488DA34}" name="Column2618"/>
    <tableColumn id="2625" xr3:uid="{5AC280DC-2F5E-4128-BFCB-513396994C11}" name="Column2619"/>
    <tableColumn id="2626" xr3:uid="{3A5014EA-E8E4-46F4-9521-35B614621A4F}" name="Column2620"/>
    <tableColumn id="2627" xr3:uid="{50A6003B-31A6-4B7E-B0E1-D1CC78775D30}" name="Column2621"/>
    <tableColumn id="2628" xr3:uid="{66953A04-542A-4605-88A4-1F411D77ECD1}" name="Column2622"/>
    <tableColumn id="2629" xr3:uid="{DD1BCDB2-D6E3-479C-9216-2B3A3A56A422}" name="Column2623"/>
    <tableColumn id="2630" xr3:uid="{A33B9939-ECE2-412E-B040-EB8BE426B895}" name="Column2624"/>
    <tableColumn id="2631" xr3:uid="{B252D691-56B2-42CF-815A-6AF4B658EA41}" name="Column2625"/>
    <tableColumn id="2632" xr3:uid="{BCB3768A-3B2E-4FC3-9645-87DB885F8B7D}" name="Column2626"/>
    <tableColumn id="2633" xr3:uid="{E9B604F2-FE7E-498C-8D9F-6E8FC5D05587}" name="Column2627"/>
    <tableColumn id="2634" xr3:uid="{CFDAB04A-EA68-41D5-8E4E-452E74DDB7A7}" name="Column2628"/>
    <tableColumn id="2635" xr3:uid="{FA1F3289-813C-43F3-B005-5BC3C37E1C61}" name="Column2629"/>
    <tableColumn id="2636" xr3:uid="{8F10894A-A88F-4985-86B8-76A96D9E60F1}" name="Column2630"/>
    <tableColumn id="2637" xr3:uid="{B28DE84C-EDE4-46FA-80AC-E0E86E109D41}" name="Column2631"/>
    <tableColumn id="2638" xr3:uid="{94AFB117-5DCA-4A8A-8C05-321CA5A38417}" name="Column2632"/>
    <tableColumn id="2639" xr3:uid="{895A0A1A-756B-4F6B-B480-EDB1F0CC22F3}" name="Column2633"/>
    <tableColumn id="2640" xr3:uid="{57B8AB7B-408E-43BA-A361-5BA6989CFA18}" name="Column2634"/>
    <tableColumn id="2641" xr3:uid="{A12C2F99-12D9-43C7-9399-A95501ED6C84}" name="Column2635"/>
    <tableColumn id="2642" xr3:uid="{8120F51A-A79A-472A-8397-CFA50AAEEBC8}" name="Column2636"/>
    <tableColumn id="2643" xr3:uid="{2C9E2163-591F-4DCB-B4A9-124C02C9554D}" name="Column2637"/>
    <tableColumn id="2644" xr3:uid="{195847F2-6DA6-4AB8-B1BE-1D0C41C08190}" name="Column2638"/>
    <tableColumn id="2645" xr3:uid="{A4A684E1-D090-4B53-AB78-1D7827C1499F}" name="Column2639"/>
    <tableColumn id="2646" xr3:uid="{77382397-E45F-41F6-832C-30B6EA584918}" name="Column2640"/>
    <tableColumn id="2647" xr3:uid="{ED8C056A-F270-47BC-B6D1-F3F74D74EDEE}" name="Column2641"/>
    <tableColumn id="2648" xr3:uid="{50CB821C-50C3-44EA-9946-7C553FB9CE62}" name="Column2642"/>
    <tableColumn id="2649" xr3:uid="{40741444-1BA5-4E0B-B82B-D3A1D2011D12}" name="Column2643"/>
    <tableColumn id="2650" xr3:uid="{47C01917-5192-4D17-BF52-EC7DA77725C6}" name="Column2644"/>
    <tableColumn id="2651" xr3:uid="{D55F032E-A2D5-4F49-A557-091DF8EDF8FF}" name="Column2645"/>
    <tableColumn id="2652" xr3:uid="{EA0A52B7-D715-404A-A0E6-3F4DF42E0AA0}" name="Column2646"/>
    <tableColumn id="2653" xr3:uid="{7EF40C95-D4ED-40A0-ACE4-ECBE15465A49}" name="Column2647"/>
    <tableColumn id="2654" xr3:uid="{AD733674-92EC-4884-B3FC-1C304CEE505E}" name="Column2648"/>
    <tableColumn id="2655" xr3:uid="{E890D454-247C-460A-AC3E-EEDC94DE9E52}" name="Column2649"/>
    <tableColumn id="2656" xr3:uid="{87569BC9-FB54-4427-97DC-F0D8D931C87C}" name="Column2650"/>
    <tableColumn id="2657" xr3:uid="{BB71F844-45E8-4AE3-B1A6-83D747D389A0}" name="Column2651"/>
    <tableColumn id="2658" xr3:uid="{6B9BED39-FC0E-4383-B491-639669DAB428}" name="Column2652"/>
    <tableColumn id="2659" xr3:uid="{FCEA4E9C-19DA-43A3-8F25-5F8938FB82BE}" name="Column2653"/>
    <tableColumn id="2660" xr3:uid="{BBDC3817-9092-4556-ABFD-01A7BB49C60F}" name="Column2654"/>
    <tableColumn id="2661" xr3:uid="{17CB0EBA-9F94-4EE1-B4FA-6B2046ABB91E}" name="Column2655"/>
    <tableColumn id="2662" xr3:uid="{4D25F9AA-F8B4-400D-B422-4F3551D18D81}" name="Column2656"/>
    <tableColumn id="2663" xr3:uid="{4755B1F8-76F0-4208-8C8A-FC4D6B13846B}" name="Column2657"/>
    <tableColumn id="2664" xr3:uid="{392E0FE9-F75C-4633-9973-6F21389BE10E}" name="Column2658"/>
    <tableColumn id="2665" xr3:uid="{B514B3A7-9B2E-4148-8FF0-6663FAF17001}" name="Column2659"/>
    <tableColumn id="2666" xr3:uid="{CC018897-6250-45D1-8DBD-362091990BCB}" name="Column2660"/>
    <tableColumn id="2667" xr3:uid="{13DD6AEC-CBF1-4218-9D13-B6F21751E409}" name="Column2661"/>
    <tableColumn id="2668" xr3:uid="{7B234170-7BD4-4A5D-954F-411733814352}" name="Column2662"/>
    <tableColumn id="2669" xr3:uid="{2D861DB8-D80A-4E31-989E-70B708F8190A}" name="Column2663"/>
    <tableColumn id="2670" xr3:uid="{2ACD8332-7307-4D24-B75C-EE8ADDB6C950}" name="Column2664"/>
    <tableColumn id="2671" xr3:uid="{01A304CF-D87F-4A6F-84F9-4AF701D05912}" name="Column2665"/>
    <tableColumn id="2672" xr3:uid="{E25A1C4E-672E-437F-A5EF-58F98B139053}" name="Column2666"/>
    <tableColumn id="2673" xr3:uid="{9114C61E-3FF5-4AE5-B3EC-C06743671923}" name="Column2667"/>
    <tableColumn id="2674" xr3:uid="{9209B360-1C5F-4277-9BBC-102A106521D9}" name="Column2668"/>
    <tableColumn id="2675" xr3:uid="{725C6DDA-E877-46FB-A55C-E3CBC287D60C}" name="Column2669"/>
    <tableColumn id="2676" xr3:uid="{F96DF2CD-CAEF-4ED9-9893-39C9AAFD30CA}" name="Column2670"/>
    <tableColumn id="2677" xr3:uid="{555933D9-AEC5-4F53-84C5-9CB22A2EA273}" name="Column2671"/>
    <tableColumn id="2678" xr3:uid="{7C8B5700-5B0C-49F9-A83B-F710D0D58F03}" name="Column2672"/>
    <tableColumn id="2679" xr3:uid="{3FAD4F1D-ACC9-4E5C-8B65-F6EDEC2729D4}" name="Column2673"/>
    <tableColumn id="2680" xr3:uid="{35F40FEF-6366-4022-8362-533346297FCA}" name="Column2674"/>
    <tableColumn id="2681" xr3:uid="{68FDA4B1-DE00-45A7-ABBB-808CA6A51C55}" name="Column2675"/>
    <tableColumn id="2682" xr3:uid="{CCC9F274-3BE9-4D01-ADB4-E35AF6134509}" name="Column2676"/>
    <tableColumn id="2683" xr3:uid="{BB3EAEEE-6969-46D0-9FF9-FBFFA1086458}" name="Column2677"/>
    <tableColumn id="2684" xr3:uid="{E9651A33-452A-4A9D-8DC1-A9457290D9E9}" name="Column2678"/>
    <tableColumn id="2685" xr3:uid="{B2DE6655-97BC-4093-93B1-B738B4CC2936}" name="Column2679"/>
    <tableColumn id="2686" xr3:uid="{229C05E4-9B81-4690-8CE2-F2714B9BED3D}" name="Column2680"/>
    <tableColumn id="2687" xr3:uid="{02702E81-0011-4CC6-AC53-50F5C2737C2E}" name="Column2681"/>
    <tableColumn id="2688" xr3:uid="{D8DA648A-6235-43FA-B7B4-CBC8EBEEF1DC}" name="Column2682"/>
    <tableColumn id="2689" xr3:uid="{C918A0E1-2BFD-41AB-A38C-39BBE3C8A115}" name="Column2683"/>
    <tableColumn id="2690" xr3:uid="{6CB340D0-E98C-4D2B-AE41-2929FF8328B9}" name="Column2684"/>
    <tableColumn id="2691" xr3:uid="{807F09FE-4E10-4AE3-B361-61DCEA385429}" name="Column2685"/>
    <tableColumn id="2692" xr3:uid="{55DABCD7-D3C5-47EA-8D79-969E02B0AE45}" name="Column2686"/>
    <tableColumn id="2693" xr3:uid="{27849B2E-EB52-4749-8B32-31696505ED70}" name="Column2687"/>
    <tableColumn id="2694" xr3:uid="{5FBCAABF-AE8C-4653-99E5-5F060E245ECC}" name="Column2688"/>
    <tableColumn id="2695" xr3:uid="{20EA45E5-564A-4A90-8092-B02881A9E07B}" name="Column2689"/>
    <tableColumn id="2696" xr3:uid="{CD94A064-E6E4-40A3-A4DC-42CB9A32542D}" name="Column2690"/>
    <tableColumn id="2697" xr3:uid="{0B2EECFA-D7DA-4BD3-9C19-C64C01A92A59}" name="Column2691"/>
    <tableColumn id="2698" xr3:uid="{2297ACCB-AA63-4EEA-92C5-6396473C0C08}" name="Column2692"/>
    <tableColumn id="2699" xr3:uid="{3391B265-7807-4131-B24F-73E0569E0198}" name="Column2693"/>
    <tableColumn id="2700" xr3:uid="{BE56D2EE-CC33-43D9-9D8D-6D78029753A5}" name="Column2694"/>
    <tableColumn id="2701" xr3:uid="{BAF5CD03-4A2B-4F83-9DE9-905FA26270DB}" name="Column2695"/>
    <tableColumn id="2702" xr3:uid="{338AD712-F486-4EB8-A02F-1EB29FB520C3}" name="Column2696"/>
    <tableColumn id="2703" xr3:uid="{29E19FF3-1978-44AB-9730-0EBE92224371}" name="Column2697"/>
    <tableColumn id="2704" xr3:uid="{D4F6FF44-88A4-412B-AF97-77553F039EE9}" name="Column2698"/>
    <tableColumn id="2705" xr3:uid="{7EB03904-92BA-429B-A6AA-790F2E59B69B}" name="Column2699"/>
    <tableColumn id="2706" xr3:uid="{6650FB92-AAA7-48E5-B079-8755B660F146}" name="Column2700"/>
    <tableColumn id="2707" xr3:uid="{1A0AE134-C1E5-4CE8-8585-5F311434A615}" name="Column2701"/>
    <tableColumn id="2708" xr3:uid="{C8683885-E6D3-4016-9405-DE2F8DAE5DF4}" name="Column2702"/>
    <tableColumn id="2709" xr3:uid="{636760D9-22F7-4651-AB4C-4F90AB77D514}" name="Column2703"/>
    <tableColumn id="2710" xr3:uid="{D763C251-84DF-4C74-AAF8-A5F6AA2BD836}" name="Column2704"/>
    <tableColumn id="2711" xr3:uid="{0571CA20-0F11-47E9-8161-178632369511}" name="Column2705"/>
    <tableColumn id="2712" xr3:uid="{D2C08BB5-BB4B-4EE1-B3F3-57110EBFC979}" name="Column2706"/>
    <tableColumn id="2713" xr3:uid="{1E9FB92A-635D-486D-8AF1-6253DAB43C1D}" name="Column2707"/>
    <tableColumn id="2714" xr3:uid="{C29DCE90-1D1E-495C-B3E4-39D7665194D4}" name="Column2708"/>
    <tableColumn id="2715" xr3:uid="{797BD61F-8CD5-48B2-8B39-1B78CA01EABC}" name="Column2709"/>
    <tableColumn id="2716" xr3:uid="{54724A49-EDC5-4662-8918-07C8F2965581}" name="Column2710"/>
    <tableColumn id="2717" xr3:uid="{F9DF6B59-C28B-4CAA-880F-3A2F77AE0443}" name="Column2711"/>
    <tableColumn id="2718" xr3:uid="{B15A6FA1-BACF-44A6-8DED-54FE867247B6}" name="Column2712"/>
    <tableColumn id="2719" xr3:uid="{8E0FBB9F-C582-414A-A961-318B6DD0CA9D}" name="Column2713"/>
    <tableColumn id="2720" xr3:uid="{3C091D42-4BD4-4C20-A790-842BEC1133DE}" name="Column2714"/>
    <tableColumn id="2721" xr3:uid="{A87DE55F-F9BB-4B88-A12B-FD32052372D0}" name="Column2715"/>
    <tableColumn id="2722" xr3:uid="{12C4DE2B-A971-4CC6-9B10-FEF461F95FAD}" name="Column2716"/>
    <tableColumn id="2723" xr3:uid="{709C6860-B328-42CB-A9A6-A9D26955224E}" name="Column2717"/>
    <tableColumn id="2724" xr3:uid="{DA9870CC-FC24-48E0-846A-18F9E5C30529}" name="Column2718"/>
    <tableColumn id="2725" xr3:uid="{0D9C0666-4839-46CE-ADE0-CCB48C715406}" name="Column2719"/>
    <tableColumn id="2726" xr3:uid="{191241E3-43DC-40B9-841B-9519045F2EFB}" name="Column2720"/>
    <tableColumn id="2727" xr3:uid="{D585C79E-215F-4566-A9CC-1857EC55CD39}" name="Column2721"/>
    <tableColumn id="2728" xr3:uid="{4F84FCD5-CCDF-4404-89B6-784A25A053C5}" name="Column2722"/>
    <tableColumn id="2729" xr3:uid="{D60B9FEF-3C62-4431-A856-B6C86EAB512C}" name="Column2723"/>
    <tableColumn id="2730" xr3:uid="{1FAFBCE3-92CE-400A-B081-A7E7443BF749}" name="Column2724"/>
    <tableColumn id="2731" xr3:uid="{31617387-8698-4E06-AA96-61E237BE9DC5}" name="Column2725"/>
    <tableColumn id="2732" xr3:uid="{78A57384-207D-45B4-B4A4-58773AD9D4F2}" name="Column2726"/>
    <tableColumn id="2733" xr3:uid="{A0F5EC17-A691-45C9-AB29-0445B4452A0C}" name="Column2727"/>
    <tableColumn id="2734" xr3:uid="{40011596-DAAE-41B9-99A6-BF423EF8CFB3}" name="Column2728"/>
    <tableColumn id="2735" xr3:uid="{D987396D-07D1-4A97-BBCF-1BB02B1C3DFD}" name="Column2729"/>
    <tableColumn id="2736" xr3:uid="{09FE48C4-BD41-44ED-A706-DA4CA3A7D1D2}" name="Column2730"/>
    <tableColumn id="2737" xr3:uid="{B29D1B6F-EA04-4918-A06B-E91E0C328F75}" name="Column2731"/>
    <tableColumn id="2738" xr3:uid="{3349CFFC-157F-4C66-AC65-59C1EC428447}" name="Column2732"/>
    <tableColumn id="2739" xr3:uid="{AA98A18E-4860-4685-B6BD-3C4C55454E2D}" name="Column2733"/>
    <tableColumn id="2740" xr3:uid="{84FC43CF-C424-4470-A5DB-8E5B6BAA1553}" name="Column2734"/>
    <tableColumn id="2741" xr3:uid="{DCFE9DDF-83EE-4251-91EF-7E73A8391A12}" name="Column2735"/>
    <tableColumn id="2742" xr3:uid="{6B09A1CB-48E6-488B-BD37-A76F9D6BA76B}" name="Column2736"/>
    <tableColumn id="2743" xr3:uid="{F6EDE4DD-5DD0-4147-B6D0-83DD27938926}" name="Column2737"/>
    <tableColumn id="2744" xr3:uid="{905A76E7-4A4C-42AF-9C4D-ED10EBD2E45D}" name="Column2738"/>
    <tableColumn id="2745" xr3:uid="{DA7F917E-96F9-400E-8BC1-471F57102718}" name="Column2739"/>
    <tableColumn id="2746" xr3:uid="{8879420A-E385-4A20-96DD-4BA1D62F1B65}" name="Column2740"/>
    <tableColumn id="2747" xr3:uid="{B0DE27DE-D399-4C80-8CD8-B414BD45E68E}" name="Column2741"/>
    <tableColumn id="2748" xr3:uid="{10CAA158-B4A2-4DC7-A7AF-79A4FC7A9176}" name="Column2742"/>
    <tableColumn id="2749" xr3:uid="{25F20D5A-9342-42CB-8738-1B1B8F9BCF28}" name="Column2743"/>
    <tableColumn id="2750" xr3:uid="{7BE70CE8-ECD2-465E-9574-E385ED16B5FC}" name="Column2744"/>
    <tableColumn id="2751" xr3:uid="{762664E9-E636-4BFA-862E-40496788B264}" name="Column2745"/>
    <tableColumn id="2752" xr3:uid="{B7B8951F-83B2-4EE4-AEA1-2C8F0DB0548E}" name="Column2746"/>
    <tableColumn id="2753" xr3:uid="{105CD839-28E9-4506-8E92-EE63F5378631}" name="Column2747"/>
    <tableColumn id="2754" xr3:uid="{7B399ADB-6119-42E7-AE06-74345A3B5EFB}" name="Column2748"/>
    <tableColumn id="2755" xr3:uid="{83295457-F42D-4549-BCC5-568BF6EC9C37}" name="Column2749"/>
    <tableColumn id="2756" xr3:uid="{615E4E1E-A5F3-425F-ABC1-B53B5F5E7A6D}" name="Column2750"/>
    <tableColumn id="2757" xr3:uid="{7657E38B-8449-4C91-AFC4-A7D7A57FB040}" name="Column2751"/>
    <tableColumn id="2758" xr3:uid="{A0FDE565-453F-486F-B550-713AF8043A77}" name="Column2752"/>
    <tableColumn id="2759" xr3:uid="{15D0D95C-A59A-4A5B-859E-DC2A35CBD41A}" name="Column2753"/>
    <tableColumn id="2760" xr3:uid="{1285529C-B248-4313-9CB2-C5CE15800106}" name="Column2754"/>
    <tableColumn id="2761" xr3:uid="{1C23E321-F38D-498E-8680-3731FF0B69F7}" name="Column2755"/>
    <tableColumn id="2762" xr3:uid="{AB05E8DD-7CC9-4FC5-8FEE-B570F155A00E}" name="Column2756"/>
    <tableColumn id="2763" xr3:uid="{EF283A98-DEF8-48DA-8411-D1D3A59F63D3}" name="Column2757"/>
    <tableColumn id="2764" xr3:uid="{75DA8E8D-201F-4D82-BAB7-6C2521F55484}" name="Column2758"/>
    <tableColumn id="2765" xr3:uid="{B3F37E2B-BAAF-443E-9B82-AA53FA9080AB}" name="Column2759"/>
    <tableColumn id="2766" xr3:uid="{0BE8BF3F-4911-43D9-ACCB-967797E2AE5B}" name="Column2760"/>
    <tableColumn id="2767" xr3:uid="{A42EAAC2-98DC-4CE3-8E8E-1AAE93A7BD6B}" name="Column2761"/>
    <tableColumn id="2768" xr3:uid="{F2217D2F-27FE-4CEE-A171-150B6A3996B2}" name="Column2762"/>
    <tableColumn id="2769" xr3:uid="{EF4ADC17-8443-4435-B511-1D025D42F8A7}" name="Column2763"/>
    <tableColumn id="2770" xr3:uid="{35E18355-66DB-436D-B5D9-B327A4E46477}" name="Column2764"/>
    <tableColumn id="2771" xr3:uid="{1E416FAB-C009-41D8-A42A-7B08C57A63A1}" name="Column2765"/>
    <tableColumn id="2772" xr3:uid="{12EB0320-A76C-499C-A288-9E84017E55EB}" name="Column2766"/>
    <tableColumn id="2773" xr3:uid="{A024372B-6145-4F8F-AF5E-7EA806B12FAD}" name="Column2767"/>
    <tableColumn id="2774" xr3:uid="{00829274-B911-4E62-BA73-2D958580D9AA}" name="Column2768"/>
    <tableColumn id="2775" xr3:uid="{324AD619-5424-48F7-9DF1-D521B540F145}" name="Column2769"/>
    <tableColumn id="2776" xr3:uid="{D4A7E60C-08AD-4C91-9968-8565D02C2B0B}" name="Column2770"/>
    <tableColumn id="2777" xr3:uid="{B63E4651-794A-48D9-B7E0-D7E46919C164}" name="Column2771"/>
    <tableColumn id="2778" xr3:uid="{BF6ADD44-131D-42D1-81C6-BE069203B31D}" name="Column2772"/>
    <tableColumn id="2779" xr3:uid="{5AA8DBFA-9466-4E96-9874-DB95282776C5}" name="Column2773"/>
    <tableColumn id="2780" xr3:uid="{4706A870-5232-4503-B7E0-6BAEA99A6E89}" name="Column2774"/>
    <tableColumn id="2781" xr3:uid="{E8E9601C-9E3E-44C7-ACED-FBD2CD49A2FF}" name="Column2775"/>
    <tableColumn id="2782" xr3:uid="{872FA55C-692C-4299-B97E-5DE1A566450D}" name="Column2776"/>
    <tableColumn id="2783" xr3:uid="{BF6B9272-76EE-4A2A-A93C-A7C13CD4C2E9}" name="Column2777"/>
    <tableColumn id="2784" xr3:uid="{3AF86D2B-D72E-4649-AF1B-3B36ACCC8EE0}" name="Column2778"/>
    <tableColumn id="2785" xr3:uid="{3CE3FBD4-CA5C-4E34-919C-4325B9CC9B8B}" name="Column2779"/>
    <tableColumn id="2786" xr3:uid="{2FD5E790-E0EC-4FB5-B557-F7F5151E8C71}" name="Column2780"/>
    <tableColumn id="2787" xr3:uid="{F7EE2586-4304-410E-8F5A-9BDAE06C4871}" name="Column2781"/>
    <tableColumn id="2788" xr3:uid="{12373A80-0267-428A-9CAA-A3B13392825A}" name="Column2782"/>
    <tableColumn id="2789" xr3:uid="{4D9C373B-5BF0-4EB5-8BE3-54E35D4D0433}" name="Column2783"/>
    <tableColumn id="2790" xr3:uid="{B289C399-2A57-4271-9A64-0E307699071B}" name="Column2784"/>
    <tableColumn id="2791" xr3:uid="{070A43EC-C226-42AA-8D44-B3B36B2BBA6B}" name="Column2785"/>
    <tableColumn id="2792" xr3:uid="{1EA955D9-B4D2-4F63-AA9C-F4BF1CAB9704}" name="Column2786"/>
    <tableColumn id="2793" xr3:uid="{1978ECFB-B83A-41F8-A043-21259901D11E}" name="Column2787"/>
    <tableColumn id="2794" xr3:uid="{5F2449A1-5ED7-49AE-A2FC-99954EF43DE2}" name="Column2788"/>
    <tableColumn id="2795" xr3:uid="{3A79F54D-16EE-4818-A288-FFDC7323F60E}" name="Column2789"/>
    <tableColumn id="2796" xr3:uid="{08BD4CB5-8E15-4213-981D-8019C499A39A}" name="Column2790"/>
    <tableColumn id="2797" xr3:uid="{AB3239FF-26B2-436B-940B-F395813B568E}" name="Column2791"/>
    <tableColumn id="2798" xr3:uid="{E4AEB9D6-2993-439D-B730-67657A21C3FB}" name="Column2792"/>
    <tableColumn id="2799" xr3:uid="{925EBBEE-D90B-444A-A986-DF6D7C9A675A}" name="Column2793"/>
    <tableColumn id="2800" xr3:uid="{12DD55A6-CD49-4FDC-89CA-72A944F9068E}" name="Column2794"/>
    <tableColumn id="2801" xr3:uid="{C68A9307-BBFD-4B99-9C4C-C8036B1F2210}" name="Column2795"/>
    <tableColumn id="2802" xr3:uid="{2E4D34C1-3C6C-4B87-B05F-B8A2CB06FD32}" name="Column2796"/>
    <tableColumn id="2803" xr3:uid="{D637EDFE-75AD-4D8C-BE49-BD5D537BCC81}" name="Column2797"/>
    <tableColumn id="2804" xr3:uid="{97DA4752-7D4F-46D0-97B8-ECD8B0D9127C}" name="Column2798"/>
    <tableColumn id="2805" xr3:uid="{57A3608C-00DB-4DF3-B8ED-449A8E003B09}" name="Column2799"/>
    <tableColumn id="2806" xr3:uid="{38C96282-FF60-487F-A8CA-0C5F705F3E0E}" name="Column2800"/>
    <tableColumn id="2807" xr3:uid="{8B4F65E8-5B15-4DE0-B6A1-B29D8AED24E2}" name="Column2801"/>
    <tableColumn id="2808" xr3:uid="{2CBE689E-B97A-41B1-8E66-0E76860567CF}" name="Column2802"/>
    <tableColumn id="2809" xr3:uid="{DEF9AC7A-1D04-4947-A46F-51BC37698AF8}" name="Column2803"/>
    <tableColumn id="2810" xr3:uid="{B62BA19D-AD80-4486-AC20-F79D0F0C882F}" name="Column2804"/>
    <tableColumn id="2811" xr3:uid="{A7891D61-AC19-453F-9B25-78B1D46C2D99}" name="Column2805"/>
    <tableColumn id="2812" xr3:uid="{2E74BA91-D524-4377-B4A4-B2713EDA3758}" name="Column2806"/>
    <tableColumn id="2813" xr3:uid="{0697480E-946D-49B7-B507-422F244ED3BD}" name="Column2807"/>
    <tableColumn id="2814" xr3:uid="{2EABB1F6-A9E1-4FA1-B302-6989158ED2FB}" name="Column2808"/>
    <tableColumn id="2815" xr3:uid="{23C45529-0C3C-4467-893B-C8D6FD083EB5}" name="Column2809"/>
    <tableColumn id="2816" xr3:uid="{5EBE0967-2574-4EE0-9B39-EE331368D031}" name="Column2810"/>
    <tableColumn id="2817" xr3:uid="{B56614BA-5AEF-4CC3-8F07-10D20E7C0657}" name="Column2811"/>
    <tableColumn id="2818" xr3:uid="{55A64619-3F0E-42A4-AFFE-88D405B8EE51}" name="Column2812"/>
    <tableColumn id="2819" xr3:uid="{062C29C3-82C9-4C40-B02C-F5A611D551C1}" name="Column2813"/>
    <tableColumn id="2820" xr3:uid="{65AFE90D-D401-4DCB-A528-642DA8FC474B}" name="Column2814"/>
    <tableColumn id="2821" xr3:uid="{DFFC8112-748D-4644-A9DB-901549A903F8}" name="Column2815"/>
    <tableColumn id="2822" xr3:uid="{84504007-F761-4922-914D-C673FAF7C6C9}" name="Column2816"/>
    <tableColumn id="2823" xr3:uid="{2A38608B-F246-41EB-8E97-54D23E94D9F9}" name="Column2817"/>
    <tableColumn id="2824" xr3:uid="{C8245FB5-1FB3-4B2E-8EE8-4FC341DDE3C7}" name="Column2818"/>
    <tableColumn id="2825" xr3:uid="{0AC5F884-D0F3-48B0-A64A-27EB6029C1FC}" name="Column2819"/>
    <tableColumn id="2826" xr3:uid="{DF1196FC-5B55-4B9C-81DD-E3F101763433}" name="Column2820"/>
    <tableColumn id="2827" xr3:uid="{73D24EEB-83F5-4301-92CE-357AB5A0DBAC}" name="Column2821"/>
    <tableColumn id="2828" xr3:uid="{1B2C6C66-A8E9-4BC2-8159-958442833DA9}" name="Column2822"/>
    <tableColumn id="2829" xr3:uid="{B8163A57-E431-463F-A429-170A75B8847C}" name="Column2823"/>
    <tableColumn id="2830" xr3:uid="{8414B88B-130D-4AD0-BC57-77CF27A5DEE4}" name="Column2824"/>
    <tableColumn id="2831" xr3:uid="{16B55A82-2D76-467B-A5ED-9C920EF79404}" name="Column2825"/>
    <tableColumn id="2832" xr3:uid="{FB8BB720-B53E-4952-A84A-F935464543AE}" name="Column2826"/>
    <tableColumn id="2833" xr3:uid="{1D0EAF60-0EB8-41F1-BD31-AEBF7C209C8B}" name="Column2827"/>
    <tableColumn id="2834" xr3:uid="{CA1BB27D-EEC7-4F30-B300-0C1DE1523DF7}" name="Column2828"/>
    <tableColumn id="2835" xr3:uid="{4FD849D0-AB95-40A9-817F-6B0E0C19AD70}" name="Column2829"/>
    <tableColumn id="2836" xr3:uid="{1BF91DE7-855F-4044-AA78-2A810CE5D432}" name="Column2830"/>
    <tableColumn id="2837" xr3:uid="{39E7AC67-BAF5-453D-936D-CBEFFF9F96E2}" name="Column2831"/>
    <tableColumn id="2838" xr3:uid="{F0FBAE41-0E3B-44B9-922D-8EE89484B3E0}" name="Column2832"/>
    <tableColumn id="2839" xr3:uid="{04E6E76F-EF48-4329-8800-217AF4F6FBCA}" name="Column2833"/>
    <tableColumn id="2840" xr3:uid="{1B5AC694-7C30-40BC-BF41-E1B4F7BC32AE}" name="Column2834"/>
    <tableColumn id="2841" xr3:uid="{630FA35D-278D-46B1-A71E-4137CF651045}" name="Column2835"/>
    <tableColumn id="2842" xr3:uid="{D4450BD0-40AB-4A4E-8D46-7E4BCDC442F0}" name="Column2836"/>
    <tableColumn id="2843" xr3:uid="{FF90D9A3-6F4B-4B41-8972-260F66C3B723}" name="Column2837"/>
    <tableColumn id="2844" xr3:uid="{13B50BED-0366-4227-8EDB-BD0309BE73B3}" name="Column2838"/>
    <tableColumn id="2845" xr3:uid="{76C51987-EAD6-40B3-8C03-FEFAF1361957}" name="Column2839"/>
    <tableColumn id="2846" xr3:uid="{5747828D-5558-40FC-9867-D3948D92AD79}" name="Column2840"/>
    <tableColumn id="2847" xr3:uid="{1AF5746A-B867-42FC-870E-265E16B0FA38}" name="Column2841"/>
    <tableColumn id="2848" xr3:uid="{BCA95497-2A2C-4CDD-8D9E-20F52C32ED08}" name="Column2842"/>
    <tableColumn id="2849" xr3:uid="{28E3AF67-86A1-4E84-BEAD-B5020DDDD2FC}" name="Column2843"/>
    <tableColumn id="2850" xr3:uid="{354CA235-5AFF-4C0D-987B-1902ACC1E3C7}" name="Column2844"/>
    <tableColumn id="2851" xr3:uid="{756715D1-C800-43C7-955A-7C12944812C5}" name="Column2845"/>
    <tableColumn id="2852" xr3:uid="{50EA9EB2-0026-4061-AC12-082EB846E5EC}" name="Column2846"/>
    <tableColumn id="2853" xr3:uid="{0A0969E2-B356-4C30-85A0-F039539B1B51}" name="Column2847"/>
    <tableColumn id="2854" xr3:uid="{DB2BC6D9-7F22-41E2-ABCA-CE450CC849BB}" name="Column2848"/>
    <tableColumn id="2855" xr3:uid="{BED85472-C1B1-4950-8955-FA128F17F5B8}" name="Column2849"/>
    <tableColumn id="2856" xr3:uid="{C9DA5B44-41E4-4688-B809-749A63240206}" name="Column2850"/>
    <tableColumn id="2857" xr3:uid="{23E4E220-1FF4-4968-82AF-717001FAA917}" name="Column2851"/>
    <tableColumn id="2858" xr3:uid="{137F5742-28DE-4CF3-B297-BEEE9FBC27A2}" name="Column2852"/>
    <tableColumn id="2859" xr3:uid="{3042080B-5E67-42F8-8A5D-91A325CA6165}" name="Column2853"/>
    <tableColumn id="2860" xr3:uid="{1BC2C402-A00E-4D03-BA65-1629BD774AF3}" name="Column2854"/>
    <tableColumn id="2861" xr3:uid="{41FCDE68-4258-4BE4-90BB-BEAC9969953E}" name="Column2855"/>
    <tableColumn id="2862" xr3:uid="{38E08070-E99E-4757-A33D-2E2DE8DF37B2}" name="Column2856"/>
    <tableColumn id="2863" xr3:uid="{A2D9E568-F7B7-4C6C-865F-6563AA5CFF09}" name="Column2857"/>
    <tableColumn id="2864" xr3:uid="{CB0F2FCE-4B5A-4D17-80B5-A69DCED9E68A}" name="Column2858"/>
    <tableColumn id="2865" xr3:uid="{7B394323-12A7-4DC9-A46B-942A30FDB122}" name="Column2859"/>
    <tableColumn id="2866" xr3:uid="{6674F8C0-1F7A-462E-8087-C86D809EE06C}" name="Column2860"/>
    <tableColumn id="2867" xr3:uid="{3F7BFB44-9B41-41E5-83BE-FEDF772042B1}" name="Column2861"/>
    <tableColumn id="2868" xr3:uid="{587CB440-9A39-44A7-BFB0-F4A7DE72BDF6}" name="Column2862"/>
    <tableColumn id="2869" xr3:uid="{8F9FB267-C643-457F-8682-B4A7CE53D932}" name="Column2863"/>
    <tableColumn id="2870" xr3:uid="{2A8B15D3-7C9E-42AB-98D0-B50434563837}" name="Column2864"/>
    <tableColumn id="2871" xr3:uid="{D6E9E0F9-FA9E-42B4-857B-E935EB281F59}" name="Column2865"/>
    <tableColumn id="2872" xr3:uid="{36873A00-4A5E-49A2-A9D1-B7BDF3341582}" name="Column2866"/>
    <tableColumn id="2873" xr3:uid="{2A263E6D-562A-4CED-A594-3F8D09E2BB3F}" name="Column2867"/>
    <tableColumn id="2874" xr3:uid="{0D5DB437-C388-463A-A77A-C94240BBA313}" name="Column2868"/>
    <tableColumn id="2875" xr3:uid="{5B41863D-0347-4489-AF34-443BC87D95FD}" name="Column2869"/>
    <tableColumn id="2876" xr3:uid="{286FE4AA-946D-4A94-9F0B-5563BD44EDCC}" name="Column2870"/>
    <tableColumn id="2877" xr3:uid="{88D1D111-3FF6-4465-93ED-C35313725276}" name="Column2871"/>
    <tableColumn id="2878" xr3:uid="{C9E222C4-A4D2-4EB3-A6D9-B03B7F490482}" name="Column2872"/>
    <tableColumn id="2879" xr3:uid="{B91E9BED-E4AF-4F2E-9658-E59A184F412B}" name="Column2873"/>
    <tableColumn id="2880" xr3:uid="{B2C23799-AAC6-4335-A75D-9E07D7017515}" name="Column2874"/>
    <tableColumn id="2881" xr3:uid="{A3DE2421-820E-49D9-B66E-DEA8AC3338A6}" name="Column2875"/>
    <tableColumn id="2882" xr3:uid="{84AAB70F-E745-45E0-91A4-A1252022A01B}" name="Column2876"/>
    <tableColumn id="2883" xr3:uid="{E86EB94E-2C0A-4DFC-895F-2D33C9CE8ACB}" name="Column2877"/>
    <tableColumn id="2884" xr3:uid="{15FA0C43-E1D9-4624-8497-BF41714FB2ED}" name="Column2878"/>
    <tableColumn id="2885" xr3:uid="{341C5110-1E8B-4582-9029-DD34D45B69AC}" name="Column2879"/>
    <tableColumn id="2886" xr3:uid="{C7C97711-16B0-46FD-899D-5E7DEF3886D3}" name="Column2880"/>
    <tableColumn id="2887" xr3:uid="{F87FC297-D782-4A9B-9E6A-A4A129637ABA}" name="Column2881"/>
    <tableColumn id="2888" xr3:uid="{ED96125A-2CE1-423A-878C-9DD6E60A87B5}" name="Column2882"/>
    <tableColumn id="2889" xr3:uid="{3AF8CD58-A69B-48F9-88C7-2895037DBA13}" name="Column2883"/>
    <tableColumn id="2890" xr3:uid="{608E04B3-8C9F-48F7-ACCE-CEF0E89EA0A0}" name="Column2884"/>
    <tableColumn id="2891" xr3:uid="{21C5E828-3A99-44F8-839A-E23C4176DCFE}" name="Column2885"/>
    <tableColumn id="2892" xr3:uid="{CCCDEACC-3F49-4963-9FD4-FA2A7B3F9F5E}" name="Column2886"/>
    <tableColumn id="2893" xr3:uid="{7C508084-DEEF-40A9-9A9D-70A689E41A6D}" name="Column2887"/>
    <tableColumn id="2894" xr3:uid="{2F6DE177-7F6B-4503-B43A-BA3CFDD4D766}" name="Column2888"/>
    <tableColumn id="2895" xr3:uid="{C986FF6A-DCDD-49CD-95FC-D8605011DDD1}" name="Column2889"/>
    <tableColumn id="2896" xr3:uid="{9F90D3AB-3EDE-45E8-B619-D8CDCB256659}" name="Column2890"/>
    <tableColumn id="2897" xr3:uid="{0B9E7AD2-4BD4-4CE3-AAA5-3AB3AC2322F0}" name="Column2891"/>
    <tableColumn id="2898" xr3:uid="{8818098A-72F2-47AE-81EF-7986FF10D574}" name="Column2892"/>
    <tableColumn id="2899" xr3:uid="{AB565C31-FA36-4227-8F28-A4847B9E2CF3}" name="Column2893"/>
    <tableColumn id="2900" xr3:uid="{681C74A7-E72F-4C0B-BC0A-7DF8CE1E835E}" name="Column2894"/>
    <tableColumn id="2901" xr3:uid="{4652FFF1-C7D1-4CE3-834D-02E02A91E2CC}" name="Column2895"/>
    <tableColumn id="2902" xr3:uid="{E15C0BB8-BC80-4DBD-B7B1-D096688F8171}" name="Column2896"/>
    <tableColumn id="2903" xr3:uid="{893B16D2-0B62-490A-A1A9-F6E6F9B6E559}" name="Column2897"/>
    <tableColumn id="2904" xr3:uid="{EB2F59D2-DBF9-4B29-AB04-7C93AFBBB3F5}" name="Column2898"/>
    <tableColumn id="2905" xr3:uid="{498739AE-FB87-4AB5-B5A5-DF072378831F}" name="Column2899"/>
    <tableColumn id="2906" xr3:uid="{177E249C-D664-464B-9B46-C4CF529982AE}" name="Column2900"/>
    <tableColumn id="2907" xr3:uid="{46866BC6-FF47-4640-8DFC-8BB1D7CD421E}" name="Column2901"/>
    <tableColumn id="2908" xr3:uid="{AC267414-CD59-4925-AC97-0BAAE3408976}" name="Column2902"/>
    <tableColumn id="2909" xr3:uid="{B8D3CF06-82BB-4713-A300-1ED244F2BEF7}" name="Column2903"/>
    <tableColumn id="2910" xr3:uid="{A13C7BB3-6F46-481B-A33D-F7A2BFEEBE1C}" name="Column2904"/>
    <tableColumn id="2911" xr3:uid="{D903B67D-A79C-4EA0-AC68-6783A67B5EF1}" name="Column2905"/>
    <tableColumn id="2912" xr3:uid="{AB287AED-2EF7-48AE-B92A-CCE52DB69DB0}" name="Column2906"/>
    <tableColumn id="2913" xr3:uid="{D3337CFE-6BB4-4070-AD7C-0F05A39D8F93}" name="Column2907"/>
    <tableColumn id="2914" xr3:uid="{E48FFD19-95B4-42ED-BA8D-2B9C245749AB}" name="Column2908"/>
    <tableColumn id="2915" xr3:uid="{BACDE97D-D6AA-4DDF-9017-B906B7B44D1C}" name="Column2909"/>
    <tableColumn id="2916" xr3:uid="{97DD99F0-5584-4701-A0EE-EBA7439D2B0B}" name="Column2910"/>
    <tableColumn id="2917" xr3:uid="{1BF57403-6187-4F36-8142-0EA898D88CBF}" name="Column2911"/>
    <tableColumn id="2918" xr3:uid="{C68654BD-6298-4B07-AE07-C2B8896B3B4B}" name="Column2912"/>
    <tableColumn id="2919" xr3:uid="{9AEF2AEC-E59A-4CAB-B2BB-338031C17DBC}" name="Column2913"/>
    <tableColumn id="2920" xr3:uid="{D248319C-2D7E-480E-87F6-495C2A7D15FD}" name="Column2914"/>
    <tableColumn id="2921" xr3:uid="{3C6524F0-15C5-4A68-95E5-063B48A10E88}" name="Column2915"/>
    <tableColumn id="2922" xr3:uid="{A793B9B9-03A1-4861-95FA-BF228E97B354}" name="Column2916"/>
    <tableColumn id="2923" xr3:uid="{030E2C79-AA67-44A9-AD95-805DD95506A8}" name="Column2917"/>
    <tableColumn id="2924" xr3:uid="{3D31DE9C-4740-482E-A0A6-6FF2E79647D9}" name="Column2918"/>
    <tableColumn id="2925" xr3:uid="{9DBA0F76-F73D-470F-975A-BDFA8D34FED8}" name="Column2919"/>
    <tableColumn id="2926" xr3:uid="{DE7414F6-BABE-41A1-93B3-D3F3AF038CFF}" name="Column2920"/>
    <tableColumn id="2927" xr3:uid="{9A604B47-9FF8-466B-99DF-C34EEBAFD2B6}" name="Column2921"/>
    <tableColumn id="2928" xr3:uid="{22CBB2F1-3476-4CD7-A08E-54FD6B4F6DAD}" name="Column2922"/>
    <tableColumn id="2929" xr3:uid="{9FD5AEA4-923C-4D65-B384-A6AC33D2D89E}" name="Column2923"/>
    <tableColumn id="2930" xr3:uid="{B85F130C-5523-4ED6-98FB-1BA4FCB69FD7}" name="Column2924"/>
    <tableColumn id="2931" xr3:uid="{34C361A7-10A4-41A2-BD71-24D25570F8CB}" name="Column2925"/>
    <tableColumn id="2932" xr3:uid="{5BBB92D3-ACC4-48EC-A220-F8D7BF5DFFA9}" name="Column2926"/>
    <tableColumn id="2933" xr3:uid="{154BB79E-36FC-4776-9A65-992B56430A92}" name="Column2927"/>
    <tableColumn id="2934" xr3:uid="{3B6497B9-B963-417F-8A44-0138ABF12B25}" name="Column2928"/>
    <tableColumn id="2935" xr3:uid="{301144D7-B15E-4FF8-A13A-88E8BDC320A5}" name="Column2929"/>
    <tableColumn id="2936" xr3:uid="{49AD7EF5-7AB1-4712-8433-13A1BA1C5BCF}" name="Column2930"/>
    <tableColumn id="2937" xr3:uid="{A2252E51-122B-43ED-9BC3-ED51766932E2}" name="Column2931"/>
    <tableColumn id="2938" xr3:uid="{71032C6A-B922-4121-BDE1-4834A652BE78}" name="Column2932"/>
    <tableColumn id="2939" xr3:uid="{32CF7C1B-F66C-414F-B3B4-3750FA25FBA4}" name="Column2933"/>
    <tableColumn id="2940" xr3:uid="{D89A3A03-B95A-43DF-8836-2148E7AA18B2}" name="Column2934"/>
    <tableColumn id="2941" xr3:uid="{6BEF0584-F19A-43C5-A262-0C1676B53ED8}" name="Column2935"/>
    <tableColumn id="2942" xr3:uid="{C208256B-3948-4C89-9B26-D63EC9EF56BB}" name="Column2936"/>
    <tableColumn id="2943" xr3:uid="{FEB5A750-CB33-409B-A20C-415BA635377F}" name="Column2937"/>
    <tableColumn id="2944" xr3:uid="{8C68C4D5-492A-46FE-9808-708CCD937133}" name="Column2938"/>
    <tableColumn id="2945" xr3:uid="{642A56CA-CD44-473A-9734-E2725F3D972D}" name="Column2939"/>
    <tableColumn id="2946" xr3:uid="{6BB34A29-F8FE-4361-B5FD-E8B5BB2E3C78}" name="Column2940"/>
    <tableColumn id="2947" xr3:uid="{739FF606-3F5A-4B4C-A861-910A218000DA}" name="Column2941"/>
    <tableColumn id="2948" xr3:uid="{1BE67CBB-3EA1-47D4-899D-7199C3E4AAA7}" name="Column2942"/>
    <tableColumn id="2949" xr3:uid="{68B9D4C1-B415-4354-8D86-3FDC0E7CEFDE}" name="Column2943"/>
    <tableColumn id="2950" xr3:uid="{EF35A9F7-1FAA-4BF0-A5A9-8EA875B33575}" name="Column2944"/>
    <tableColumn id="2951" xr3:uid="{38A66C8F-41C9-40FA-899C-58F6D2B4B94E}" name="Column2945"/>
    <tableColumn id="2952" xr3:uid="{3A252079-82CF-4DC0-989C-28273924E7CE}" name="Column2946"/>
    <tableColumn id="2953" xr3:uid="{2AA5686B-ECD3-4D86-9904-E03F343F04AF}" name="Column2947"/>
    <tableColumn id="2954" xr3:uid="{DF89AEA8-406A-470A-9956-4ED911FA2761}" name="Column2948"/>
    <tableColumn id="2955" xr3:uid="{A68743DB-7073-4F55-85F1-DA7FD098D7F8}" name="Column2949"/>
    <tableColumn id="2956" xr3:uid="{C485CC9A-7668-4B45-AE3A-C4397B423048}" name="Column2950"/>
    <tableColumn id="2957" xr3:uid="{42930EDE-A267-4191-9695-B48356DF1B42}" name="Column2951"/>
    <tableColumn id="2958" xr3:uid="{8EE20246-850B-4D57-98CB-2BA4C2461A87}" name="Column2952"/>
    <tableColumn id="2959" xr3:uid="{A28428F0-7AC6-4D9C-909C-576375BEBB9F}" name="Column2953"/>
    <tableColumn id="2960" xr3:uid="{59025F51-4C56-4187-8DB8-30E2CD9257F9}" name="Column2954"/>
    <tableColumn id="2961" xr3:uid="{74D7472A-26F9-4221-8794-35F7D62B9693}" name="Column2955"/>
    <tableColumn id="2962" xr3:uid="{C08CC124-6D3F-4D81-B6B3-30988C3272EE}" name="Column2956"/>
    <tableColumn id="2963" xr3:uid="{9A4857A7-DDB7-4531-BFC9-73FBE832016D}" name="Column2957"/>
    <tableColumn id="2964" xr3:uid="{D4FA6C19-21A2-4E16-8CFD-B5AAD65CDEFE}" name="Column2958"/>
    <tableColumn id="2965" xr3:uid="{91683389-3E82-43AF-BA44-43AAAB1730F7}" name="Column2959"/>
    <tableColumn id="2966" xr3:uid="{1DAE7ACC-57F3-4F50-AAFE-06E840D28B23}" name="Column2960"/>
    <tableColumn id="2967" xr3:uid="{DD68D862-0201-4510-B82B-3A432BB04FDC}" name="Column2961"/>
    <tableColumn id="2968" xr3:uid="{C3DEA247-0C67-4650-B32F-49D0BB38287C}" name="Column2962"/>
    <tableColumn id="2969" xr3:uid="{7D2C1FBB-393B-4A77-BDE4-8CDBE0572858}" name="Column2963"/>
    <tableColumn id="2970" xr3:uid="{748DC75A-8797-4DE3-95B6-3F69CCE7066E}" name="Column2964"/>
    <tableColumn id="2971" xr3:uid="{742A657F-2650-4A1B-A636-1848DCE9EFE2}" name="Column2965"/>
    <tableColumn id="2972" xr3:uid="{EFCB8BB6-2ACF-4F7C-9670-AD3549397978}" name="Column2966"/>
    <tableColumn id="2973" xr3:uid="{B2053697-CA96-41EB-9DD7-0F3F52FC9E50}" name="Column2967"/>
    <tableColumn id="2974" xr3:uid="{D5F109C0-D1F2-4230-947E-026563D50EAD}" name="Column2968"/>
    <tableColumn id="2975" xr3:uid="{66F195C6-6307-4509-AFC7-E94116D0D420}" name="Column2969"/>
    <tableColumn id="2976" xr3:uid="{27B0B871-FA75-47B4-AC23-406690AA2ADC}" name="Column2970"/>
    <tableColumn id="2977" xr3:uid="{1DC13DD8-B57A-4D05-9967-DFF12F770150}" name="Column2971"/>
    <tableColumn id="2978" xr3:uid="{C4E36AEB-2872-4B0D-A28F-2DA1B4CEC47B}" name="Column2972"/>
    <tableColumn id="2979" xr3:uid="{70A1AA37-DCB6-423F-B5E9-1848CE8E7184}" name="Column2973"/>
    <tableColumn id="2980" xr3:uid="{05BF3360-2E9E-452C-9470-165BD2183B8B}" name="Column2974"/>
    <tableColumn id="2981" xr3:uid="{260623FC-BC6F-4506-A856-8CF4F64FDDE8}" name="Column2975"/>
    <tableColumn id="2982" xr3:uid="{496D6F6D-1F81-46B9-83F2-8DB8C7B8DA44}" name="Column2976"/>
    <tableColumn id="2983" xr3:uid="{C07F6519-520A-440E-9AED-2CF6D79BF533}" name="Column2977"/>
    <tableColumn id="2984" xr3:uid="{0813A239-A324-4CC2-94D3-806A00FE5BEA}" name="Column2978"/>
    <tableColumn id="2985" xr3:uid="{D5FB7400-A64C-4FAF-A18C-ADA238258706}" name="Column2979"/>
    <tableColumn id="2986" xr3:uid="{BD08759B-3269-4761-82F4-C1E5F787343F}" name="Column2980"/>
    <tableColumn id="2987" xr3:uid="{D424BFD3-92CE-4501-AD8A-A529BA825431}" name="Column2981"/>
    <tableColumn id="2988" xr3:uid="{5F98181A-8968-4C85-B2FF-BE97ACA026A0}" name="Column2982"/>
    <tableColumn id="2989" xr3:uid="{C365DE60-B8D0-4E89-BEE2-CE1D669383B1}" name="Column2983"/>
    <tableColumn id="2990" xr3:uid="{E99F61A8-E093-4BEB-BAA5-83D05E6898CA}" name="Column2984"/>
    <tableColumn id="2991" xr3:uid="{9B913BBC-127F-46E0-A834-E8D98CDA74C7}" name="Column2985"/>
    <tableColumn id="2992" xr3:uid="{21DA3325-3BFF-41B8-A9EE-D4D1C9D2AAFD}" name="Column2986"/>
    <tableColumn id="2993" xr3:uid="{7A74915A-CA91-47DB-B67B-1EC46AB2BC6B}" name="Column2987"/>
    <tableColumn id="2994" xr3:uid="{4A485BBB-0CF3-4E00-A5C5-4606DEA790B4}" name="Column2988"/>
    <tableColumn id="2995" xr3:uid="{E404C191-BADC-4205-B119-EDED76B9C93A}" name="Column2989"/>
    <tableColumn id="2996" xr3:uid="{45DCDAA2-5754-451A-BCDD-122C5AFDE2D5}" name="Column2990"/>
    <tableColumn id="2997" xr3:uid="{EA916D37-ECE6-4FF3-BB21-49726FE3EB50}" name="Column2991"/>
    <tableColumn id="2998" xr3:uid="{4B382590-5E0F-4A13-8B60-A41ACBCBD420}" name="Column2992"/>
    <tableColumn id="2999" xr3:uid="{F4672DA9-19ED-4519-9CEE-78C7503AD4B3}" name="Column2993"/>
    <tableColumn id="3000" xr3:uid="{8E0344B8-9F22-4B7E-9A7B-6F6977118C14}" name="Column2994"/>
    <tableColumn id="3001" xr3:uid="{25A5EB04-52E7-474A-99A3-63D740229C38}" name="Column2995"/>
    <tableColumn id="3002" xr3:uid="{BAC394BD-F588-4DE6-BD1F-899914E06F6F}" name="Column2996"/>
    <tableColumn id="3003" xr3:uid="{61725B72-0B08-457A-8C9A-753442220392}" name="Column2997"/>
    <tableColumn id="3004" xr3:uid="{38DFE092-E910-4E95-9770-39949DF66884}" name="Column2998"/>
    <tableColumn id="3005" xr3:uid="{E018D593-EF31-4A80-A61C-FFA12BFCF9C1}" name="Column2999"/>
    <tableColumn id="3006" xr3:uid="{8D296A16-B8A3-4F5F-91AD-30218754FECC}" name="Column3000"/>
    <tableColumn id="3007" xr3:uid="{37659360-98F7-417F-BC63-34902466B68F}" name="Column3001"/>
    <tableColumn id="3008" xr3:uid="{7C1A6E63-7616-42B5-9242-694F3B1A96E9}" name="Column3002"/>
    <tableColumn id="3009" xr3:uid="{D387891C-0C44-4FA8-835C-6FC10A091ACB}" name="Column3003"/>
    <tableColumn id="3010" xr3:uid="{B81ECCC1-34CD-473C-8142-58536F1E17D6}" name="Column3004"/>
    <tableColumn id="3011" xr3:uid="{B4223B7B-E583-43E9-AC96-9EDE3E9599A9}" name="Column3005"/>
    <tableColumn id="3012" xr3:uid="{3A1EAC6C-F97E-4DB5-8AA3-3F43A8540EBC}" name="Column3006"/>
    <tableColumn id="3013" xr3:uid="{6DA16341-7E23-42B3-9BFC-CD46ED436A2F}" name="Column3007"/>
    <tableColumn id="3014" xr3:uid="{533F6B69-7E8C-4EC2-96B0-773DA15F88A0}" name="Column3008"/>
    <tableColumn id="3015" xr3:uid="{26A34040-FA64-4503-9F8A-FE1EFCCB6FA6}" name="Column3009"/>
    <tableColumn id="3016" xr3:uid="{1E639299-8ABE-4A5E-86FB-5E527CBEEBEF}" name="Column3010"/>
    <tableColumn id="3017" xr3:uid="{AE3F98DC-2884-4BC9-BE84-435D268F09B3}" name="Column3011"/>
    <tableColumn id="3018" xr3:uid="{4E808A0D-E83A-48CE-95BD-F98116A800AC}" name="Column3012"/>
    <tableColumn id="3019" xr3:uid="{E04BE5CE-1E77-4FD1-9B68-C1517D1D17FD}" name="Column3013"/>
    <tableColumn id="3020" xr3:uid="{77F7B42B-E393-48AE-AA19-CBA59C3E4F2E}" name="Column3014"/>
    <tableColumn id="3021" xr3:uid="{542298D5-C032-46C6-A715-C982BF9716A7}" name="Column3015"/>
    <tableColumn id="3022" xr3:uid="{7176C76E-A65B-4502-A8AF-DBF8A9FAE610}" name="Column3016"/>
    <tableColumn id="3023" xr3:uid="{755D5A2F-6ABE-4262-93B9-4504274EF4CE}" name="Column3017"/>
    <tableColumn id="3024" xr3:uid="{97F9E754-0F8B-45A7-926D-1A95C25FE055}" name="Column3018"/>
    <tableColumn id="3025" xr3:uid="{A3B177E8-B62C-4B8A-A47C-459493A3E39D}" name="Column3019"/>
    <tableColumn id="3026" xr3:uid="{1DBD1F71-F5DC-4285-8941-F89F7A162523}" name="Column3020"/>
    <tableColumn id="3027" xr3:uid="{8A24B3FC-229F-4998-A8EA-A34A8417231E}" name="Column3021"/>
    <tableColumn id="3028" xr3:uid="{0805552B-29F7-4568-81FE-86E366A9163D}" name="Column3022"/>
    <tableColumn id="3029" xr3:uid="{9991C1CD-A4E3-4ACF-B2F0-047673B1362D}" name="Column3023"/>
    <tableColumn id="3030" xr3:uid="{D599EE08-84B0-4BED-94BD-71CD43617B69}" name="Column3024"/>
    <tableColumn id="3031" xr3:uid="{64F75E6E-177D-40D1-9E41-D8BEE01862E8}" name="Column3025"/>
    <tableColumn id="3032" xr3:uid="{2981E4D2-9F6F-4BB0-9B68-01005BA80EF0}" name="Column3026"/>
    <tableColumn id="3033" xr3:uid="{145A0E4C-C79D-4C6E-97FE-7E112BE77529}" name="Column3027"/>
    <tableColumn id="3034" xr3:uid="{1A0261F8-FA5B-498E-94EF-D547CD7B338B}" name="Column3028"/>
    <tableColumn id="3035" xr3:uid="{BBF58A75-E71B-474F-86C7-D5D69A71A302}" name="Column3029"/>
    <tableColumn id="3036" xr3:uid="{E87197F7-DD50-4AA6-99D9-9E136EF05548}" name="Column3030"/>
    <tableColumn id="3037" xr3:uid="{75296166-0FDD-478F-BCB0-E0D364997531}" name="Column3031"/>
    <tableColumn id="3038" xr3:uid="{C43F30A7-CE27-49AC-AF86-FCE6ACBBD5FF}" name="Column3032"/>
    <tableColumn id="3039" xr3:uid="{CA50BA70-4C15-4311-B077-B14E6179397B}" name="Column3033"/>
    <tableColumn id="3040" xr3:uid="{99E99E10-0DD4-4125-83BD-30EC7C5DE9D0}" name="Column3034"/>
    <tableColumn id="3041" xr3:uid="{67085631-B130-4FC4-8E71-E22FA6D899AA}" name="Column3035"/>
    <tableColumn id="3042" xr3:uid="{05705A49-4904-45D0-B442-910012D0BE6B}" name="Column3036"/>
    <tableColumn id="3043" xr3:uid="{4A78CA68-FD59-4727-9F80-31464612874C}" name="Column3037"/>
    <tableColumn id="3044" xr3:uid="{F61E6FA8-0575-4CC9-9B30-70D3E9AEDE88}" name="Column3038"/>
    <tableColumn id="3045" xr3:uid="{8CDC22AC-4419-44F1-A185-059E74E7AF94}" name="Column3039"/>
    <tableColumn id="3046" xr3:uid="{F51AF9B2-9F67-4DFA-8254-382430BBCD74}" name="Column3040"/>
    <tableColumn id="3047" xr3:uid="{8ACDBC05-35EB-488C-B185-D777EB7628C0}" name="Column3041"/>
    <tableColumn id="3048" xr3:uid="{7EC80A54-6FAB-439D-9F0A-EDF2F5D8962D}" name="Column3042"/>
    <tableColumn id="3049" xr3:uid="{90A73227-8365-4FAE-BE74-8F9EAB372376}" name="Column3043"/>
    <tableColumn id="3050" xr3:uid="{A0192438-A17A-491C-801E-7FA0D0DEE70E}" name="Column3044"/>
    <tableColumn id="3051" xr3:uid="{09F5AF51-FB87-4749-94C8-562E25D9C1EE}" name="Column3045"/>
    <tableColumn id="3052" xr3:uid="{EAA7DD4B-8C8C-4308-A4A1-A6817101ED4C}" name="Column3046"/>
    <tableColumn id="3053" xr3:uid="{780D718E-6984-4E03-9FBF-C60605100A20}" name="Column3047"/>
    <tableColumn id="3054" xr3:uid="{9CF4596B-9706-45B7-8E71-00FB1F0D25E1}" name="Column3048"/>
    <tableColumn id="3055" xr3:uid="{5F85BE40-D738-4CD5-B37C-E3A3B9956D1D}" name="Column3049"/>
    <tableColumn id="3056" xr3:uid="{A841D08E-EA12-4FFA-B32F-630299BC58A3}" name="Column3050"/>
    <tableColumn id="3057" xr3:uid="{D21A0439-665C-4714-A374-04362D4C7544}" name="Column3051"/>
    <tableColumn id="3058" xr3:uid="{42DEF94C-BFEE-4538-B412-E23D6FB7DA9F}" name="Column3052"/>
    <tableColumn id="3059" xr3:uid="{5A3BD689-AC38-44C3-96C5-2279C3FF00B8}" name="Column3053"/>
    <tableColumn id="3060" xr3:uid="{72CBDFA8-2C7B-4055-AB2C-90F7A61206B5}" name="Column3054"/>
    <tableColumn id="3061" xr3:uid="{C608CECE-D8C5-4D3F-9F92-BB45B5B7EB58}" name="Column3055"/>
    <tableColumn id="3062" xr3:uid="{93557839-F8AE-403F-9A01-7AE1B119B378}" name="Column3056"/>
    <tableColumn id="3063" xr3:uid="{834E088B-85FC-4AF6-A6A6-34439140EC03}" name="Column3057"/>
    <tableColumn id="3064" xr3:uid="{F67385D6-C216-474E-8BBF-A907D5DDF5F5}" name="Column3058"/>
    <tableColumn id="3065" xr3:uid="{18D2B5FE-6E72-4283-A0B7-C0225BD57F5A}" name="Column3059"/>
    <tableColumn id="3066" xr3:uid="{54C02069-A585-4C29-85C0-67A3BF5C17D3}" name="Column3060"/>
    <tableColumn id="3067" xr3:uid="{EC909A28-F164-4D3D-84B9-0BF214DCA800}" name="Column3061"/>
    <tableColumn id="3068" xr3:uid="{C95ED078-15EB-42F2-B271-50919F556943}" name="Column3062"/>
    <tableColumn id="3069" xr3:uid="{4F837E75-2162-4AD0-93F7-D9369393DE16}" name="Column3063"/>
    <tableColumn id="3070" xr3:uid="{AEC9D57C-18BE-4B29-96A1-CA6E4C019631}" name="Column3064"/>
    <tableColumn id="3071" xr3:uid="{7B9DACB9-16C8-44E3-924C-C3F452110754}" name="Column3065"/>
    <tableColumn id="3072" xr3:uid="{9610E0EE-79A1-494C-8FD9-5177D6ED1953}" name="Column3066"/>
    <tableColumn id="3073" xr3:uid="{CC807DA5-022C-4012-8787-45CBDCFE6AB4}" name="Column3067"/>
    <tableColumn id="3074" xr3:uid="{9E5BA830-2A3C-4EE1-A923-5A2AEB1B646F}" name="Column3068"/>
    <tableColumn id="3075" xr3:uid="{FBDC11B8-7A22-4D20-9DBF-908422B3E033}" name="Column3069"/>
    <tableColumn id="3076" xr3:uid="{1AEB00F4-F20F-41B6-9153-7858A53298D6}" name="Column3070"/>
    <tableColumn id="3077" xr3:uid="{14DD6B8C-945F-4CCF-B2AE-C625E0AEEDAE}" name="Column3071"/>
    <tableColumn id="3078" xr3:uid="{633A4B90-8924-4022-8ADD-7FFE67BF7B10}" name="Column3072"/>
    <tableColumn id="3079" xr3:uid="{EA90642B-FEEA-4C27-8EF1-8DCB0A5481E0}" name="Column3073"/>
    <tableColumn id="3080" xr3:uid="{047C2024-B934-45EF-9286-340CB9F793E2}" name="Column3074"/>
    <tableColumn id="3081" xr3:uid="{41005ACC-AFF8-4AEC-BC69-4DEBC43BFDA4}" name="Column3075"/>
    <tableColumn id="3082" xr3:uid="{290E3E4B-6B2B-4555-B61D-C96AE8A14147}" name="Column3076"/>
    <tableColumn id="3083" xr3:uid="{0E725D60-A35A-4E13-A59F-9E0CA466EBF4}" name="Column3077"/>
    <tableColumn id="3084" xr3:uid="{60AE4839-B8EF-4592-BEFA-9619F0643F9F}" name="Column3078"/>
    <tableColumn id="3085" xr3:uid="{12DF8FF2-90F9-4D8C-A9BD-CCDA55816932}" name="Column3079"/>
    <tableColumn id="3086" xr3:uid="{52583420-8BE2-4180-86B7-7FB66970D2BD}" name="Column3080"/>
    <tableColumn id="3087" xr3:uid="{EDED791C-8356-4909-8810-F81D94207D33}" name="Column3081"/>
    <tableColumn id="3088" xr3:uid="{569230D7-8B7B-41E5-A404-DC8CC13F3339}" name="Column3082"/>
    <tableColumn id="3089" xr3:uid="{F588A2E7-9C52-4A72-A7EA-F47620AD3A71}" name="Column3083"/>
    <tableColumn id="3090" xr3:uid="{B4BDBF43-C9C4-4FDA-9FBF-2B79A319367C}" name="Column3084"/>
    <tableColumn id="3091" xr3:uid="{6FC8C29E-7C07-4D14-876B-41CA577AD07B}" name="Column3085"/>
    <tableColumn id="3092" xr3:uid="{2B3D195B-F35B-4ECB-8E11-8C22F155CCA0}" name="Column3086"/>
    <tableColumn id="3093" xr3:uid="{46876452-D44F-405B-9C87-82D6306AD5AE}" name="Column3087"/>
    <tableColumn id="3094" xr3:uid="{7A3B6623-357F-458D-BB86-0B1B147DC665}" name="Column3088"/>
    <tableColumn id="3095" xr3:uid="{0B14FE67-82EB-4438-A598-868AFA48DB39}" name="Column3089"/>
    <tableColumn id="3096" xr3:uid="{FEE813EC-F9D2-4481-8C4E-8DF9DC254EBE}" name="Column3090"/>
    <tableColumn id="3097" xr3:uid="{D08A32B0-7AD2-433E-8494-589A56A77098}" name="Column3091"/>
    <tableColumn id="3098" xr3:uid="{8B7A3B23-C517-4661-805F-8D645C428ACF}" name="Column3092"/>
    <tableColumn id="3099" xr3:uid="{1E4010B7-9651-4658-B076-7169B35781C0}" name="Column3093"/>
    <tableColumn id="3100" xr3:uid="{90FC57F6-9233-4626-B3F7-5BF960B33B1F}" name="Column3094"/>
    <tableColumn id="3101" xr3:uid="{D1391E9E-8F41-4E78-BB9D-EB6030B97B5B}" name="Column3095"/>
    <tableColumn id="3102" xr3:uid="{9A28C2FB-AD26-49D5-8BF1-1B7FD69273A3}" name="Column3096"/>
    <tableColumn id="3103" xr3:uid="{A6B8231C-61DD-4C32-907A-FE013DDCB444}" name="Column3097"/>
    <tableColumn id="3104" xr3:uid="{AAC3E14B-AFC7-4B6F-882B-EAB5548D1870}" name="Column3098"/>
    <tableColumn id="3105" xr3:uid="{2894AE0F-090B-4585-B529-DAE0A7DBA9CC}" name="Column3099"/>
    <tableColumn id="3106" xr3:uid="{679CB0E6-535A-461A-97A9-2794E6C9E2ED}" name="Column3100"/>
    <tableColumn id="3107" xr3:uid="{8ACBE9AD-1DA7-4BA8-B946-4748CECA5639}" name="Column3101"/>
    <tableColumn id="3108" xr3:uid="{4B015044-E521-451D-84BB-B212F6175A47}" name="Column3102"/>
    <tableColumn id="3109" xr3:uid="{D0077406-E4F9-4D87-94C0-E599BB5CED6C}" name="Column3103"/>
    <tableColumn id="3110" xr3:uid="{19EB77FD-3270-42F4-B1F4-1710D13FD25F}" name="Column3104"/>
    <tableColumn id="3111" xr3:uid="{7BE63E71-CFDD-4700-984C-C37D61354716}" name="Column3105"/>
    <tableColumn id="3112" xr3:uid="{4CAF623E-71D2-4877-8538-9ACB20793B78}" name="Column3106"/>
    <tableColumn id="3113" xr3:uid="{210035AE-5A56-4540-AE51-D0506CD0A392}" name="Column3107"/>
    <tableColumn id="3114" xr3:uid="{EC4F2CB0-F22E-474C-84BE-2DB625D9E1B9}" name="Column3108"/>
    <tableColumn id="3115" xr3:uid="{B669854F-3D91-4EFE-A18C-E018CD3EB301}" name="Column3109"/>
    <tableColumn id="3116" xr3:uid="{8E242108-B3EE-4A18-AB19-544E99DA5519}" name="Column3110"/>
    <tableColumn id="3117" xr3:uid="{977DC9F6-CF8E-45F7-A437-4D53FC7DCAA5}" name="Column3111"/>
    <tableColumn id="3118" xr3:uid="{115FDD3E-5832-47EE-9931-C1BCDD9CD7EB}" name="Column3112"/>
    <tableColumn id="3119" xr3:uid="{8223B673-435E-4184-97A8-FF3D6980F21A}" name="Column3113"/>
    <tableColumn id="3120" xr3:uid="{A06C1AE5-3BBA-4135-AB71-F5B85CA46C33}" name="Column3114"/>
    <tableColumn id="3121" xr3:uid="{6C5EC589-0DE6-4956-9ABB-C9DAE6C4EA65}" name="Column3115"/>
    <tableColumn id="3122" xr3:uid="{99108FE6-B314-486E-B59B-919EA64E218C}" name="Column3116"/>
    <tableColumn id="3123" xr3:uid="{3B114F56-1224-4115-8AF3-815D938CBD4B}" name="Column3117"/>
    <tableColumn id="3124" xr3:uid="{0D0E6D69-1A94-4AC0-962A-A552CD4FFF75}" name="Column3118"/>
    <tableColumn id="3125" xr3:uid="{3A44DF19-9383-471B-8E4F-94A01DA14D69}" name="Column3119"/>
    <tableColumn id="3126" xr3:uid="{4709E287-0557-441E-A424-A26043A4BEDD}" name="Column3120"/>
    <tableColumn id="3127" xr3:uid="{516CFD15-C32A-4749-B84E-44411E3DD2E0}" name="Column3121"/>
    <tableColumn id="3128" xr3:uid="{5EEBF43E-6BC7-4E28-B0F9-CA0BEB097350}" name="Column3122"/>
    <tableColumn id="3129" xr3:uid="{92DAA823-BDCF-4D5C-8B2D-21419358D4FB}" name="Column3123"/>
    <tableColumn id="3130" xr3:uid="{0CF9D85F-E117-49C4-A378-9E4BA6922057}" name="Column3124"/>
    <tableColumn id="3131" xr3:uid="{592F57C7-4CCB-4F94-8803-D28DC147EC64}" name="Column3125"/>
    <tableColumn id="3132" xr3:uid="{D54CBA29-A038-4FFC-9641-3CBACC91345E}" name="Column3126"/>
    <tableColumn id="3133" xr3:uid="{2D073C1D-8421-40F0-9314-63EDC014A483}" name="Column3127"/>
    <tableColumn id="3134" xr3:uid="{54A1F253-56F6-4623-87FE-4ED32D915FFF}" name="Column3128"/>
    <tableColumn id="3135" xr3:uid="{0082D2D1-CF49-4204-8103-893D9FA5D618}" name="Column3129"/>
    <tableColumn id="3136" xr3:uid="{06826AE6-4A52-44F4-B591-29BFA1A62480}" name="Column3130"/>
    <tableColumn id="3137" xr3:uid="{10AFE137-DC3E-48EE-901C-40E02751D9AB}" name="Column3131"/>
    <tableColumn id="3138" xr3:uid="{181E4BD5-6034-4F9F-962B-BBA44D1A4B54}" name="Column3132"/>
    <tableColumn id="3139" xr3:uid="{B59FE504-2C8A-4AEB-965C-C8626BB3AF2A}" name="Column3133"/>
    <tableColumn id="3140" xr3:uid="{6BAC72E7-8A26-4F2E-83F3-F309BCB64D4D}" name="Column3134"/>
    <tableColumn id="3141" xr3:uid="{2C3E39B1-1461-4EDD-8A40-864E546F0B35}" name="Column3135"/>
    <tableColumn id="3142" xr3:uid="{1851D3FC-62B7-4E63-A846-C588B7BB44B8}" name="Column3136"/>
    <tableColumn id="3143" xr3:uid="{85BF939A-BCF2-44DA-A6F6-2A94786FF94E}" name="Column3137"/>
    <tableColumn id="3144" xr3:uid="{80559CA5-9661-472E-9D90-03F47F4600F1}" name="Column3138"/>
    <tableColumn id="3145" xr3:uid="{499070CD-0A8B-45AA-BB29-D0E85C3CDB81}" name="Column3139"/>
    <tableColumn id="3146" xr3:uid="{0A0689AE-783A-4D85-9E9B-2A8968F580B7}" name="Column3140"/>
    <tableColumn id="3147" xr3:uid="{621C63A0-F6C2-4AA5-9757-0EC287C39D91}" name="Column3141"/>
    <tableColumn id="3148" xr3:uid="{EE3926F3-9627-4AF1-88BB-59F928F02FE6}" name="Column3142"/>
    <tableColumn id="3149" xr3:uid="{49C1DDB4-BEA8-47BB-A0F9-84D13D92974F}" name="Column3143"/>
    <tableColumn id="3150" xr3:uid="{18A81E76-FC98-4EAB-82DC-58BB8FC8D804}" name="Column3144"/>
    <tableColumn id="3151" xr3:uid="{6BFF09C2-D7CE-46BF-AD9C-2527BF408BAB}" name="Column3145"/>
    <tableColumn id="3152" xr3:uid="{CDDA34B7-F9B8-4807-B59E-401A4D16183B}" name="Column3146"/>
    <tableColumn id="3153" xr3:uid="{9BB0E41D-BCE8-4773-B765-517A157D028E}" name="Column3147"/>
    <tableColumn id="3154" xr3:uid="{681F953A-22E5-4C49-9AEC-F2B97B5C6D47}" name="Column3148"/>
    <tableColumn id="3155" xr3:uid="{8E2B5C42-0D57-4409-A06F-D4E0AD76B2EB}" name="Column3149"/>
    <tableColumn id="3156" xr3:uid="{FC55492F-9667-46EB-A5C6-2ACAE2E03951}" name="Column3150"/>
    <tableColumn id="3157" xr3:uid="{A66FD533-9978-4C24-BA50-D0C09C209EE5}" name="Column3151"/>
    <tableColumn id="3158" xr3:uid="{A2380187-83B9-437B-AFB0-7FB99CB621C3}" name="Column3152"/>
    <tableColumn id="3159" xr3:uid="{FF4115C5-B7A5-402B-9DFF-6B719ADA516C}" name="Column3153"/>
    <tableColumn id="3160" xr3:uid="{79197B53-B11E-4476-984A-C35D05BBE677}" name="Column3154"/>
    <tableColumn id="3161" xr3:uid="{DA925DE6-7FAA-4927-A0B8-44F04B6BFE10}" name="Column3155"/>
    <tableColumn id="3162" xr3:uid="{94E53182-61A2-4FF0-934D-B30891C9F63C}" name="Column3156"/>
    <tableColumn id="3163" xr3:uid="{58EDE42C-3369-49DA-BF0C-05299781F12A}" name="Column3157"/>
    <tableColumn id="3164" xr3:uid="{A3504142-D910-4421-89AE-FCB5F60C1746}" name="Column3158"/>
    <tableColumn id="3165" xr3:uid="{0A862495-8B96-4FAB-81ED-E3CAD3BC90A8}" name="Column3159"/>
    <tableColumn id="3166" xr3:uid="{84EC3571-32ED-4697-A905-BB2606A309E5}" name="Column3160"/>
    <tableColumn id="3167" xr3:uid="{C91785CC-36C5-4D64-8D2A-869C241D8FC1}" name="Column3161"/>
    <tableColumn id="3168" xr3:uid="{C158DB9F-1691-4390-98E6-371AC9ABD714}" name="Column3162"/>
    <tableColumn id="3169" xr3:uid="{61B1D067-BE2F-41F3-B2BA-B591B69A2414}" name="Column3163"/>
    <tableColumn id="3170" xr3:uid="{2E0C490D-6CA3-4DC9-BCBB-BF64F3E32FD8}" name="Column3164"/>
    <tableColumn id="3171" xr3:uid="{E9043CC6-E020-4AD5-AFF9-40626DC5868E}" name="Column3165"/>
    <tableColumn id="3172" xr3:uid="{BE68AF03-FCFC-4CD7-B257-60E06C6C6036}" name="Column3166"/>
    <tableColumn id="3173" xr3:uid="{91B21CEE-09F6-48CF-9B95-A91D15DC15E8}" name="Column3167"/>
    <tableColumn id="3174" xr3:uid="{3462C189-470F-4C33-AAE3-D26177050692}" name="Column3168"/>
    <tableColumn id="3175" xr3:uid="{F9B06BCE-B178-4D34-9AD4-3BD1B4B779C1}" name="Column3169"/>
    <tableColumn id="3176" xr3:uid="{00ACB062-D84B-47E4-8406-1773A82FF7A3}" name="Column3170"/>
    <tableColumn id="3177" xr3:uid="{5D366837-8782-43B7-8B0D-55EEEDAEF17F}" name="Column3171"/>
    <tableColumn id="3178" xr3:uid="{96A011CA-D7D8-4767-94A7-11C53000C54F}" name="Column3172"/>
    <tableColumn id="3179" xr3:uid="{9B700200-157E-4E8B-B487-122581D2AB98}" name="Column3173"/>
    <tableColumn id="3180" xr3:uid="{23FA14F6-E296-4A6F-8218-3303D642B6F1}" name="Column3174"/>
    <tableColumn id="3181" xr3:uid="{BFB91B53-88AA-4B80-A1D7-BE2AFBC72E14}" name="Column3175"/>
    <tableColumn id="3182" xr3:uid="{C989D861-5322-4522-827F-9B1179E3925F}" name="Column3176"/>
    <tableColumn id="3183" xr3:uid="{42E83454-C6CB-4DDE-B35E-533BA5A220C5}" name="Column3177"/>
    <tableColumn id="3184" xr3:uid="{356FC600-B582-4E07-AC05-D6291C73D953}" name="Column3178"/>
    <tableColumn id="3185" xr3:uid="{4B677216-A252-4C03-9E9E-8DA47DC8ACE4}" name="Column3179"/>
    <tableColumn id="3186" xr3:uid="{C4F76B79-A238-42FD-92AE-4EDBC6EF2E44}" name="Column3180"/>
    <tableColumn id="3187" xr3:uid="{9069EF11-4FEF-4918-A2D0-625522C2F262}" name="Column3181"/>
    <tableColumn id="3188" xr3:uid="{3F7C1CA0-ADD2-4394-B955-7C5B2992F747}" name="Column3182"/>
    <tableColumn id="3189" xr3:uid="{ABA61792-0F57-4D70-906C-892359F12443}" name="Column3183"/>
    <tableColumn id="3190" xr3:uid="{F79D1399-6AE6-4CFB-96F5-CC6E55C9F9C0}" name="Column3184"/>
    <tableColumn id="3191" xr3:uid="{E42373FA-9386-469E-B8E0-146042209F87}" name="Column3185"/>
    <tableColumn id="3192" xr3:uid="{E4FA8A12-DD93-49C8-85F6-CFADF6E217D4}" name="Column3186"/>
    <tableColumn id="3193" xr3:uid="{164A28CD-DDC4-461B-8088-3B8588DE7FFB}" name="Column3187"/>
    <tableColumn id="3194" xr3:uid="{579E61E1-CDFE-4846-A2CA-836F478DC1E6}" name="Column3188"/>
    <tableColumn id="3195" xr3:uid="{E6149D46-AF63-409C-9529-91DB9B4E7FD6}" name="Column3189"/>
    <tableColumn id="3196" xr3:uid="{E1101FBC-503F-4BEE-806D-E8DF6CEC6E54}" name="Column3190"/>
    <tableColumn id="3197" xr3:uid="{5BD4ABFE-3184-4196-8E2E-B22E74285B7B}" name="Column3191"/>
    <tableColumn id="3198" xr3:uid="{5F65681A-5FF7-439B-9634-5FDD814A788B}" name="Column3192"/>
    <tableColumn id="3199" xr3:uid="{D76E0DB1-509F-44D9-924E-E3E1FBCB8410}" name="Column3193"/>
    <tableColumn id="3200" xr3:uid="{C59F4CFD-C21F-4104-9868-257CCC885277}" name="Column3194"/>
    <tableColumn id="3201" xr3:uid="{E5AB931E-2F31-4D12-AF48-03A1E2AB9516}" name="Column3195"/>
    <tableColumn id="3202" xr3:uid="{F9AE60E8-F580-4F0E-893E-641E59C5838B}" name="Column3196"/>
    <tableColumn id="3203" xr3:uid="{5F3F2958-06C0-487E-BB8A-5D5BD16366DC}" name="Column3197"/>
    <tableColumn id="3204" xr3:uid="{731F9DF3-3A32-4B2F-B1BD-A4C10FBA8CE9}" name="Column3198"/>
    <tableColumn id="3205" xr3:uid="{803EE74A-A779-4B72-80CD-5DC9632834F7}" name="Column3199"/>
    <tableColumn id="3206" xr3:uid="{B5656ADC-22B0-4D58-B483-E13E45C2F230}" name="Column3200"/>
    <tableColumn id="3207" xr3:uid="{A3EBC166-066F-4758-A32A-34BE286B5DC2}" name="Column3201"/>
    <tableColumn id="3208" xr3:uid="{C5802296-5ACC-43E9-9F06-CAA268E2D64F}" name="Column3202"/>
    <tableColumn id="3209" xr3:uid="{280F8A87-DFEC-4214-B702-514303D6B333}" name="Column3203"/>
    <tableColumn id="3210" xr3:uid="{BE460E6B-393A-4455-994E-41C6B787F7C4}" name="Column3204"/>
    <tableColumn id="3211" xr3:uid="{359C021F-AE24-409E-A040-870BCA23A012}" name="Column3205"/>
    <tableColumn id="3212" xr3:uid="{50287D74-D7DE-4ECE-BC45-6B353F98A516}" name="Column3206"/>
    <tableColumn id="3213" xr3:uid="{13CF12EC-CBC1-4473-8BA1-AC5DBF90AF44}" name="Column3207"/>
    <tableColumn id="3214" xr3:uid="{B5761682-7D3D-44EB-A9CA-AE7CADF49654}" name="Column3208"/>
    <tableColumn id="3215" xr3:uid="{C56C4B9F-4DE3-4BA1-BED9-3F3D97C58B73}" name="Column3209"/>
    <tableColumn id="3216" xr3:uid="{02F7F697-284B-4FD1-8B53-DC5AB3CAF2CE}" name="Column3210"/>
    <tableColumn id="3217" xr3:uid="{2C164D37-E6FA-4FB3-A3DF-8224424BA2DA}" name="Column3211"/>
    <tableColumn id="3218" xr3:uid="{85C49641-49CF-46A0-B664-BE17E2FA12C5}" name="Column3212"/>
    <tableColumn id="3219" xr3:uid="{78DA80EF-14F8-48C4-9DCD-F78304C8D47B}" name="Column3213"/>
    <tableColumn id="3220" xr3:uid="{4B5F623E-D232-4E08-8996-8B89C2C32B79}" name="Column3214"/>
    <tableColumn id="3221" xr3:uid="{C8AAA4BC-481D-497C-8CF1-94F43BDB7863}" name="Column3215"/>
    <tableColumn id="3222" xr3:uid="{17BC8391-B01E-4F81-AB1C-740C346D9CA1}" name="Column3216"/>
    <tableColumn id="3223" xr3:uid="{92273FEB-1F09-40F9-AACB-122240E2434E}" name="Column3217"/>
    <tableColumn id="3224" xr3:uid="{88A7EDC7-D05A-40AC-89F8-5E25E519203E}" name="Column3218"/>
    <tableColumn id="3225" xr3:uid="{9BBDBCFD-6453-414E-BBA4-DC9EED9ED700}" name="Column3219"/>
    <tableColumn id="3226" xr3:uid="{43775594-29E0-43CD-AD89-A90D5F2FA0E5}" name="Column3220"/>
    <tableColumn id="3227" xr3:uid="{8FC88BEE-7FDC-4FEC-9770-7569DD0BD6DA}" name="Column3221"/>
    <tableColumn id="3228" xr3:uid="{6C24A02C-FDAA-4337-A0C9-CEA153B2E526}" name="Column3222"/>
    <tableColumn id="3229" xr3:uid="{B749964B-B5A4-4806-89B6-A5941F6C54D5}" name="Column3223"/>
    <tableColumn id="3230" xr3:uid="{51D4FA5D-E884-4342-8508-E0E613CE13B8}" name="Column3224"/>
    <tableColumn id="3231" xr3:uid="{D2599A52-19A4-49AF-88F5-343D45FB0A14}" name="Column3225"/>
    <tableColumn id="3232" xr3:uid="{06B3E1E8-D170-445C-AD02-883F90A0C75F}" name="Column3226"/>
    <tableColumn id="3233" xr3:uid="{24FDC151-A3EB-416D-A94E-105319B65CBD}" name="Column3227"/>
    <tableColumn id="3234" xr3:uid="{03E128D8-793D-47C4-8E92-7BFA25361870}" name="Column3228"/>
    <tableColumn id="3235" xr3:uid="{DCC01939-D1AA-46C0-B8E0-DE108EC34D22}" name="Column3229"/>
    <tableColumn id="3236" xr3:uid="{4C2B8BA8-9117-4492-99C1-9E6B238D9DDC}" name="Column3230"/>
    <tableColumn id="3237" xr3:uid="{40055A6D-9D18-4556-AEE7-ADFA77D4F715}" name="Column3231"/>
    <tableColumn id="3238" xr3:uid="{E83A332F-F439-43E0-9F21-31181D5CAC63}" name="Column3232"/>
    <tableColumn id="3239" xr3:uid="{1283E103-709E-4CB2-AC23-E03AE4E0CDC5}" name="Column3233"/>
    <tableColumn id="3240" xr3:uid="{C57E0A72-F3BC-4B21-8271-5B2B9BB4E512}" name="Column3234"/>
    <tableColumn id="3241" xr3:uid="{9A0701CF-CEC5-4904-8235-7AEC4ACF3DE5}" name="Column3235"/>
    <tableColumn id="3242" xr3:uid="{17EEA61E-3ED0-43F9-9EAE-AC96799DF0D9}" name="Column3236"/>
    <tableColumn id="3243" xr3:uid="{EBBD0C8A-8FAA-4C6B-BC35-744BA7738A37}" name="Column3237"/>
    <tableColumn id="3244" xr3:uid="{9E67D2BE-249B-4699-BD14-4A95F3A7BE93}" name="Column3238"/>
    <tableColumn id="3245" xr3:uid="{B3F0A123-ECAE-4C05-B0C2-A7B2375691F3}" name="Column3239"/>
    <tableColumn id="3246" xr3:uid="{DC130CCB-F72D-4C29-ADC0-9A0C4E026637}" name="Column3240"/>
    <tableColumn id="3247" xr3:uid="{0246CCFE-106C-46F0-BF8E-71E648F74474}" name="Column3241"/>
    <tableColumn id="3248" xr3:uid="{89571D6C-A924-4ED9-8BB3-06EB4132F1C7}" name="Column3242"/>
    <tableColumn id="3249" xr3:uid="{C4CEF396-A82E-4B9C-86DF-4DFC942228BB}" name="Column3243"/>
    <tableColumn id="3250" xr3:uid="{923DDC3E-3E6B-4F50-A7E9-C4D256229F66}" name="Column3244"/>
    <tableColumn id="3251" xr3:uid="{E8452440-E90A-4C80-88A2-5903CBE0C711}" name="Column3245"/>
    <tableColumn id="3252" xr3:uid="{30D39594-85DC-4DB2-B0F2-7CB4AB02B294}" name="Column3246"/>
    <tableColumn id="3253" xr3:uid="{CADBFCA0-B38C-4A14-885D-191240655B79}" name="Column3247"/>
    <tableColumn id="3254" xr3:uid="{3604F12E-D24B-4C58-85F8-29885CE3863C}" name="Column3248"/>
    <tableColumn id="3255" xr3:uid="{0AEEF3E5-A65D-4B5D-BF1D-A00412422FF8}" name="Column3249"/>
    <tableColumn id="3256" xr3:uid="{C6E1A4EF-DDD1-4BDE-9DC2-51B54CD6E3EB}" name="Column3250"/>
    <tableColumn id="3257" xr3:uid="{A9BF79C1-DA43-4FE5-9B60-19B38D2F2A5C}" name="Column3251"/>
    <tableColumn id="3258" xr3:uid="{57D48800-A1AE-4E01-A667-AE54281934F8}" name="Column3252"/>
    <tableColumn id="3259" xr3:uid="{B012CCB2-E415-4CD6-A2E7-86C7B49616B1}" name="Column3253"/>
    <tableColumn id="3260" xr3:uid="{E14DC643-E326-4E0B-B47A-BBC7182E5E4F}" name="Column3254"/>
    <tableColumn id="3261" xr3:uid="{715D42ED-BA07-432C-87E0-D0F76596CC89}" name="Column3255"/>
    <tableColumn id="3262" xr3:uid="{644F7E5C-5E5C-43BA-BDB1-7434B0E98AA3}" name="Column3256"/>
    <tableColumn id="3263" xr3:uid="{B91B82FE-734A-43FF-AA6B-F286DAB7A1A6}" name="Column3257"/>
    <tableColumn id="3264" xr3:uid="{5D5EDB3B-8CAA-43F3-815A-13110138E707}" name="Column3258"/>
    <tableColumn id="3265" xr3:uid="{33D80FBB-9321-4140-8E63-9212E0D48805}" name="Column3259"/>
    <tableColumn id="3266" xr3:uid="{37CFEBE6-0204-484D-A2F9-2C58E79FC8D4}" name="Column3260"/>
    <tableColumn id="3267" xr3:uid="{19E6F12F-3DDF-417F-9AB4-C1BC14886D3D}" name="Column3261"/>
    <tableColumn id="3268" xr3:uid="{78602DBD-E1FB-4E8C-AC8B-6D664DF8BA36}" name="Column3262"/>
    <tableColumn id="3269" xr3:uid="{9535C5AB-1A21-4E57-98E0-C848E2EA9550}" name="Column3263"/>
    <tableColumn id="3270" xr3:uid="{562D2A3B-C280-435D-8E9C-772DBFA1D624}" name="Column3264"/>
    <tableColumn id="3271" xr3:uid="{467E7791-4311-4EAB-A736-E1428B746F6B}" name="Column3265"/>
    <tableColumn id="3272" xr3:uid="{21D4360C-F530-42E8-AFCA-4FCB5E8A09CA}" name="Column3266"/>
    <tableColumn id="3273" xr3:uid="{C1C97341-D095-4DA2-9737-AF3A560039F6}" name="Column3267"/>
    <tableColumn id="3274" xr3:uid="{6D39827F-2DAF-4C05-91C9-A9221CC80EC0}" name="Column3268"/>
    <tableColumn id="3275" xr3:uid="{1EF88C2B-73C3-4D96-A81A-BAA7EC16D8A4}" name="Column3269"/>
    <tableColumn id="3276" xr3:uid="{BC938799-0DE5-4F8F-AAED-9501DFAA02CA}" name="Column3270"/>
    <tableColumn id="3277" xr3:uid="{3D5DD743-DDD4-49C1-922D-3FA721E7B5BD}" name="Column3271"/>
    <tableColumn id="3278" xr3:uid="{4C1FBAAF-F240-4DEF-8283-E9F83C1A882E}" name="Column3272"/>
    <tableColumn id="3279" xr3:uid="{24B9F44D-3C9F-410C-AE1D-01C06264D731}" name="Column3273"/>
    <tableColumn id="3280" xr3:uid="{D2B5286A-DDAF-4D30-8C79-2C9773033AF7}" name="Column3274"/>
    <tableColumn id="3281" xr3:uid="{660DE3DB-599F-4FA0-9345-7214AC605954}" name="Column3275"/>
    <tableColumn id="3282" xr3:uid="{27DC2831-0635-4AA6-A553-516AE1FCEC21}" name="Column3276"/>
    <tableColumn id="3283" xr3:uid="{1F001534-A40F-45B2-B5FD-D784A702E4BD}" name="Column3277"/>
    <tableColumn id="3284" xr3:uid="{16E4A8C9-52EE-429F-B703-1934850C0B2F}" name="Column3278"/>
    <tableColumn id="3285" xr3:uid="{45515647-D2CA-4AAF-B768-7D5301246613}" name="Column3279"/>
    <tableColumn id="3286" xr3:uid="{753B75BE-5EC7-4518-9C60-3D6829D909DF}" name="Column3280"/>
    <tableColumn id="3287" xr3:uid="{A65FEDA3-71F2-4374-AE5A-5F4BE13359E9}" name="Column3281"/>
    <tableColumn id="3288" xr3:uid="{6A68C9E0-80E7-4483-B272-750714E5B1B2}" name="Column3282"/>
    <tableColumn id="3289" xr3:uid="{56A2A44E-1CCF-49ED-8E7B-35D1A322671A}" name="Column3283"/>
    <tableColumn id="3290" xr3:uid="{651CAEC2-1F3A-4A00-B737-B5BC4B1BE07E}" name="Column3284"/>
    <tableColumn id="3291" xr3:uid="{53285E8B-8A19-4AA7-A65C-FD97C741B7F4}" name="Column3285"/>
    <tableColumn id="3292" xr3:uid="{10D50226-EC1A-4E95-87C4-6065CEBBDBE2}" name="Column3286"/>
    <tableColumn id="3293" xr3:uid="{22955737-8163-407C-A86D-A49FBE025486}" name="Column3287"/>
    <tableColumn id="3294" xr3:uid="{E4C43DB7-F4AA-4CF0-AF45-3D650E994F78}" name="Column3288"/>
    <tableColumn id="3295" xr3:uid="{B565E9CD-452F-4A26-9FDE-368ABC11C5B4}" name="Column3289"/>
    <tableColumn id="3296" xr3:uid="{F25BB0D2-AEEE-433F-A159-1D585DF921FA}" name="Column3290"/>
    <tableColumn id="3297" xr3:uid="{53B3E494-6917-492C-B8BE-F4ECB8C93499}" name="Column3291"/>
    <tableColumn id="3298" xr3:uid="{26EC4E34-7773-4DA3-B0BA-ED070D892CB9}" name="Column3292"/>
    <tableColumn id="3299" xr3:uid="{B5DB18F3-F8D5-494F-8C96-DCDA6ABEC84C}" name="Column3293"/>
    <tableColumn id="3300" xr3:uid="{D816416B-3101-4817-A92B-5CFF01593D7B}" name="Column3294"/>
    <tableColumn id="3301" xr3:uid="{8E421395-2C90-4AC4-8C92-C7D0F13823DF}" name="Column3295"/>
    <tableColumn id="3302" xr3:uid="{D2B00B50-8D7E-4DA1-8A3D-19A226AE35AE}" name="Column3296"/>
    <tableColumn id="3303" xr3:uid="{1868B53B-4253-4697-B7A0-09282450E2BD}" name="Column3297"/>
    <tableColumn id="3304" xr3:uid="{76EEA91B-F5F9-4B75-A1AF-FFD113B7F56D}" name="Column3298"/>
    <tableColumn id="3305" xr3:uid="{FBE6DBCB-FFD5-477E-BC3A-AE23A0FAE6A8}" name="Column3299"/>
    <tableColumn id="3306" xr3:uid="{D853C4C1-C9BE-4242-A7EE-2DFB318C12C9}" name="Column3300"/>
    <tableColumn id="3307" xr3:uid="{51062E59-E9CF-4D9C-8DDD-FF777B88E917}" name="Column3301"/>
    <tableColumn id="3308" xr3:uid="{5DD7BCBF-9A1B-4C8B-87AA-CDB76739330F}" name="Column3302"/>
    <tableColumn id="3309" xr3:uid="{2D5F2F85-0684-4B17-856C-7FBED6F75411}" name="Column3303"/>
    <tableColumn id="3310" xr3:uid="{45464225-5347-4B0E-80B2-D44DD91255FC}" name="Column3304"/>
    <tableColumn id="3311" xr3:uid="{87EBFEA1-059A-443D-BF71-B80DC4AC304D}" name="Column3305"/>
    <tableColumn id="3312" xr3:uid="{A834266F-8843-4BBB-A78B-48DC591777B9}" name="Column3306"/>
    <tableColumn id="3313" xr3:uid="{CAA1CA35-8224-41D3-9863-E14A3E0DDB62}" name="Column3307"/>
    <tableColumn id="3314" xr3:uid="{92A8997A-0522-473A-B89E-852B1704CCA5}" name="Column3308"/>
    <tableColumn id="3315" xr3:uid="{D7B02E5D-0E0C-48F6-8E63-A080FE3D7F7C}" name="Column3309"/>
    <tableColumn id="3316" xr3:uid="{B5C13673-E3AE-4174-9171-946955E58DF4}" name="Column3310"/>
    <tableColumn id="3317" xr3:uid="{027AF81D-60D8-488B-A7A3-32B3E229180B}" name="Column3311"/>
    <tableColumn id="3318" xr3:uid="{031583D4-9957-4494-917A-F69E004608E2}" name="Column3312"/>
    <tableColumn id="3319" xr3:uid="{84B849A9-17D1-4638-857F-A7EE36D3A239}" name="Column3313"/>
    <tableColumn id="3320" xr3:uid="{D8B47586-5311-4654-8D88-3BED8FA2D43E}" name="Column3314"/>
    <tableColumn id="3321" xr3:uid="{7E1AF15B-AAB4-4CD7-9D9A-812AE363BC89}" name="Column3315"/>
    <tableColumn id="3322" xr3:uid="{F535748C-516A-40FD-8B3E-E11223155F38}" name="Column3316"/>
    <tableColumn id="3323" xr3:uid="{56DE4A5A-FF0E-48BC-8D61-986D2D395186}" name="Column3317"/>
    <tableColumn id="3324" xr3:uid="{AE832185-0D97-4E70-9BAF-97EEF0E3732E}" name="Column3318"/>
    <tableColumn id="3325" xr3:uid="{6571F945-4EDA-426F-B021-570C99A2EB80}" name="Column3319"/>
    <tableColumn id="3326" xr3:uid="{9FB37F53-68C7-4E3F-9D61-570BDDE6B3DF}" name="Column3320"/>
    <tableColumn id="3327" xr3:uid="{8A06E3AA-DC10-47F3-B22E-0BFAE5381E73}" name="Column3321"/>
    <tableColumn id="3328" xr3:uid="{88617F98-E741-477B-8756-D7746186FE0C}" name="Column3322"/>
    <tableColumn id="3329" xr3:uid="{648C5E38-C287-493D-A7B8-EEA5376F3662}" name="Column3323"/>
    <tableColumn id="3330" xr3:uid="{17513115-16AE-4F63-ACF3-E7FEC0FC30EB}" name="Column3324"/>
    <tableColumn id="3331" xr3:uid="{578A075A-56CF-4803-99A6-E31526B8C050}" name="Column3325"/>
    <tableColumn id="3332" xr3:uid="{46E276C2-75C7-4565-A23C-1F054A516AAB}" name="Column3326"/>
    <tableColumn id="3333" xr3:uid="{19F9C81A-2294-4501-B21C-767ED1FBBA63}" name="Column3327"/>
    <tableColumn id="3334" xr3:uid="{E7EA5DB7-0FC3-4D41-88E2-1D375E384249}" name="Column3328"/>
    <tableColumn id="3335" xr3:uid="{6AA75CCC-C7A7-4912-BBCA-A6420CCA84CA}" name="Column3329"/>
    <tableColumn id="3336" xr3:uid="{7D63A44F-28DD-4C60-9C7A-D8804D355909}" name="Column3330"/>
    <tableColumn id="3337" xr3:uid="{9EC90247-BFFD-46EA-8C2C-E4D147B3CC72}" name="Column3331"/>
    <tableColumn id="3338" xr3:uid="{4EA0808B-B916-4EBF-882A-5CDC53B00D04}" name="Column3332"/>
    <tableColumn id="3339" xr3:uid="{5D49466B-D67B-475D-8841-E69B7503EDF1}" name="Column3333"/>
    <tableColumn id="3340" xr3:uid="{4DD74387-ECA9-40E8-8151-E569425CBED5}" name="Column3334"/>
    <tableColumn id="3341" xr3:uid="{A34C2F0D-EB27-4ABE-B8AA-64ECB6E413E8}" name="Column3335"/>
    <tableColumn id="3342" xr3:uid="{A07570EA-0B0F-481B-80F2-F3EE83BA4F63}" name="Column3336"/>
    <tableColumn id="3343" xr3:uid="{6B6375F1-2621-4D3C-8DFD-A38AD50B6AD6}" name="Column3337"/>
    <tableColumn id="3344" xr3:uid="{107FB3E6-C742-41B1-8720-267E0BA0A0F2}" name="Column3338"/>
    <tableColumn id="3345" xr3:uid="{B0D7AB4E-D353-4E28-AE5D-224F04CE19BA}" name="Column3339"/>
    <tableColumn id="3346" xr3:uid="{348A8BD8-8036-4E83-90D6-1A3C292DEE68}" name="Column3340"/>
    <tableColumn id="3347" xr3:uid="{7117A87C-588E-4F33-B354-371BA89D3C65}" name="Column3341"/>
    <tableColumn id="3348" xr3:uid="{DB29B584-7DAC-465B-AB6B-C4D4716F9B67}" name="Column3342"/>
    <tableColumn id="3349" xr3:uid="{007706F2-B33D-4951-ACD6-4E5FD5DFE780}" name="Column3343"/>
    <tableColumn id="3350" xr3:uid="{1F4DBDA4-9A61-4C46-A43C-2DE70A8CB1AE}" name="Column3344"/>
    <tableColumn id="3351" xr3:uid="{21C3207E-9862-498C-9AE2-4A5A48738E0F}" name="Column3345"/>
    <tableColumn id="3352" xr3:uid="{1751F3AA-7949-45B6-B12F-357DF5933E70}" name="Column3346"/>
    <tableColumn id="3353" xr3:uid="{B5BCF48D-A6AD-4ACD-AFFE-8738C6522F47}" name="Column3347"/>
    <tableColumn id="3354" xr3:uid="{AC5EAA01-EB93-4A5E-A286-63E353CA9C66}" name="Column3348"/>
    <tableColumn id="3355" xr3:uid="{2E9146C6-CEB6-4C96-A215-D4026FFCA551}" name="Column3349"/>
    <tableColumn id="3356" xr3:uid="{5AC6B4A3-802E-4BEA-85D6-A3732AA889DB}" name="Column3350"/>
    <tableColumn id="3357" xr3:uid="{351F4FAA-DFB9-4DA2-B2F4-FB7270EE3B7B}" name="Column3351"/>
    <tableColumn id="3358" xr3:uid="{267A77F3-CAB4-43C3-8E83-A9DC00916DB2}" name="Column3352"/>
    <tableColumn id="3359" xr3:uid="{8EEB788A-203B-4BD1-A020-7C20CA94C7FF}" name="Column3353"/>
    <tableColumn id="3360" xr3:uid="{CEE572E5-8C9D-4BEC-A63A-7A6C4E3AA4A3}" name="Column3354"/>
    <tableColumn id="3361" xr3:uid="{F361E969-3F44-476E-8A05-70090CF80DDC}" name="Column3355"/>
    <tableColumn id="3362" xr3:uid="{1645A7C5-A8E1-4A09-B742-22748E88AA78}" name="Column3356"/>
    <tableColumn id="3363" xr3:uid="{4E2283B6-9632-4B73-A68D-783181C2E8A3}" name="Column3357"/>
    <tableColumn id="3364" xr3:uid="{94346751-2A86-4F59-A3B1-3D49C11F39D8}" name="Column3358"/>
    <tableColumn id="3365" xr3:uid="{6BCAAB98-4BAF-4E0E-A66B-46F37538733D}" name="Column3359"/>
    <tableColumn id="3366" xr3:uid="{F9F67A79-9E2E-40AD-93BF-ABDCBA5EC71E}" name="Column3360"/>
    <tableColumn id="3367" xr3:uid="{48DC74BC-68D8-46CC-94E4-BC989DEB4361}" name="Column3361"/>
    <tableColumn id="3368" xr3:uid="{1EABCB2F-E624-4C33-AB29-541D7A8AA823}" name="Column3362"/>
    <tableColumn id="3369" xr3:uid="{91B89480-B4F3-41D7-B6B2-F1D2EB92AB19}" name="Column3363"/>
    <tableColumn id="3370" xr3:uid="{4224210A-5489-49CF-86C3-35A8E9C7E8A2}" name="Column3364"/>
    <tableColumn id="3371" xr3:uid="{47531D54-C62C-4DD7-9F4B-766C6355FDC6}" name="Column3365"/>
    <tableColumn id="3372" xr3:uid="{E4EA2EE3-A450-44EB-B17D-522BD54ED053}" name="Column3366"/>
    <tableColumn id="3373" xr3:uid="{C476C1B9-CD19-4B43-8EBA-B10B2AAF50BB}" name="Column3367"/>
    <tableColumn id="3374" xr3:uid="{0AC195B3-31CE-42C9-81C5-75A3954CCA0C}" name="Column3368"/>
    <tableColumn id="3375" xr3:uid="{ECC2CD85-7C4C-4E28-8643-0DDF87A0E7CD}" name="Column3369"/>
    <tableColumn id="3376" xr3:uid="{8AE53D27-0BA5-4A85-8944-0BA3BF4D1561}" name="Column3370"/>
    <tableColumn id="3377" xr3:uid="{13B6A3B4-97F0-42FA-867F-C59344AC4B07}" name="Column3371"/>
    <tableColumn id="3378" xr3:uid="{59B958E1-0C73-4E44-8506-22077F6FF293}" name="Column3372"/>
    <tableColumn id="3379" xr3:uid="{A166F431-B0BD-4749-A9AE-F7DD2315A47D}" name="Column3373"/>
    <tableColumn id="3380" xr3:uid="{E729FBC6-7495-4FF3-BC83-4ABC910C320F}" name="Column3374"/>
    <tableColumn id="3381" xr3:uid="{51ADD85B-3D6A-4F24-9DE2-6C79B2943095}" name="Column3375"/>
    <tableColumn id="3382" xr3:uid="{FF1B4741-9C00-468D-8D96-52DB9D1CA65F}" name="Column3376"/>
    <tableColumn id="3383" xr3:uid="{BF005350-5849-4363-A4D2-B2215E5C8B9E}" name="Column3377"/>
    <tableColumn id="3384" xr3:uid="{9C03BC1D-6314-4B63-B89B-CDC7D9997318}" name="Column3378"/>
    <tableColumn id="3385" xr3:uid="{3EC2F6FE-F105-4018-928C-26550D09F69D}" name="Column3379"/>
    <tableColumn id="3386" xr3:uid="{5912BB42-626F-4CE3-9FD5-17B22ADD3515}" name="Column3380"/>
    <tableColumn id="3387" xr3:uid="{EBC9FD05-DAA5-4434-87B2-E66B831C1611}" name="Column3381"/>
    <tableColumn id="3388" xr3:uid="{C635A505-4DBE-47DA-86B4-6517EC00C805}" name="Column3382"/>
    <tableColumn id="3389" xr3:uid="{11D5D51C-9422-4599-B2C1-798EBF084E9B}" name="Column3383"/>
    <tableColumn id="3390" xr3:uid="{8B1C35EB-16DD-4CB6-85F2-0564272E2490}" name="Column3384"/>
    <tableColumn id="3391" xr3:uid="{00C72BF7-D8AB-4C75-A495-642D234E6A64}" name="Column3385"/>
    <tableColumn id="3392" xr3:uid="{AA780C4A-029C-4AEC-B32B-723E5C7D318E}" name="Column3386"/>
    <tableColumn id="3393" xr3:uid="{02331B5F-260D-45CD-8B9B-C48956EF5754}" name="Column3387"/>
    <tableColumn id="3394" xr3:uid="{78FA3B21-0BC6-4BD4-8ECE-0E3A8EB7D2C6}" name="Column3388"/>
    <tableColumn id="3395" xr3:uid="{DF3BF959-6995-4F5C-8F8E-CDA497A54ADC}" name="Column3389"/>
    <tableColumn id="3396" xr3:uid="{5915F9A4-6AE7-45AF-8545-5FF06F59FBC5}" name="Column3390"/>
    <tableColumn id="3397" xr3:uid="{31224B48-3F7E-43D5-B875-F33309444A65}" name="Column3391"/>
    <tableColumn id="3398" xr3:uid="{A0B9C55F-B8FD-4293-AFF0-273062C41DF5}" name="Column3392"/>
    <tableColumn id="3399" xr3:uid="{384735E7-0F3C-4B3B-A47B-D1BE1B9A9E10}" name="Column3393"/>
    <tableColumn id="3400" xr3:uid="{8D013377-4F3A-4A8E-8692-28E2FDFE05E9}" name="Column3394"/>
    <tableColumn id="3401" xr3:uid="{1BEF90CB-5F52-4DFF-AD1F-CC58825D306B}" name="Column3395"/>
    <tableColumn id="3402" xr3:uid="{677A4BE7-05DE-4F4C-A130-81EF159DBDB5}" name="Column3396"/>
    <tableColumn id="3403" xr3:uid="{E20740AD-CD6D-4879-BCF6-CBC7ABC1DBC6}" name="Column3397"/>
    <tableColumn id="3404" xr3:uid="{D889D2AB-32D1-4C76-8890-FFD2FBA1F924}" name="Column3398"/>
    <tableColumn id="3405" xr3:uid="{A5BA2A4E-4FE1-4BB6-A94C-2DB40686C750}" name="Column3399"/>
    <tableColumn id="3406" xr3:uid="{673AB831-EFA5-4968-8E9E-4C07205406BA}" name="Column3400"/>
    <tableColumn id="3407" xr3:uid="{C8C86A66-83E6-46E8-9813-4F491D8E3514}" name="Column3401"/>
    <tableColumn id="3408" xr3:uid="{4903A808-BA3F-4734-B3B1-FEEDDC0B8C31}" name="Column3402"/>
    <tableColumn id="3409" xr3:uid="{A95784DD-C58A-43E2-9DF5-7CE24671EEFD}" name="Column3403"/>
    <tableColumn id="3410" xr3:uid="{ACD427E5-579D-4762-A91E-2266BE1381AD}" name="Column3404"/>
    <tableColumn id="3411" xr3:uid="{9C4CCE5E-0A88-4B36-969B-010EBB7478F5}" name="Column3405"/>
    <tableColumn id="3412" xr3:uid="{32B15984-624B-4D91-8954-C16049D2292A}" name="Column3406"/>
    <tableColumn id="3413" xr3:uid="{B502E6E5-0094-4FFF-8D15-D9C554BACAB6}" name="Column3407"/>
    <tableColumn id="3414" xr3:uid="{6C0B78A4-8FBF-4E76-BDF8-0F15F62A04AD}" name="Column3408"/>
    <tableColumn id="3415" xr3:uid="{446A133E-D1F9-4DCA-9BBF-1BCC56A5B0F0}" name="Column3409"/>
    <tableColumn id="3416" xr3:uid="{4AAC35EB-5296-4738-AC13-D4B2D355A4A0}" name="Column3410"/>
    <tableColumn id="3417" xr3:uid="{A773C425-C494-44F8-B71C-F9CABF66E3B2}" name="Column3411"/>
    <tableColumn id="3418" xr3:uid="{48B23DD7-8290-4B4E-A5E6-D3D95FA9F90C}" name="Column3412"/>
    <tableColumn id="3419" xr3:uid="{1A6218F7-091D-43BE-BD77-9BBE014EB182}" name="Column3413"/>
    <tableColumn id="3420" xr3:uid="{6AE7D428-17BE-4CF0-868D-A8761FA8E7F8}" name="Column3414"/>
    <tableColumn id="3421" xr3:uid="{979B90FA-6A64-4B78-8394-59315039698D}" name="Column3415"/>
    <tableColumn id="3422" xr3:uid="{56223C9F-8195-492F-B7FE-04A396270FD5}" name="Column3416"/>
    <tableColumn id="3423" xr3:uid="{92D8F4C2-279C-4DB8-B735-AB088D4CE280}" name="Column3417"/>
    <tableColumn id="3424" xr3:uid="{4999B966-586A-4430-9857-22F4C9AFCC65}" name="Column3418"/>
    <tableColumn id="3425" xr3:uid="{26DFD8C8-C3B3-4A26-B9EC-862CFCB66D51}" name="Column3419"/>
    <tableColumn id="3426" xr3:uid="{9319A7D2-E5E7-431B-8157-4C1338227E3D}" name="Column3420"/>
    <tableColumn id="3427" xr3:uid="{616E5D87-114A-47E5-8912-E03E31C8EEBA}" name="Column3421"/>
    <tableColumn id="3428" xr3:uid="{78F50787-548A-4918-8D91-1C9CA576828B}" name="Column3422"/>
    <tableColumn id="3429" xr3:uid="{CE8DBA29-7A11-4CF1-B8C9-5A759BCFC787}" name="Column3423"/>
    <tableColumn id="3430" xr3:uid="{680B5F5A-3DD5-48DF-9FA9-978660B14697}" name="Column3424"/>
    <tableColumn id="3431" xr3:uid="{147FCC8D-89C2-4C4A-AB3E-B1F548D2E24D}" name="Column3425"/>
    <tableColumn id="3432" xr3:uid="{07CD3AD8-A1CE-43E0-91B7-6AF8C3C2F7F7}" name="Column3426"/>
    <tableColumn id="3433" xr3:uid="{72537615-0AA2-49DE-8E4C-373E5B1F52FB}" name="Column3427"/>
    <tableColumn id="3434" xr3:uid="{67ED5282-9CC3-43CA-9C86-D616A7FB82DE}" name="Column3428"/>
    <tableColumn id="3435" xr3:uid="{9DD3CC7D-1AE0-4BD9-9209-3C902B063616}" name="Column3429"/>
    <tableColumn id="3436" xr3:uid="{35562861-FA30-4BCF-A75C-C37B316A256D}" name="Column3430"/>
    <tableColumn id="3437" xr3:uid="{35A03FB4-F363-472F-9EE9-D2A3881F8FF0}" name="Column3431"/>
    <tableColumn id="3438" xr3:uid="{FB261753-C859-47FC-95F3-C4A0F791A383}" name="Column3432"/>
    <tableColumn id="3439" xr3:uid="{E8D2B0AA-459F-4351-8433-B91EA1F80256}" name="Column3433"/>
    <tableColumn id="3440" xr3:uid="{ED561E6C-F6CC-4358-9C01-D5425081050C}" name="Column3434"/>
    <tableColumn id="3441" xr3:uid="{39674D70-10F1-480D-9029-875626EDD810}" name="Column3435"/>
    <tableColumn id="3442" xr3:uid="{E757564E-BC56-4FA3-8ED8-C6AD50F2C438}" name="Column3436"/>
    <tableColumn id="3443" xr3:uid="{601B795C-6E53-4354-A8E7-07F3B84EC980}" name="Column3437"/>
    <tableColumn id="3444" xr3:uid="{3B59B86F-DDBD-4964-9BBA-B6A05ACD846E}" name="Column3438"/>
    <tableColumn id="3445" xr3:uid="{915628D7-BFC1-4170-858F-E593C5C9123D}" name="Column3439"/>
    <tableColumn id="3446" xr3:uid="{52059143-E2E3-42E3-9152-C2035DFE0720}" name="Column3440"/>
    <tableColumn id="3447" xr3:uid="{5C9DD1A5-9DDD-40B4-8201-9961B3BB27F0}" name="Column3441"/>
    <tableColumn id="3448" xr3:uid="{08EE31F8-F92A-4BA5-A6A0-935A2C9A383B}" name="Column3442"/>
    <tableColumn id="3449" xr3:uid="{7615D67C-6CE7-413E-BB4E-D8000F13E567}" name="Column3443"/>
    <tableColumn id="3450" xr3:uid="{58CA62F2-55FA-4D55-852B-2E0240F7DBC4}" name="Column3444"/>
    <tableColumn id="3451" xr3:uid="{01760BD6-C375-4DA8-883B-488D25CF17CA}" name="Column3445"/>
    <tableColumn id="3452" xr3:uid="{16C2B6AE-E716-417D-83BB-22991A6AEE36}" name="Column3446"/>
    <tableColumn id="3453" xr3:uid="{473B747A-EF82-420B-A27E-6D64984D491F}" name="Column3447"/>
    <tableColumn id="3454" xr3:uid="{C353BF29-98BF-46F0-AF95-965671BF555C}" name="Column3448"/>
    <tableColumn id="3455" xr3:uid="{0E84570B-468B-413A-909D-02D9FCCEE5A7}" name="Column3449"/>
    <tableColumn id="3456" xr3:uid="{874E9687-34CE-4C0B-95A2-C84C7AF93357}" name="Column3450"/>
    <tableColumn id="3457" xr3:uid="{A98DBF02-C50E-4646-871E-4AC4FFCB7192}" name="Column3451"/>
    <tableColumn id="3458" xr3:uid="{405E78CE-5A3B-4C9E-BC7F-66FB034CFFC4}" name="Column3452"/>
    <tableColumn id="3459" xr3:uid="{43DA2C82-05E2-4A3B-A2FC-6F650C35297A}" name="Column3453"/>
    <tableColumn id="3460" xr3:uid="{6DE70A6B-6F9D-4BAF-BACF-CEFA58B67419}" name="Column3454"/>
    <tableColumn id="3461" xr3:uid="{BF6C3FC9-5813-42D3-BE08-50A5B69D5527}" name="Column3455"/>
    <tableColumn id="3462" xr3:uid="{50B8167F-BDFC-4B9F-80DF-C870BCDCEA58}" name="Column3456"/>
    <tableColumn id="3463" xr3:uid="{B8B4E75B-D4B3-4E2C-923A-FF0EA3395AFC}" name="Column3457"/>
    <tableColumn id="3464" xr3:uid="{6B5C3F88-7C9C-4FE6-A7EF-675E4B90C3BC}" name="Column3458"/>
    <tableColumn id="3465" xr3:uid="{9C36AC7C-5CF9-4E17-B2A3-00714A4D01A3}" name="Column3459"/>
    <tableColumn id="3466" xr3:uid="{0D74167D-3A38-44C9-B0BC-EA39926B671B}" name="Column3460"/>
    <tableColumn id="3467" xr3:uid="{1F5C5EDD-5E24-44C7-9790-B6A585B350DE}" name="Column3461"/>
    <tableColumn id="3468" xr3:uid="{FDA0FE96-2D7A-4C75-9E74-C971C00B68C3}" name="Column3462"/>
    <tableColumn id="3469" xr3:uid="{A9AB9BFB-4CA1-4A49-8AEA-F6A942F2C473}" name="Column3463"/>
    <tableColumn id="3470" xr3:uid="{7F293CF0-DE96-4753-930B-E9689F08922A}" name="Column3464"/>
    <tableColumn id="3471" xr3:uid="{20AC4A8F-B323-4FA0-9BA4-C7E713D47570}" name="Column3465"/>
    <tableColumn id="3472" xr3:uid="{9A5222F6-7ED6-4723-A702-864F19494FF6}" name="Column3466"/>
    <tableColumn id="3473" xr3:uid="{9E731974-2524-47A8-91CA-ACC2CD72D899}" name="Column3467"/>
    <tableColumn id="3474" xr3:uid="{698E7A58-E567-44A8-ABCC-DAFF391076FE}" name="Column3468"/>
    <tableColumn id="3475" xr3:uid="{8821E624-A59E-438A-B546-A61D14627BA7}" name="Column3469"/>
    <tableColumn id="3476" xr3:uid="{C65876A3-986E-4917-965A-F721F80C1D67}" name="Column3470"/>
    <tableColumn id="3477" xr3:uid="{C215AE08-BF02-4537-B562-18537D0C3335}" name="Column3471"/>
    <tableColumn id="3478" xr3:uid="{E1F15AF4-8BC7-4504-B82E-6469A53B5BE5}" name="Column3472"/>
    <tableColumn id="3479" xr3:uid="{0B4F68F4-F74D-437C-A064-BF39DF7984FB}" name="Column3473"/>
    <tableColumn id="3480" xr3:uid="{4A8517C5-B5E7-4E11-BE75-01C50338C7E5}" name="Column3474"/>
    <tableColumn id="3481" xr3:uid="{4B929FB5-2A7B-4CA3-A6C7-40BCD00FCF70}" name="Column3475"/>
    <tableColumn id="3482" xr3:uid="{2155F9C2-621B-4E9D-8807-AA51E5BB3ABB}" name="Column3476"/>
    <tableColumn id="3483" xr3:uid="{6BC8011B-0FC5-49BB-B80D-C3D47C68E0B0}" name="Column3477"/>
    <tableColumn id="3484" xr3:uid="{09AC2298-0CF8-4072-AEBA-F32F7BB07D8A}" name="Column3478"/>
    <tableColumn id="3485" xr3:uid="{0BD0A4BE-4C2A-4FC5-95F7-73E93BEDFB0F}" name="Column3479"/>
    <tableColumn id="3486" xr3:uid="{D2F7F745-9090-4039-A4EC-89B689DA43EB}" name="Column3480"/>
    <tableColumn id="3487" xr3:uid="{21D0015C-1ED7-42C7-9421-AC1FADA96DE2}" name="Column3481"/>
    <tableColumn id="3488" xr3:uid="{1E2552CC-A098-4FCC-B600-196DE776FA91}" name="Column3482"/>
    <tableColumn id="3489" xr3:uid="{D19A0BD2-6CBA-4318-ABD4-52CB82D1549B}" name="Column3483"/>
    <tableColumn id="3490" xr3:uid="{CCF0672D-3DAF-4F40-8116-21EAD7CBE115}" name="Column3484"/>
    <tableColumn id="3491" xr3:uid="{51EA5EF4-E5C4-48DF-B1C7-183B4517C9A7}" name="Column3485"/>
    <tableColumn id="3492" xr3:uid="{09B37DBA-462B-48B4-B531-65F7275C8054}" name="Column3486"/>
    <tableColumn id="3493" xr3:uid="{00A9D9C1-6860-4E7A-BF95-35DFBC08BBA0}" name="Column3487"/>
    <tableColumn id="3494" xr3:uid="{00F8436C-6076-41EB-84DE-2B148DE791AB}" name="Column3488"/>
    <tableColumn id="3495" xr3:uid="{3877F604-5E4A-4A23-AAD5-4BE4876E75B9}" name="Column3489"/>
    <tableColumn id="3496" xr3:uid="{89A28611-4E23-4462-B8C8-04CDF0DD3BD3}" name="Column3490"/>
    <tableColumn id="3497" xr3:uid="{5FC1D7BE-E0B6-4BAD-A9B4-7F1CF5DD473C}" name="Column3491"/>
    <tableColumn id="3498" xr3:uid="{9D9A570B-F989-4E69-8406-8635218F832E}" name="Column3492"/>
    <tableColumn id="3499" xr3:uid="{C6D8D891-B53C-4EC9-9D41-C49C3606DF1B}" name="Column3493"/>
    <tableColumn id="3500" xr3:uid="{82203202-43A0-4F1C-B3B5-4844E3107D77}" name="Column3494"/>
    <tableColumn id="3501" xr3:uid="{BA1F43C1-5B58-46F6-B695-B3A9392E30BE}" name="Column3495"/>
    <tableColumn id="3502" xr3:uid="{23146900-755A-433F-9137-D8178CE4D45E}" name="Column3496"/>
    <tableColumn id="3503" xr3:uid="{6F300D58-7534-465A-84D6-FC9A6CBA4AFE}" name="Column3497"/>
    <tableColumn id="3504" xr3:uid="{34123D1E-D5A6-4EBC-A705-084F9E732021}" name="Column3498"/>
    <tableColumn id="3505" xr3:uid="{F702C920-274F-4DE1-BB31-DB0CD5F4E96E}" name="Column3499"/>
    <tableColumn id="3506" xr3:uid="{CE3CAED7-2EC9-4F5A-B93F-405F9C719F83}" name="Column3500"/>
    <tableColumn id="3507" xr3:uid="{39BBED2D-9826-4929-A83F-4A761327D552}" name="Column3501"/>
    <tableColumn id="3508" xr3:uid="{C52A741E-EE60-45A7-89AA-EAB51480BDBC}" name="Column3502"/>
    <tableColumn id="3509" xr3:uid="{47BDF810-A976-46FE-B00F-DB3B782EA737}" name="Column3503"/>
    <tableColumn id="3510" xr3:uid="{8DBBC929-A478-498A-9186-DEF20AF339B0}" name="Column3504"/>
    <tableColumn id="3511" xr3:uid="{92B61D59-F204-495D-B81C-D35D31B36D77}" name="Column3505"/>
    <tableColumn id="3512" xr3:uid="{E4755A27-2792-4E93-8F10-AED524FB049D}" name="Column3506"/>
    <tableColumn id="3513" xr3:uid="{C755AE64-3FDE-4BD0-B2AD-630424FDBD66}" name="Column3507"/>
    <tableColumn id="3514" xr3:uid="{97481FA7-A934-4373-ABE9-A6241D5751CE}" name="Column3508"/>
    <tableColumn id="3515" xr3:uid="{BF4F9063-791A-48B0-8E24-F23E87BE832C}" name="Column3509"/>
    <tableColumn id="3516" xr3:uid="{9CD1050C-7E59-4742-9602-90FFD6B12655}" name="Column3510"/>
    <tableColumn id="3517" xr3:uid="{2A468C83-96D8-4ECC-BC27-BC9C1017DBF0}" name="Column3511"/>
    <tableColumn id="3518" xr3:uid="{89C7A15D-23DF-48E3-8F1E-9FE4739A047F}" name="Column3512"/>
    <tableColumn id="3519" xr3:uid="{59C6CF88-3F9B-420B-9C28-109461774529}" name="Column3513"/>
    <tableColumn id="3520" xr3:uid="{23CFAE84-7D09-4742-AB77-C02190B58848}" name="Column3514"/>
    <tableColumn id="3521" xr3:uid="{A8D2C043-21F0-4887-993F-422E3C209FE1}" name="Column3515"/>
    <tableColumn id="3522" xr3:uid="{C044CD59-8635-42C1-95A8-2D36EEEAD1A9}" name="Column3516"/>
    <tableColumn id="3523" xr3:uid="{59E99CBA-2D29-4D82-9241-5F5F493AD34E}" name="Column3517"/>
    <tableColumn id="3524" xr3:uid="{81D31AE6-E91F-4FAD-B470-46730963401B}" name="Column3518"/>
    <tableColumn id="3525" xr3:uid="{10A411B9-6A10-48AA-B958-0AABB081AFFB}" name="Column3519"/>
    <tableColumn id="3526" xr3:uid="{2BD9D9FF-896C-4DC4-8572-9AD8BB702BFC}" name="Column3520"/>
    <tableColumn id="3527" xr3:uid="{FD9E8DC5-896A-48A8-8BCF-15D43CD4D175}" name="Column3521"/>
    <tableColumn id="3528" xr3:uid="{DFB8F15D-DBE4-42B4-9FE6-13ABA58DB32F}" name="Column3522"/>
    <tableColumn id="3529" xr3:uid="{D7ED12FC-1B28-4088-85E8-76BCF3D61B22}" name="Column3523"/>
    <tableColumn id="3530" xr3:uid="{2F4F5DF8-6E15-4341-9B5C-9A5BD7450B33}" name="Column3524"/>
    <tableColumn id="3531" xr3:uid="{2FB0A6BB-8240-4BDA-9A5E-61ACAAD000BB}" name="Column3525"/>
    <tableColumn id="3532" xr3:uid="{F6ADEC0A-1C1C-466F-9AFF-E12A881F5BA1}" name="Column3526"/>
    <tableColumn id="3533" xr3:uid="{94D2B1E5-7ADA-4819-BCBB-03CE4671760E}" name="Column3527"/>
    <tableColumn id="3534" xr3:uid="{B62189B9-A8D9-49E5-B5AB-5284D7C7A86A}" name="Column3528"/>
    <tableColumn id="3535" xr3:uid="{9955BAB1-410F-4D89-9E4C-53CA3778045E}" name="Column3529"/>
    <tableColumn id="3536" xr3:uid="{77A40AEC-A85F-4658-AB4F-111DF61D12B0}" name="Column3530"/>
    <tableColumn id="3537" xr3:uid="{97F14C70-3683-41A0-9E03-F58B53C93C65}" name="Column3531"/>
    <tableColumn id="3538" xr3:uid="{CB60B94F-4483-414C-830F-46A57316095C}" name="Column3532"/>
    <tableColumn id="3539" xr3:uid="{156139AB-A094-4908-8987-A21922E8128B}" name="Column3533"/>
    <tableColumn id="3540" xr3:uid="{F1A0FC66-7E31-4027-9446-1B7EBD58261C}" name="Column3534"/>
    <tableColumn id="3541" xr3:uid="{5BC2DA12-3A5A-48E1-A366-0101107BBF85}" name="Column3535"/>
    <tableColumn id="3542" xr3:uid="{3304F996-B820-4578-9CF1-6E07DDC1CABD}" name="Column3536"/>
    <tableColumn id="3543" xr3:uid="{3CDBCAB6-4441-47BA-83F1-51167154F063}" name="Column3537"/>
    <tableColumn id="3544" xr3:uid="{6354E846-BDC9-404A-B4E9-76019763A8CD}" name="Column3538"/>
    <tableColumn id="3545" xr3:uid="{DD16FCB1-1230-4527-AA75-64566241A812}" name="Column3539"/>
    <tableColumn id="3546" xr3:uid="{FD373877-C4CF-4AA5-AAF4-CDD89A139A86}" name="Column3540"/>
    <tableColumn id="3547" xr3:uid="{0910E816-247C-40E2-83A0-602B8FF3DFF4}" name="Column3541"/>
    <tableColumn id="3548" xr3:uid="{568C5D3A-5C93-4A62-B6F4-9640E3CBB1FC}" name="Column3542"/>
    <tableColumn id="3549" xr3:uid="{C93C8DD1-8559-48AD-B688-F640918BBB7A}" name="Column3543"/>
    <tableColumn id="3550" xr3:uid="{3ADC9178-F414-46C7-9540-A2E1E0FD6075}" name="Column3544"/>
    <tableColumn id="3551" xr3:uid="{2C0FD4C9-968B-4C71-98F3-788E00A587D1}" name="Column3545"/>
    <tableColumn id="3552" xr3:uid="{163D712C-AB55-4C96-BBDE-682958923138}" name="Column3546"/>
    <tableColumn id="3553" xr3:uid="{6F3203BA-B2F8-4E55-9B9D-15CB5F588EF1}" name="Column3547"/>
    <tableColumn id="3554" xr3:uid="{2B32E6CE-3FAA-4845-8486-958A0E75B918}" name="Column3548"/>
    <tableColumn id="3555" xr3:uid="{8BB94FAE-5006-4A70-AD75-C5F168C535BE}" name="Column3549"/>
    <tableColumn id="3556" xr3:uid="{7085962C-EDA0-428E-805D-7672DE38D607}" name="Column3550"/>
    <tableColumn id="3557" xr3:uid="{37BE762E-6BF9-4264-97A9-F8C3EABDEC66}" name="Column3551"/>
    <tableColumn id="3558" xr3:uid="{64F27CA8-68FF-4A8B-8623-DA5F1D85232D}" name="Column3552"/>
    <tableColumn id="3559" xr3:uid="{6AC597C1-8263-4351-A5AD-D4E1F28E21F2}" name="Column3553"/>
    <tableColumn id="3560" xr3:uid="{296C5A6E-3AD5-4D8F-A4F8-351A16040FFF}" name="Column3554"/>
    <tableColumn id="3561" xr3:uid="{200D11D4-7E52-4D41-B8E7-1F7C2456352B}" name="Column3555"/>
    <tableColumn id="3562" xr3:uid="{4AC28574-B992-483B-AEC9-CAB18D06E718}" name="Column3556"/>
    <tableColumn id="3563" xr3:uid="{05DEB08D-D224-468F-A32C-5857A967FB88}" name="Column3557"/>
    <tableColumn id="3564" xr3:uid="{8B33D540-E266-4ECC-A7E9-5533B753D760}" name="Column3558"/>
    <tableColumn id="3565" xr3:uid="{F84B209E-1753-49A4-BC3A-FFC4E5FB4E95}" name="Column3559"/>
    <tableColumn id="3566" xr3:uid="{555BE23A-97A1-4907-ADD2-04CDB3A7C9DC}" name="Column3560"/>
    <tableColumn id="3567" xr3:uid="{56A63F86-9E80-4DD3-ADB5-166A36A92A74}" name="Column3561"/>
    <tableColumn id="3568" xr3:uid="{17DBF53C-2D2D-4C70-91FF-83B5A12E314A}" name="Column3562"/>
    <tableColumn id="3569" xr3:uid="{D7613014-000D-4651-947D-450D1018C1EB}" name="Column3563"/>
    <tableColumn id="3570" xr3:uid="{2E37EDC7-AF7B-4E25-80E7-CA24E7FAC0A9}" name="Column3564"/>
    <tableColumn id="3571" xr3:uid="{69852A1F-D77B-4016-A7B6-99119CD249B5}" name="Column3565"/>
    <tableColumn id="3572" xr3:uid="{C0441B79-A80F-465D-8E8D-4554609646C5}" name="Column3566"/>
    <tableColumn id="3573" xr3:uid="{51F9561A-2021-47AD-B8E9-68E3CCED0980}" name="Column3567"/>
    <tableColumn id="3574" xr3:uid="{F8FAF653-1F10-420E-91D5-180EE91D7AC4}" name="Column3568"/>
    <tableColumn id="3575" xr3:uid="{4B564302-904F-4AC2-85B5-3633D198160C}" name="Column3569"/>
    <tableColumn id="3576" xr3:uid="{4B0B2D2B-3ADD-40DE-AA80-9F733C24F58F}" name="Column3570"/>
    <tableColumn id="3577" xr3:uid="{0344D9E6-734D-4372-9139-F9F7B2833894}" name="Column3571"/>
    <tableColumn id="3578" xr3:uid="{94218975-5D91-404E-B3B2-C2A799BDBC50}" name="Column3572"/>
    <tableColumn id="3579" xr3:uid="{FA717B0D-819F-4DCC-97CE-431735DB3E22}" name="Column3573"/>
    <tableColumn id="3580" xr3:uid="{8B01706E-CEC5-4E3C-8FD1-3B4AF17DFB4E}" name="Column3574"/>
    <tableColumn id="3581" xr3:uid="{F4BC20E1-C190-44D1-B3F3-37F79B3A8A38}" name="Column3575"/>
    <tableColumn id="3582" xr3:uid="{CC470335-48C2-4CCF-8702-15973642A5E1}" name="Column3576"/>
    <tableColumn id="3583" xr3:uid="{E0C8AFDC-B2F1-4082-8785-38BE093AE7A8}" name="Column3577"/>
    <tableColumn id="3584" xr3:uid="{A93B503D-AACA-4B7E-8BB9-FD3663655E19}" name="Column3578"/>
    <tableColumn id="3585" xr3:uid="{B76C05A4-E937-4031-A71E-61466F350923}" name="Column3579"/>
    <tableColumn id="3586" xr3:uid="{64938209-365C-4935-9579-11E8993F5691}" name="Column3580"/>
    <tableColumn id="3587" xr3:uid="{10A5609A-CBD6-484B-958B-9FC32E6D4EA2}" name="Column3581"/>
    <tableColumn id="3588" xr3:uid="{56F260F9-A5CE-457D-B371-D826F7F6F7C7}" name="Column3582"/>
    <tableColumn id="3589" xr3:uid="{0A9998AC-CE27-4A8E-B1D6-90A9E080B34C}" name="Column3583"/>
    <tableColumn id="3590" xr3:uid="{F187A988-E51E-460E-962A-03166C6ECEEE}" name="Column3584"/>
    <tableColumn id="3591" xr3:uid="{F49777AF-3B53-41BE-943F-F8A1FE2104D9}" name="Column3585"/>
    <tableColumn id="3592" xr3:uid="{37222320-A281-4BB0-98FA-26E694435418}" name="Column3586"/>
    <tableColumn id="3593" xr3:uid="{86267334-D0CA-4828-98BF-33B9EC2629C0}" name="Column3587"/>
    <tableColumn id="3594" xr3:uid="{3ED47810-9E56-4B79-B9F4-115C8610F007}" name="Column3588"/>
    <tableColumn id="3595" xr3:uid="{9D730F2F-420F-4F46-8E9C-933DCD07A078}" name="Column3589"/>
    <tableColumn id="3596" xr3:uid="{CB76DCA6-09AC-4BD9-977F-A8233348C019}" name="Column3590"/>
    <tableColumn id="3597" xr3:uid="{CA106B25-25FC-406D-999E-F1E2E290918B}" name="Column3591"/>
    <tableColumn id="3598" xr3:uid="{1BED1E4C-A36D-481A-954E-8C2EE774807A}" name="Column3592"/>
    <tableColumn id="3599" xr3:uid="{9E868126-25A7-447A-A9BF-656A510232AA}" name="Column3593"/>
    <tableColumn id="3600" xr3:uid="{B0943F14-D807-4E9D-8B53-1CC777F0F41E}" name="Column3594"/>
    <tableColumn id="3601" xr3:uid="{807FB87E-2199-4916-8C6D-555E57CA324D}" name="Column3595"/>
    <tableColumn id="3602" xr3:uid="{88F43B0F-2BE2-4DCE-A3DB-D75D00B185A4}" name="Column3596"/>
    <tableColumn id="3603" xr3:uid="{692B225F-5EC9-448B-ADCF-CD4C80771CA7}" name="Column3597"/>
    <tableColumn id="3604" xr3:uid="{C6DF36E3-ADFE-4BE5-B670-E83785455E95}" name="Column3598"/>
    <tableColumn id="3605" xr3:uid="{AABA0003-93F5-4883-BB12-1C030A449637}" name="Column3599"/>
    <tableColumn id="3606" xr3:uid="{395B08E0-C9D9-4111-AFF5-1DBC63899EAB}" name="Column3600"/>
    <tableColumn id="3607" xr3:uid="{BCB0F01A-76D3-46C2-A7F4-BB62639DB773}" name="Column3601"/>
    <tableColumn id="3608" xr3:uid="{73CA544A-D5BC-4B34-B4FB-D17240ADD61E}" name="Column3602"/>
    <tableColumn id="3609" xr3:uid="{C4A9800C-B182-4100-B7E4-B69FF559985A}" name="Column3603"/>
    <tableColumn id="3610" xr3:uid="{52B71383-C590-4706-9958-80FE701BB67D}" name="Column3604"/>
    <tableColumn id="3611" xr3:uid="{50229DAD-31AF-4CFE-A6F6-E6ED2BDC2E1D}" name="Column3605"/>
    <tableColumn id="3612" xr3:uid="{60D4A78C-1342-4CD9-B64A-2A9F827ECE8F}" name="Column3606"/>
    <tableColumn id="3613" xr3:uid="{97367A19-07D7-4602-BA74-FA594C8A5DD7}" name="Column3607"/>
    <tableColumn id="3614" xr3:uid="{866F0A94-2A5B-4F52-869C-1D5F3B92B5C6}" name="Column3608"/>
    <tableColumn id="3615" xr3:uid="{5320FC20-B131-41A2-BC7A-EA57B6E78F08}" name="Column3609"/>
    <tableColumn id="3616" xr3:uid="{C669B3AA-5174-412B-ADF9-4229D0FC4003}" name="Column3610"/>
    <tableColumn id="3617" xr3:uid="{5AECED1C-7FE3-4FED-B286-1097CCE73F5A}" name="Column3611"/>
    <tableColumn id="3618" xr3:uid="{23FBFB56-F389-434A-AEE7-D0350F2AA258}" name="Column3612"/>
    <tableColumn id="3619" xr3:uid="{B1EFCD03-58A3-4743-B22E-6F4EC2CAADCB}" name="Column3613"/>
    <tableColumn id="3620" xr3:uid="{FE0D6AFA-1931-4CBD-AB89-DC1EBC52FEFD}" name="Column3614"/>
    <tableColumn id="3621" xr3:uid="{28AF7429-721F-41C4-A175-57F005BB2B1B}" name="Column3615"/>
    <tableColumn id="3622" xr3:uid="{3804471D-359A-4815-A5D2-4835810964BC}" name="Column3616"/>
    <tableColumn id="3623" xr3:uid="{5A3F36CF-3192-4FCF-A84B-BA2E0EA42861}" name="Column3617"/>
    <tableColumn id="3624" xr3:uid="{8BFF6314-EFEF-4BD0-8301-FA245A588469}" name="Column3618"/>
    <tableColumn id="3625" xr3:uid="{E5AEB666-3DC3-4268-AAE2-E898B7C419BF}" name="Column3619"/>
    <tableColumn id="3626" xr3:uid="{E2914AE6-CC56-46EC-8A04-BCBC10797B2A}" name="Column3620"/>
    <tableColumn id="3627" xr3:uid="{0FA4C327-FD33-4ACA-82DE-FEC6B4163E09}" name="Column3621"/>
    <tableColumn id="3628" xr3:uid="{727ED406-ED2C-4328-8900-1FBF7215256F}" name="Column3622"/>
    <tableColumn id="3629" xr3:uid="{D9DA3DE0-FD90-4E4C-8B49-F9A569632790}" name="Column3623"/>
    <tableColumn id="3630" xr3:uid="{01A7454E-0834-4A02-8DB8-2C679E4F0853}" name="Column3624"/>
    <tableColumn id="3631" xr3:uid="{5B199DAF-1601-4543-B911-B1441B71E5EB}" name="Column3625"/>
    <tableColumn id="3632" xr3:uid="{42897CC5-6A26-4A18-B3F7-6E9F001E3B15}" name="Column3626"/>
    <tableColumn id="3633" xr3:uid="{46451FC5-B521-4624-B2E1-7E10F8835E23}" name="Column3627"/>
    <tableColumn id="3634" xr3:uid="{2EEEA60D-8F0B-4322-9C1F-AF40B3476CD2}" name="Column3628"/>
    <tableColumn id="3635" xr3:uid="{DD6A873B-4183-4A03-BBAB-9CE28F90500F}" name="Column3629"/>
    <tableColumn id="3636" xr3:uid="{D682FBF9-167A-4B7C-BA5D-1D7F9FF2BFF2}" name="Column3630"/>
    <tableColumn id="3637" xr3:uid="{B51F2E7F-8978-4106-925B-FF28710C150A}" name="Column3631"/>
    <tableColumn id="3638" xr3:uid="{E7C02134-823B-4E3B-90C7-F095DD1C4D3F}" name="Column3632"/>
    <tableColumn id="3639" xr3:uid="{7E08CD07-43E7-4B66-AA6E-38527CBC9399}" name="Column3633"/>
    <tableColumn id="3640" xr3:uid="{8EA1E4FF-46A5-46DC-A5DB-D8798656A839}" name="Column3634"/>
    <tableColumn id="3641" xr3:uid="{0E039075-2FB0-4954-A431-BA2AF1CDC0DD}" name="Column3635"/>
    <tableColumn id="3642" xr3:uid="{192CEFD7-54BE-4FF2-80C8-42DE5A9D6B96}" name="Column3636"/>
    <tableColumn id="3643" xr3:uid="{731A6D84-37DB-400F-87AE-20C03B8108FB}" name="Column3637"/>
    <tableColumn id="3644" xr3:uid="{854EA869-7E56-499E-B594-64FB2C14CC5D}" name="Column3638"/>
    <tableColumn id="3645" xr3:uid="{5B2B90B0-68DA-4430-B5F0-7E76BA3069AA}" name="Column3639"/>
    <tableColumn id="3646" xr3:uid="{29B93116-E986-4CC3-B499-1FA2EE1580F3}" name="Column3640"/>
    <tableColumn id="3647" xr3:uid="{13A2A021-E0A7-45E4-839D-F22D3029B65E}" name="Column3641"/>
    <tableColumn id="3648" xr3:uid="{2D619653-E583-4052-9987-272D9CE93AD4}" name="Column3642"/>
    <tableColumn id="3649" xr3:uid="{200C4D28-E19F-4B70-8375-0DBF155BB8EA}" name="Column3643"/>
    <tableColumn id="3650" xr3:uid="{7EDFEA51-793A-4CA2-AB66-9D8D7ACE46F6}" name="Column3644"/>
    <tableColumn id="3651" xr3:uid="{A48A22C4-A3A2-4F10-B524-8B42A5847B6D}" name="Column3645"/>
    <tableColumn id="3652" xr3:uid="{9FFF6D67-8E5A-45B4-BBEC-A64F6AFED90C}" name="Column3646"/>
    <tableColumn id="3653" xr3:uid="{1284C5B6-3FE3-4BA9-98FB-E45AE0DF7A10}" name="Column3647"/>
    <tableColumn id="3654" xr3:uid="{C6D68788-20EA-40AF-9ECA-12B471572798}" name="Column3648"/>
    <tableColumn id="3655" xr3:uid="{FFF88821-2BBF-46DE-85F9-0AA45CA6C4D8}" name="Column3649"/>
    <tableColumn id="3656" xr3:uid="{C094FA11-643B-4533-9426-800EC0108E98}" name="Column3650"/>
    <tableColumn id="3657" xr3:uid="{9011EC33-289F-4AAF-BC5C-AA6F91281223}" name="Column3651"/>
    <tableColumn id="3658" xr3:uid="{F79FFBD7-03CC-4D66-8ABE-DBD05EC0CE94}" name="Column3652"/>
    <tableColumn id="3659" xr3:uid="{089AF93B-B1D5-4727-8BD9-9FFEB1C0FE49}" name="Column3653"/>
    <tableColumn id="3660" xr3:uid="{E6165AE2-F96C-4F79-987F-B4326AE7FA57}" name="Column3654"/>
    <tableColumn id="3661" xr3:uid="{49ABA26E-41B0-412E-B6F8-D1A8DFAB4846}" name="Column3655"/>
    <tableColumn id="3662" xr3:uid="{F630675F-F2C4-4346-BCB1-7417C80A1CA2}" name="Column3656"/>
    <tableColumn id="3663" xr3:uid="{6BD46656-5D80-4BED-B3B1-BDB8C18B64E5}" name="Column3657"/>
    <tableColumn id="3664" xr3:uid="{0D06CF5E-ADBB-4D27-B71A-200D4A13598A}" name="Column3658"/>
    <tableColumn id="3665" xr3:uid="{0B590A62-E74A-4BA3-8ADB-9C69AC0B1F44}" name="Column3659"/>
    <tableColumn id="3666" xr3:uid="{5824C4A4-489D-41D6-A8D1-87D15BE343C4}" name="Column3660"/>
    <tableColumn id="3667" xr3:uid="{B73A5650-F4B9-46B4-8CD8-EF4D7F10DEC5}" name="Column3661"/>
    <tableColumn id="3668" xr3:uid="{AD2E5DB4-97B1-4971-9C01-215DF13D6C7E}" name="Column3662"/>
    <tableColumn id="3669" xr3:uid="{A322082A-B3FA-45B9-A3D2-99704E7E4FC5}" name="Column3663"/>
    <tableColumn id="3670" xr3:uid="{0A8AECCB-38A9-4500-8C18-A8451F7643A0}" name="Column3664"/>
    <tableColumn id="3671" xr3:uid="{DCD00C81-B07B-4FB0-9A94-8DB863D30F6E}" name="Column3665"/>
    <tableColumn id="3672" xr3:uid="{8A3C96C0-624E-4156-BB97-3FAB66124ACB}" name="Column3666"/>
    <tableColumn id="3673" xr3:uid="{3FCD9F1F-BD71-4410-98AF-C93959E3D2E1}" name="Column3667"/>
    <tableColumn id="3674" xr3:uid="{AD90131C-4335-4B8E-88AB-7E0F376E756A}" name="Column3668"/>
    <tableColumn id="3675" xr3:uid="{0B96019F-332F-418E-929B-401E44154FFF}" name="Column3669"/>
    <tableColumn id="3676" xr3:uid="{B9008990-BCFB-4C05-A981-4055A7BBB42D}" name="Column3670"/>
    <tableColumn id="3677" xr3:uid="{DC4B0008-D265-4608-AFE8-9E0FE9D52D3D}" name="Column3671"/>
    <tableColumn id="3678" xr3:uid="{76D04E90-1979-4723-A247-D8758EEFE37E}" name="Column3672"/>
    <tableColumn id="3679" xr3:uid="{984F5F52-94BA-494E-A6B0-C1D1D7ADE166}" name="Column3673"/>
    <tableColumn id="3680" xr3:uid="{C1D3AECF-1A57-4F35-BD21-2E0390A3ACB5}" name="Column3674"/>
    <tableColumn id="3681" xr3:uid="{0B031B2D-FC54-42E3-978A-240AFFB2AED5}" name="Column3675"/>
    <tableColumn id="3682" xr3:uid="{4663611D-3B9D-4C39-8810-CF4F17B79158}" name="Column3676"/>
    <tableColumn id="3683" xr3:uid="{4A971474-C425-4921-8B50-1B7800CF30C5}" name="Column3677"/>
    <tableColumn id="3684" xr3:uid="{9D65DE72-7D4D-4AE9-B442-E34DC5366081}" name="Column3678"/>
    <tableColumn id="3685" xr3:uid="{F9D0DF8F-0857-436D-91B4-D05C22F59A70}" name="Column3679"/>
    <tableColumn id="3686" xr3:uid="{D611E32E-B0A3-4D32-96E7-239E85CD9F91}" name="Column3680"/>
    <tableColumn id="3687" xr3:uid="{71E19891-1093-4B52-A46F-AF5AF1CA4D80}" name="Column3681"/>
    <tableColumn id="3688" xr3:uid="{C72A0B68-28E8-4D36-9F63-3B6674C5DD55}" name="Column3682"/>
    <tableColumn id="3689" xr3:uid="{CEABF841-76EB-43D3-B5C7-32F8D23A01F2}" name="Column3683"/>
    <tableColumn id="3690" xr3:uid="{6FD2DBC2-85C7-4FF1-8111-A73E2DDA676A}" name="Column3684"/>
    <tableColumn id="3691" xr3:uid="{69DDFD64-93AB-43C2-8217-AD2584BFC826}" name="Column3685"/>
    <tableColumn id="3692" xr3:uid="{FC3A5D0B-32D2-408B-9A3A-E21760AAEEFE}" name="Column3686"/>
    <tableColumn id="3693" xr3:uid="{85A28076-1753-42F8-8C11-C86D76C9D970}" name="Column3687"/>
    <tableColumn id="3694" xr3:uid="{D252ED39-B3B6-4946-95E0-540425956AF0}" name="Column3688"/>
    <tableColumn id="3695" xr3:uid="{9B55EB56-30E3-4D89-BEB3-6EC5EE2F6BA0}" name="Column3689"/>
    <tableColumn id="3696" xr3:uid="{B927A99F-8A9A-4014-8C63-399ECE456F01}" name="Column3690"/>
    <tableColumn id="3697" xr3:uid="{3601E6BA-D0AF-4124-8937-DF1A36C711D8}" name="Column3691"/>
    <tableColumn id="3698" xr3:uid="{44BBDE97-F3DB-4ACA-BD18-EE1D71111C95}" name="Column3692"/>
    <tableColumn id="3699" xr3:uid="{B6484DF8-DA84-487F-BA38-740E8424F575}" name="Column3693"/>
    <tableColumn id="3700" xr3:uid="{CEDD969B-C689-49C0-88D4-A463F459318E}" name="Column3694"/>
    <tableColumn id="3701" xr3:uid="{3AA42745-4309-4169-A4E5-E6253EE01762}" name="Column3695"/>
    <tableColumn id="3702" xr3:uid="{857A2059-1D20-4254-B441-05B1BA0979D8}" name="Column3696"/>
    <tableColumn id="3703" xr3:uid="{7856DC53-7655-4E77-AA8D-E0998E9D9409}" name="Column3697"/>
    <tableColumn id="3704" xr3:uid="{6B297517-43BB-4CEC-AE59-38B932DFEA81}" name="Column3698"/>
    <tableColumn id="3705" xr3:uid="{40C915A3-CB7E-47D7-A7C7-94867884B646}" name="Column3699"/>
    <tableColumn id="3706" xr3:uid="{12CE1A30-198F-4C66-87A7-E67E78259AEA}" name="Column3700"/>
    <tableColumn id="3707" xr3:uid="{31AD81C1-CA81-4A7B-BCD5-3D2325215964}" name="Column3701"/>
    <tableColumn id="3708" xr3:uid="{EC54FE0A-825D-4BFA-B6EC-D29B7DA469DE}" name="Column3702"/>
    <tableColumn id="3709" xr3:uid="{37609F16-24F9-4008-B8A8-64E869B2FE64}" name="Column3703"/>
    <tableColumn id="3710" xr3:uid="{07CBAC77-2B22-4D05-9EBB-79761710424D}" name="Column3704"/>
    <tableColumn id="3711" xr3:uid="{069CC580-5AEE-48AC-B607-CE0B704A204E}" name="Column3705"/>
    <tableColumn id="3712" xr3:uid="{F0548D39-5EAE-4C50-B827-CF32ED0E3AFD}" name="Column3706"/>
    <tableColumn id="3713" xr3:uid="{B76D6251-2221-46E0-88AF-2BF0EC04855E}" name="Column3707"/>
    <tableColumn id="3714" xr3:uid="{72D9B68F-D8DE-4292-AB2C-B048393AFBDB}" name="Column3708"/>
    <tableColumn id="3715" xr3:uid="{2A66164B-BBD8-4DD2-B508-E5D38E4A9A09}" name="Column3709"/>
    <tableColumn id="3716" xr3:uid="{9A1101AE-5406-45D5-9A1E-76A4E1C7354B}" name="Column3710"/>
    <tableColumn id="3717" xr3:uid="{85E3C7FC-DD03-4C5B-A084-34BEAB9BEC8C}" name="Column3711"/>
    <tableColumn id="3718" xr3:uid="{FE1312CF-467A-44F0-AB79-6A7275D77EBE}" name="Column3712"/>
    <tableColumn id="3719" xr3:uid="{30C26517-9570-4B13-ADCE-EF9ACD3E5D21}" name="Column3713"/>
    <tableColumn id="3720" xr3:uid="{6278219B-1A83-423E-BB43-F1F4B0A53811}" name="Column3714"/>
    <tableColumn id="3721" xr3:uid="{DE08C2DF-3E4A-4767-A2DB-EAB92B201734}" name="Column3715"/>
    <tableColumn id="3722" xr3:uid="{FFA8F314-1A2A-4E3B-9ACA-8AC4661143E9}" name="Column3716"/>
    <tableColumn id="3723" xr3:uid="{6941F811-F2DD-475D-A0E1-4FE88B80B056}" name="Column3717"/>
    <tableColumn id="3724" xr3:uid="{DB242515-1EBE-42FE-849F-04BE95CF76E8}" name="Column3718"/>
    <tableColumn id="3725" xr3:uid="{10E0C17E-3467-45E5-A000-A97EC79E5A68}" name="Column3719"/>
    <tableColumn id="3726" xr3:uid="{E11FC8EA-E115-43EA-96BD-F9CC156AF353}" name="Column3720"/>
    <tableColumn id="3727" xr3:uid="{E7419DF6-1DF5-4AD3-804A-3B03923C77B7}" name="Column3721"/>
    <tableColumn id="3728" xr3:uid="{3B20108D-1B7E-494C-9AC0-223BACC368A0}" name="Column3722"/>
    <tableColumn id="3729" xr3:uid="{A0109E3A-9FBA-43A2-B1B2-3371AF9C3899}" name="Column3723"/>
    <tableColumn id="3730" xr3:uid="{1F37E33E-4586-4BFF-B3CC-BD014D462A0F}" name="Column3724"/>
    <tableColumn id="3731" xr3:uid="{0AD23E7C-9D75-4AA3-8467-CE02B06D9CA8}" name="Column3725"/>
    <tableColumn id="3732" xr3:uid="{62706C5B-4EF6-44A5-8433-FBA8FC57FCEC}" name="Column3726"/>
    <tableColumn id="3733" xr3:uid="{69D6F501-43E2-4EF8-BFC5-256FB5497330}" name="Column3727"/>
    <tableColumn id="3734" xr3:uid="{14124B42-8863-4E4A-91B6-AF200E5E70B4}" name="Column3728"/>
    <tableColumn id="3735" xr3:uid="{65378AB9-AD06-4A4D-878F-4BBEB60AC92E}" name="Column3729"/>
    <tableColumn id="3736" xr3:uid="{90128DE4-7B0A-467A-A01E-5016AC50D982}" name="Column3730"/>
    <tableColumn id="3737" xr3:uid="{17AE8885-8A43-4A24-A3D2-21E7284F6694}" name="Column3731"/>
    <tableColumn id="3738" xr3:uid="{3EFA296C-03E8-4160-B363-66FDF8AE426F}" name="Column3732"/>
    <tableColumn id="3739" xr3:uid="{2ACF4855-B56B-45C6-9519-177219229084}" name="Column3733"/>
    <tableColumn id="3740" xr3:uid="{72C917DA-5AF8-4C54-A68C-BDD4E14CF503}" name="Column3734"/>
    <tableColumn id="3741" xr3:uid="{8895544F-454D-4962-80E6-D01C25D83F56}" name="Column3735"/>
    <tableColumn id="3742" xr3:uid="{D280CD4E-49D7-4CC5-A7F9-DF455EEF955C}" name="Column3736"/>
    <tableColumn id="3743" xr3:uid="{52EF1056-456F-417B-9718-18D4C0361C13}" name="Column3737"/>
    <tableColumn id="3744" xr3:uid="{B61F7620-72DA-4846-9AAC-0EE525A7404A}" name="Column3738"/>
    <tableColumn id="3745" xr3:uid="{46833974-90FF-4B0D-B63D-2B3022D5A76B}" name="Column3739"/>
    <tableColumn id="3746" xr3:uid="{A78CA962-0BF0-4A25-A0FB-AEC5698C05BE}" name="Column3740"/>
    <tableColumn id="3747" xr3:uid="{10883548-5CEA-4A7D-8129-14CAA231B71A}" name="Column3741"/>
    <tableColumn id="3748" xr3:uid="{5B73A55D-2CA6-40E7-9089-B5CAE4ADA45E}" name="Column3742"/>
    <tableColumn id="3749" xr3:uid="{C2F6B0D7-D1C8-412C-BC30-9EACA13D77BC}" name="Column3743"/>
    <tableColumn id="3750" xr3:uid="{CFDBD1BC-3F55-44C3-8160-D07F73274927}" name="Column3744"/>
    <tableColumn id="3751" xr3:uid="{28D48850-85F7-4C16-B085-15C56D10DED0}" name="Column3745"/>
    <tableColumn id="3752" xr3:uid="{32ECF6DA-22DE-4530-BFC7-3AA76DAE3A41}" name="Column3746"/>
    <tableColumn id="3753" xr3:uid="{DD985465-A81E-4CFB-8A5E-5AD5DBED6E6C}" name="Column3747"/>
    <tableColumn id="3754" xr3:uid="{DF449EFC-876B-4408-B5EC-3C37672E541E}" name="Column3748"/>
    <tableColumn id="3755" xr3:uid="{70582E9C-0D1A-4B11-9A6B-2AC49ED62A98}" name="Column3749"/>
    <tableColumn id="3756" xr3:uid="{1251EA5E-6CFB-43EB-A090-8B9938FA2540}" name="Column3750"/>
    <tableColumn id="3757" xr3:uid="{872E2AEA-203C-4095-963C-63D86AEE0CC3}" name="Column3751"/>
    <tableColumn id="3758" xr3:uid="{61AEFB98-538C-4DEB-9AAF-67B94A90B579}" name="Column3752"/>
    <tableColumn id="3759" xr3:uid="{C5445DF8-9E9A-4DE2-B208-76F63D84E7C3}" name="Column3753"/>
    <tableColumn id="3760" xr3:uid="{19C11927-F296-419C-B3D4-2ADCBD5CE544}" name="Column3754"/>
    <tableColumn id="3761" xr3:uid="{EDD87C4A-3ADE-42FA-98E6-1ACAB4CE3D2A}" name="Column3755"/>
    <tableColumn id="3762" xr3:uid="{075E8051-F44D-402C-B017-634574EFE7CF}" name="Column3756"/>
    <tableColumn id="3763" xr3:uid="{46FBE635-E1EB-407F-8926-8283519A56DF}" name="Column3757"/>
    <tableColumn id="3764" xr3:uid="{6D711887-C54C-4547-8D94-4147D6E70ADC}" name="Column3758"/>
    <tableColumn id="3765" xr3:uid="{1C877808-F26E-4842-A2CE-1033B5C09B9B}" name="Column3759"/>
    <tableColumn id="3766" xr3:uid="{F0EB3F80-EFED-4765-B1F0-A9239847D363}" name="Column3760"/>
    <tableColumn id="3767" xr3:uid="{EA7353BC-3212-476E-89CF-B51FF6CC579A}" name="Column3761"/>
    <tableColumn id="3768" xr3:uid="{11DB68DC-002C-46E0-B426-F65168920D9F}" name="Column3762"/>
    <tableColumn id="3769" xr3:uid="{4E54F7AB-B410-418A-9D2C-41C05E82F97D}" name="Column3763"/>
    <tableColumn id="3770" xr3:uid="{71E277E2-390F-4C12-894A-C8602FC55F02}" name="Column3764"/>
    <tableColumn id="3771" xr3:uid="{7AF487CD-061C-4F87-83E1-C058724AB71C}" name="Column3765"/>
    <tableColumn id="3772" xr3:uid="{42B35FC5-1AA9-4EB3-B8BE-162CB83A5F06}" name="Column3766"/>
    <tableColumn id="3773" xr3:uid="{EEFB700D-0595-4E6D-BDF5-DAD8A11AEF03}" name="Column3767"/>
    <tableColumn id="3774" xr3:uid="{5C4BCCF3-4C26-4822-A0DA-801D3DBF75EA}" name="Column3768"/>
    <tableColumn id="3775" xr3:uid="{4D3E23B5-474D-4F90-A1CB-46BBCF6E9F00}" name="Column3769"/>
    <tableColumn id="3776" xr3:uid="{D24F4900-7597-4A48-943D-AB8EAAA41F93}" name="Column3770"/>
    <tableColumn id="3777" xr3:uid="{E3A95557-5C3A-4362-83A0-E48A0AB976C8}" name="Column3771"/>
    <tableColumn id="3778" xr3:uid="{57DEA7D8-CF4A-43F2-9A4E-C6237EB3A192}" name="Column3772"/>
    <tableColumn id="3779" xr3:uid="{E8A0D622-BCF3-468A-88AE-7F162409226F}" name="Column3773"/>
    <tableColumn id="3780" xr3:uid="{04205D70-FD57-4884-8EB6-C89524728BD6}" name="Column3774"/>
    <tableColumn id="3781" xr3:uid="{6A5B7F0C-294A-461A-A2F0-629C1C72C1BE}" name="Column3775"/>
    <tableColumn id="3782" xr3:uid="{7829330C-8758-43EB-AB1A-0F77BF7FBCB8}" name="Column3776"/>
    <tableColumn id="3783" xr3:uid="{0B47E814-38DD-48D1-9807-53D42F07DD92}" name="Column3777"/>
    <tableColumn id="3784" xr3:uid="{D4906902-6FA7-442A-B203-723FF4D428E7}" name="Column3778"/>
    <tableColumn id="3785" xr3:uid="{4AEDF17E-D1DD-4B8F-B491-A5C509C732CC}" name="Column3779"/>
    <tableColumn id="3786" xr3:uid="{A183F918-FA7F-4780-BB86-450FFCAE7162}" name="Column3780"/>
    <tableColumn id="3787" xr3:uid="{50E3CC63-3AF4-409B-8913-382F4EE7F07F}" name="Column3781"/>
    <tableColumn id="3788" xr3:uid="{F68D222F-91CD-4775-8FA9-A5C22EEAFB9D}" name="Column3782"/>
    <tableColumn id="3789" xr3:uid="{F22E36F0-3625-438B-A3FD-727827E7E6BF}" name="Column3783"/>
    <tableColumn id="3790" xr3:uid="{B3BCFFA6-4077-4DDD-9797-9C0C8B82B189}" name="Column3784"/>
    <tableColumn id="3791" xr3:uid="{B4D54A8B-56F5-48D2-B4B7-12D74041FB09}" name="Column3785"/>
    <tableColumn id="3792" xr3:uid="{2E73BFDE-067C-40EE-BECF-A7A4396E23EF}" name="Column3786"/>
    <tableColumn id="3793" xr3:uid="{B57B4E69-515B-431A-AF0C-C4BC90E3A9AC}" name="Column3787"/>
    <tableColumn id="3794" xr3:uid="{1DD58E5B-F2EC-48D4-8489-14C227DBBBA3}" name="Column3788"/>
    <tableColumn id="3795" xr3:uid="{6462EB80-408F-416E-A339-D4DDA7032ACF}" name="Column3789"/>
    <tableColumn id="3796" xr3:uid="{434322EB-9D17-4FFB-944F-47FAE27289FD}" name="Column3790"/>
    <tableColumn id="3797" xr3:uid="{9238108B-B7B1-4889-8AEE-B1D587085E0F}" name="Column3791"/>
    <tableColumn id="3798" xr3:uid="{E79A9B5E-944F-4234-983A-7CDE07C56825}" name="Column3792"/>
    <tableColumn id="3799" xr3:uid="{D21A8E99-C0F2-4B94-BE4B-3F49234FA240}" name="Column3793"/>
    <tableColumn id="3800" xr3:uid="{8FB58BC0-258F-4AD6-BBB7-AC6B75571ED5}" name="Column3794"/>
    <tableColumn id="3801" xr3:uid="{CC62EC23-1585-4A22-8870-021713037249}" name="Column3795"/>
    <tableColumn id="3802" xr3:uid="{2979C670-0A63-4A63-AA66-59F72798E395}" name="Column3796"/>
    <tableColumn id="3803" xr3:uid="{DAB5B4AB-9CC2-4000-BEF8-DA487C50BF2B}" name="Column3797"/>
    <tableColumn id="3804" xr3:uid="{A4E980FE-781F-47D7-9574-36FCD90E4158}" name="Column3798"/>
    <tableColumn id="3805" xr3:uid="{88BE3923-1662-4E80-B6EE-2E8D2932BDB0}" name="Column3799"/>
    <tableColumn id="3806" xr3:uid="{7C365184-8900-4DEF-BB6F-09CE40F4E641}" name="Column3800"/>
    <tableColumn id="3807" xr3:uid="{7FC265C2-D0C8-49E8-8C4A-9E0AFFF35518}" name="Column3801"/>
    <tableColumn id="3808" xr3:uid="{EAB1DD7E-FEE5-4F80-827D-CAC3D8B63BBA}" name="Column3802"/>
    <tableColumn id="3809" xr3:uid="{EAC9D2A8-E597-4CF1-9152-957BDEAE3BB2}" name="Column3803"/>
    <tableColumn id="3810" xr3:uid="{BF3F47D2-DE47-403D-AA77-F5C8DF884F8E}" name="Column3804"/>
    <tableColumn id="3811" xr3:uid="{F8232904-A560-4414-9406-2BAD11A714D4}" name="Column3805"/>
    <tableColumn id="3812" xr3:uid="{7C9F7614-2BF4-4434-8A9F-2AE010FCF8D8}" name="Column3806"/>
    <tableColumn id="3813" xr3:uid="{C9294C74-CA8E-4689-A447-BA0D198F6FA4}" name="Column3807"/>
    <tableColumn id="3814" xr3:uid="{EDA0937B-8580-489A-9648-09C5EDC6FB12}" name="Column3808"/>
    <tableColumn id="3815" xr3:uid="{36460777-C3F9-4CE0-9507-CC4BC5A9E966}" name="Column3809"/>
    <tableColumn id="3816" xr3:uid="{B2FBC2A5-68E1-4AD2-9CAF-1DAF41DD5630}" name="Column3810"/>
    <tableColumn id="3817" xr3:uid="{41FC5CBA-3E32-4459-8765-1EBFBDB2FEA9}" name="Column3811"/>
    <tableColumn id="3818" xr3:uid="{81479208-B8B2-406E-A502-8121FA6C9998}" name="Column3812"/>
    <tableColumn id="3819" xr3:uid="{A7BAC70A-1DDD-48CD-A544-1157EAFB5D41}" name="Column3813"/>
    <tableColumn id="3820" xr3:uid="{A67BE678-F409-43DA-A1A7-527523A4D344}" name="Column3814"/>
    <tableColumn id="3821" xr3:uid="{CBBA4F27-AE36-4B29-AC41-7A63D0C9F4C5}" name="Column3815"/>
    <tableColumn id="3822" xr3:uid="{9CFD7C4A-FFFC-4F19-B934-EC7AE1A583F8}" name="Column3816"/>
    <tableColumn id="3823" xr3:uid="{0B0B3B9F-B617-4DF7-95BB-A445B7E387AC}" name="Column3817"/>
    <tableColumn id="3824" xr3:uid="{85E49FAC-FD9B-4FD9-8C87-DB8F31F01793}" name="Column3818"/>
    <tableColumn id="3825" xr3:uid="{A2042DD8-1367-41CC-8937-C126D3B13C38}" name="Column3819"/>
    <tableColumn id="3826" xr3:uid="{07BB006B-D78D-47A6-A324-08485AD66199}" name="Column3820"/>
    <tableColumn id="3827" xr3:uid="{59EC3B9B-81B4-499B-AC98-1C8DBFA6C1DE}" name="Column3821"/>
    <tableColumn id="3828" xr3:uid="{E35473D2-BCF9-4051-85CF-53BF84BA7341}" name="Column3822"/>
    <tableColumn id="3829" xr3:uid="{2F12EAA5-3137-487A-BC8E-5FC5D8B824E5}" name="Column3823"/>
    <tableColumn id="3830" xr3:uid="{6F64299E-2396-44F8-9296-D9FE100CDCDD}" name="Column3824"/>
    <tableColumn id="3831" xr3:uid="{435BAD87-16D4-4BEE-AFA6-CD482AFCBE69}" name="Column3825"/>
    <tableColumn id="3832" xr3:uid="{4BEA018F-1FAF-4081-99CB-4B1FC3E23101}" name="Column3826"/>
    <tableColumn id="3833" xr3:uid="{95E551B4-3A61-45D9-A83D-85B6E09921EC}" name="Column3827"/>
    <tableColumn id="3834" xr3:uid="{2334ED68-8B1E-4D17-810B-A786F8258E7E}" name="Column3828"/>
    <tableColumn id="3835" xr3:uid="{7246CCB6-3AEC-464D-A13C-42253DF43DF1}" name="Column3829"/>
    <tableColumn id="3836" xr3:uid="{B0180153-D786-4BCB-9D26-A5ECAE954208}" name="Column3830"/>
    <tableColumn id="3837" xr3:uid="{2A44B458-FAC7-495B-848B-62F78BEC5D61}" name="Column3831"/>
    <tableColumn id="3838" xr3:uid="{CB0E6198-7ADD-4910-BDE9-E9CB4222D163}" name="Column3832"/>
    <tableColumn id="3839" xr3:uid="{18427E20-B78A-4286-831D-EEF7CDF70E86}" name="Column3833"/>
    <tableColumn id="3840" xr3:uid="{5DF2C4E2-09DE-42A1-BA47-F8F82BBB2135}" name="Column3834"/>
    <tableColumn id="3841" xr3:uid="{FEB1C4AC-B6CA-451D-9B72-BBA28260E913}" name="Column3835"/>
    <tableColumn id="3842" xr3:uid="{0C1EF535-A3C7-405F-AB16-C82C6F8F04F2}" name="Column3836"/>
    <tableColumn id="3843" xr3:uid="{DFD6FF79-8638-4D6F-8A26-B7F1E3AA886C}" name="Column3837"/>
    <tableColumn id="3844" xr3:uid="{219C2603-FDC5-41EB-8937-47A5050523E2}" name="Column3838"/>
    <tableColumn id="3845" xr3:uid="{1574BA9C-B6E4-4A2D-B4A1-B92C66FC79BF}" name="Column3839"/>
    <tableColumn id="3846" xr3:uid="{6CC9591E-A8E5-4FD4-B289-445EAB2CBF49}" name="Column3840"/>
    <tableColumn id="3847" xr3:uid="{AC7FA706-C827-4911-9113-EC3D6FD61229}" name="Column3841"/>
    <tableColumn id="3848" xr3:uid="{8FC02A51-60A9-4AA1-BF2F-9DF3D7C712A8}" name="Column3842"/>
    <tableColumn id="3849" xr3:uid="{426377C7-E2B3-42C6-85F9-2E84362E14F1}" name="Column3843"/>
    <tableColumn id="3850" xr3:uid="{1CB80FFE-8DAB-4F4A-AEC2-7FDB0D6E057D}" name="Column3844"/>
    <tableColumn id="3851" xr3:uid="{EF1946F0-7005-4654-AB34-26E059786F4D}" name="Column3845"/>
    <tableColumn id="3852" xr3:uid="{8368BBB1-68BE-4A65-88C7-0C7AA4BAE69F}" name="Column3846"/>
    <tableColumn id="3853" xr3:uid="{42F39C2F-6F2D-45E5-9F84-FF234B93B9ED}" name="Column3847"/>
    <tableColumn id="3854" xr3:uid="{B39684C2-BF2F-45EB-B337-AAE26699D5D9}" name="Column3848"/>
    <tableColumn id="3855" xr3:uid="{D9A7F317-E3A1-43F8-A85D-7367A7F7A124}" name="Column3849"/>
    <tableColumn id="3856" xr3:uid="{970C0839-70F2-4472-BA37-3E1CB44F2759}" name="Column3850"/>
    <tableColumn id="3857" xr3:uid="{D108908C-3F72-43B5-BAD1-E9B3F1D00179}" name="Column3851"/>
    <tableColumn id="3858" xr3:uid="{74B88E89-D00A-4CA6-876B-67C0CDF86B42}" name="Column3852"/>
    <tableColumn id="3859" xr3:uid="{10F912A9-9D17-4CCA-995A-EF55BD423267}" name="Column3853"/>
    <tableColumn id="3860" xr3:uid="{12317710-CB53-40AD-AE57-6F2605D63C54}" name="Column3854"/>
    <tableColumn id="3861" xr3:uid="{82B7B2B7-0027-407C-9B5D-2234321755F3}" name="Column3855"/>
    <tableColumn id="3862" xr3:uid="{938CF214-2706-46B1-AF40-895EF9894EC0}" name="Column3856"/>
    <tableColumn id="3863" xr3:uid="{278ED85A-41EC-4170-B932-EFAC8049FDB5}" name="Column3857"/>
    <tableColumn id="3864" xr3:uid="{1F8F26FD-B56C-4FB3-A7A7-06A4A6AC78A6}" name="Column3858"/>
    <tableColumn id="3865" xr3:uid="{97D68E1D-27BF-4BF3-B331-BEEF2CB930B9}" name="Column3859"/>
    <tableColumn id="3866" xr3:uid="{26AD7A8E-5ACD-4613-B8AA-5F0D125F4DE8}" name="Column3860"/>
    <tableColumn id="3867" xr3:uid="{C0D99974-E0E7-4D52-8533-0A1D7B64AE75}" name="Column3861"/>
    <tableColumn id="3868" xr3:uid="{ED16C241-7433-4CAF-BF90-4810E992C3EA}" name="Column3862"/>
    <tableColumn id="3869" xr3:uid="{352B20AB-6840-4295-8DF9-F283D680980C}" name="Column3863"/>
    <tableColumn id="3870" xr3:uid="{9B22CE34-88E2-48B1-AEE0-A2565F17EEF0}" name="Column3864"/>
    <tableColumn id="3871" xr3:uid="{E642A8EA-8214-49C3-91AA-1746CFDF6C3A}" name="Column3865"/>
    <tableColumn id="3872" xr3:uid="{A48D9E64-0A7A-4B29-8EA4-E91930283A05}" name="Column3866"/>
    <tableColumn id="3873" xr3:uid="{158AA81C-64A9-439F-BE9C-D61694640962}" name="Column3867"/>
    <tableColumn id="3874" xr3:uid="{D6B5BD2E-FEB5-4D67-AE57-F3744D81702B}" name="Column3868"/>
    <tableColumn id="3875" xr3:uid="{AC870541-CB32-4B5A-B478-A04DEA23F313}" name="Column3869"/>
    <tableColumn id="3876" xr3:uid="{7487F56C-3C15-4CBF-B2E5-43895B0CEF01}" name="Column3870"/>
    <tableColumn id="3877" xr3:uid="{F1EFCFAC-AB0F-4D54-8524-1656C6D28972}" name="Column3871"/>
    <tableColumn id="3878" xr3:uid="{EF906E1A-1BDD-4572-8E40-726C5EA9C554}" name="Column3872"/>
    <tableColumn id="3879" xr3:uid="{B320EBC8-7517-461D-A23D-C91DCF22DEFE}" name="Column3873"/>
    <tableColumn id="3880" xr3:uid="{D8E6C72A-7744-407C-96E4-C5996CC516B7}" name="Column3874"/>
    <tableColumn id="3881" xr3:uid="{1E03E9F3-2631-4B17-BB1F-8F9178F492D1}" name="Column3875"/>
    <tableColumn id="3882" xr3:uid="{B76D32DC-B296-428E-A720-34F3C7AC4EB8}" name="Column3876"/>
    <tableColumn id="3883" xr3:uid="{ECBD11DD-FF1B-4620-B45E-CD1589869656}" name="Column3877"/>
    <tableColumn id="3884" xr3:uid="{84639631-8954-4DAB-B01C-C80C1E17FBFB}" name="Column3878"/>
    <tableColumn id="3885" xr3:uid="{ACA5EE50-7962-4419-82E3-10F72CA206D7}" name="Column3879"/>
    <tableColumn id="3886" xr3:uid="{2A394B51-45D8-45CC-B938-4EAA668BF5F5}" name="Column3880"/>
    <tableColumn id="3887" xr3:uid="{CA95DC67-A3C5-4187-9360-AE94F863496D}" name="Column3881"/>
    <tableColumn id="3888" xr3:uid="{780B6601-BB57-45AB-B2D3-5CE6173512F3}" name="Column3882"/>
    <tableColumn id="3889" xr3:uid="{64D01809-DCEE-4B37-96B6-F5C6D9DCE5F7}" name="Column3883"/>
    <tableColumn id="3890" xr3:uid="{605A279D-90DC-4486-9604-80DC63FF3C47}" name="Column3884"/>
    <tableColumn id="3891" xr3:uid="{FB38A1FB-58AE-4C70-BB54-318091FAAEC8}" name="Column3885"/>
    <tableColumn id="3892" xr3:uid="{CDD1C594-E031-475B-9BC3-8D3AE627DCD2}" name="Column3886"/>
    <tableColumn id="3893" xr3:uid="{5F95E577-30DE-4C66-B6DF-A52152594891}" name="Column3887"/>
    <tableColumn id="3894" xr3:uid="{57DFB696-F6D3-44B8-9DC6-3C0A1DB2705F}" name="Column3888"/>
    <tableColumn id="3895" xr3:uid="{C71843B9-28E1-4AA5-90BA-2453968A8E44}" name="Column3889"/>
    <tableColumn id="3896" xr3:uid="{A6132517-D4CA-430B-92BB-3854FE499827}" name="Column3890"/>
    <tableColumn id="3897" xr3:uid="{18BFEBC5-4BCC-4423-81C5-29B8CC22D760}" name="Column3891"/>
    <tableColumn id="3898" xr3:uid="{D99E41C9-8D8D-419F-BF77-EDE48FBA92DA}" name="Column3892"/>
    <tableColumn id="3899" xr3:uid="{1F675FB7-850D-4F36-A344-0CB8122D8814}" name="Column3893"/>
    <tableColumn id="3900" xr3:uid="{3CB04750-CC57-4175-88F8-A3DDC5893559}" name="Column3894"/>
    <tableColumn id="3901" xr3:uid="{4652F040-A352-4401-80B0-C65CDF1F4D5D}" name="Column3895"/>
    <tableColumn id="3902" xr3:uid="{05F594FE-74E7-43D5-B5CC-A1E224FB17D1}" name="Column3896"/>
    <tableColumn id="3903" xr3:uid="{D398F7C9-9470-4E99-A019-91D9FFEBDCC1}" name="Column3897"/>
    <tableColumn id="3904" xr3:uid="{12A1BB76-F1CC-424A-A2B2-2DA83C06E3DC}" name="Column3898"/>
    <tableColumn id="3905" xr3:uid="{41F3FE1C-9F43-4938-AA17-98462481641D}" name="Column3899"/>
    <tableColumn id="3906" xr3:uid="{AB7E79AA-E183-4E7A-AECF-D59C30BEA27E}" name="Column3900"/>
    <tableColumn id="3907" xr3:uid="{63BEA28A-78DE-4B88-B09E-67BBE10BE434}" name="Column3901"/>
    <tableColumn id="3908" xr3:uid="{707EDDB5-5533-4BAA-9194-25E2774C3D3B}" name="Column3902"/>
    <tableColumn id="3909" xr3:uid="{56A1C1D8-3C9B-4411-B497-964434187E32}" name="Column3903"/>
    <tableColumn id="3910" xr3:uid="{5CD46C9B-A0C2-4310-9894-A3DFC8FC237B}" name="Column3904"/>
    <tableColumn id="3911" xr3:uid="{5CEE69A9-287F-42A3-B92A-609D8141A685}" name="Column3905"/>
    <tableColumn id="3912" xr3:uid="{3966F53A-333A-4F91-991B-80317A14158A}" name="Column3906"/>
    <tableColumn id="3913" xr3:uid="{D3D23875-AA50-4844-A0B3-517E0D5DC110}" name="Column3907"/>
    <tableColumn id="3914" xr3:uid="{1C16F570-DA41-4912-8401-1EF3B7EEAE82}" name="Column3908"/>
    <tableColumn id="3915" xr3:uid="{5551627D-4658-4932-BB9A-E614AB3CC171}" name="Column3909"/>
    <tableColumn id="3916" xr3:uid="{D4D3AD3B-407A-416B-8EAC-F2005B349FE8}" name="Column3910"/>
    <tableColumn id="3917" xr3:uid="{A7622B1B-D1AA-4E55-B78A-6714831B1F04}" name="Column3911"/>
    <tableColumn id="3918" xr3:uid="{3F7D3997-5077-4DA9-B952-33E6F1255394}" name="Column3912"/>
    <tableColumn id="3919" xr3:uid="{F5D3AEB2-FBCB-4ED0-8715-02B6D0E3DC96}" name="Column3913"/>
    <tableColumn id="3920" xr3:uid="{E98C2F04-5A4B-4483-A333-2B0B277C9BC5}" name="Column3914"/>
    <tableColumn id="3921" xr3:uid="{F6D49345-1493-4DAF-B222-F2DC037AEC8F}" name="Column3915"/>
    <tableColumn id="3922" xr3:uid="{D2B61329-97AE-4813-BFE9-FBA6B1EFB5B3}" name="Column3916"/>
    <tableColumn id="3923" xr3:uid="{B5FF5B18-0855-4915-B7BB-15682A60F59C}" name="Column3917"/>
    <tableColumn id="3924" xr3:uid="{68EFAD34-C521-43C8-B5CA-C5471DB802E4}" name="Column3918"/>
    <tableColumn id="3925" xr3:uid="{AD3C169D-2E6A-418B-A74E-E623AE161C35}" name="Column3919"/>
    <tableColumn id="3926" xr3:uid="{594EF81B-3217-4AFE-B1C6-41E27DBC657E}" name="Column3920"/>
    <tableColumn id="3927" xr3:uid="{AD61B5F3-BB60-4EC9-877F-D49C00339803}" name="Column3921"/>
    <tableColumn id="3928" xr3:uid="{7B6CF1D8-A79D-4D14-BD45-4C1BDC0E65CB}" name="Column3922"/>
    <tableColumn id="3929" xr3:uid="{C83B780D-A949-4E43-A4AB-758BDB887C35}" name="Column3923"/>
    <tableColumn id="3930" xr3:uid="{109E9AB3-9E67-47BA-AC01-61D53A99A789}" name="Column3924"/>
    <tableColumn id="3931" xr3:uid="{848A8CAA-5691-48C7-938D-937613FF580E}" name="Column3925"/>
    <tableColumn id="3932" xr3:uid="{CF15FEBC-81D2-47AD-842A-4FB67CFC5863}" name="Column3926"/>
    <tableColumn id="3933" xr3:uid="{345936D3-FFE1-4B20-965B-F17939BDADFC}" name="Column3927"/>
    <tableColumn id="3934" xr3:uid="{9B52741E-4817-4667-B2D2-1189E187EE3A}" name="Column3928"/>
    <tableColumn id="3935" xr3:uid="{7127A7E4-FB20-4CE5-8D78-774EA4874026}" name="Column3929"/>
    <tableColumn id="3936" xr3:uid="{87DC6548-689C-4CB0-8ECB-81839C143C05}" name="Column3930"/>
    <tableColumn id="3937" xr3:uid="{CD44734B-77C4-43CB-8A32-8167305BB305}" name="Column3931"/>
    <tableColumn id="3938" xr3:uid="{8369FD75-85BE-4516-B191-F3FB81531C4E}" name="Column3932"/>
    <tableColumn id="3939" xr3:uid="{61844390-17E7-451D-82E7-C4C66BCC5A5C}" name="Column3933"/>
    <tableColumn id="3940" xr3:uid="{2BDE39C0-5718-41C9-A66F-FB80FA037DBF}" name="Column3934"/>
    <tableColumn id="3941" xr3:uid="{09EBA563-13CA-4D36-B598-CC6E6C59AEBF}" name="Column3935"/>
    <tableColumn id="3942" xr3:uid="{04D0145B-C6F8-4115-8BA6-FDAAED7104B2}" name="Column3936"/>
    <tableColumn id="3943" xr3:uid="{E9B29D2E-6B55-4146-845D-A384D80BD2E0}" name="Column3937"/>
    <tableColumn id="3944" xr3:uid="{D3858871-7388-458C-971A-5C908DE43100}" name="Column3938"/>
    <tableColumn id="3945" xr3:uid="{3A96C9C8-A727-43BC-A00E-B22A7AEC409B}" name="Column3939"/>
    <tableColumn id="3946" xr3:uid="{4590B972-AFD1-4E29-B482-C378DCF105A1}" name="Column3940"/>
    <tableColumn id="3947" xr3:uid="{3972B946-D7F2-4EE4-921E-12279653BC62}" name="Column3941"/>
    <tableColumn id="3948" xr3:uid="{B8C50336-5A82-4F1B-AB3D-C35A11C6A371}" name="Column3942"/>
    <tableColumn id="3949" xr3:uid="{A082FA94-A628-479E-B1DB-7DEF7CC8C0F1}" name="Column3943"/>
    <tableColumn id="3950" xr3:uid="{5B1A5B6D-ED09-4D0E-8C32-2ABCA97EF170}" name="Column3944"/>
    <tableColumn id="3951" xr3:uid="{F52AB0A3-A035-4293-B876-490D6E2C4E13}" name="Column3945"/>
    <tableColumn id="3952" xr3:uid="{B516663B-F471-4B1E-9F4B-5C63FFDAB040}" name="Column3946"/>
    <tableColumn id="3953" xr3:uid="{6DD9DE43-D160-4479-A010-149BC7918EB5}" name="Column3947"/>
    <tableColumn id="3954" xr3:uid="{AFA95C7D-09F7-4562-994C-7CB4971664AB}" name="Column3948"/>
    <tableColumn id="3955" xr3:uid="{60A123CD-30ED-4930-A466-2EA0A59B6071}" name="Column3949"/>
    <tableColumn id="3956" xr3:uid="{4111E8E8-23E9-4371-B21D-87D73E90E6BF}" name="Column3950"/>
    <tableColumn id="3957" xr3:uid="{203D6FBA-6C92-4296-8E90-05FEB23058FA}" name="Column3951"/>
    <tableColumn id="3958" xr3:uid="{92723363-7C9C-4060-8F01-C42647AB5F20}" name="Column3952"/>
    <tableColumn id="3959" xr3:uid="{F1F0EA2B-6297-40FD-81F6-5A14F1ED1AA8}" name="Column3953"/>
    <tableColumn id="3960" xr3:uid="{036D1D3D-0912-4C67-B466-8F55E8C7D4CF}" name="Column3954"/>
    <tableColumn id="3961" xr3:uid="{94541DE0-E153-4525-8FE2-5B84512CF87A}" name="Column3955"/>
    <tableColumn id="3962" xr3:uid="{2CF27BFE-DFF1-423B-BC24-332910B35213}" name="Column3956"/>
    <tableColumn id="3963" xr3:uid="{DE771C53-9953-4793-B9A2-48CB5946E156}" name="Column3957"/>
    <tableColumn id="3964" xr3:uid="{B38E9C1B-FA4E-42AC-94DB-E03680132682}" name="Column3958"/>
    <tableColumn id="3965" xr3:uid="{7CCBEC19-6078-4157-9BAF-40BEE52B78E8}" name="Column3959"/>
    <tableColumn id="3966" xr3:uid="{662FE1A5-63FA-4D62-AD15-C6449B03173E}" name="Column3960"/>
    <tableColumn id="3967" xr3:uid="{3A373E3D-A30B-4A2A-A3E4-5C07DDE3E5C7}" name="Column3961"/>
    <tableColumn id="3968" xr3:uid="{F0016F34-3BDF-4F16-8F18-952EBE90B605}" name="Column3962"/>
    <tableColumn id="3969" xr3:uid="{D91DF22D-479E-420C-855B-9D52743D6704}" name="Column3963"/>
    <tableColumn id="3970" xr3:uid="{4205DE26-872B-4271-88C9-5E7CD8D663F3}" name="Column3964"/>
    <tableColumn id="3971" xr3:uid="{E3ECEBA9-A26B-4CA0-B2EC-DEBD51A25C76}" name="Column3965"/>
    <tableColumn id="3972" xr3:uid="{2424B7A7-5B60-4E31-9D8C-E713004ED62C}" name="Column3966"/>
    <tableColumn id="3973" xr3:uid="{9A4FB706-3287-4316-B4F8-E06DC3EA53AD}" name="Column3967"/>
    <tableColumn id="3974" xr3:uid="{4F722F28-8FAB-4468-914E-4902E95C4719}" name="Column3968"/>
    <tableColumn id="3975" xr3:uid="{0066DE29-70C0-4927-9618-8E6C99D7CC53}" name="Column3969"/>
    <tableColumn id="3976" xr3:uid="{98DACDB5-9029-4452-9972-52763F7A6CE3}" name="Column3970"/>
    <tableColumn id="3977" xr3:uid="{AEDB7D23-41FB-40DA-B5F3-1B197C47E8CE}" name="Column3971"/>
    <tableColumn id="3978" xr3:uid="{66D6A8C6-217C-4933-9A2D-3844F591BCC2}" name="Column3972"/>
    <tableColumn id="3979" xr3:uid="{6D4A9CCB-2C86-43EF-91D7-B424DF2A84A2}" name="Column3973"/>
    <tableColumn id="3980" xr3:uid="{6353E096-1F2F-4609-AE8B-5B8FECFDBCA4}" name="Column3974"/>
    <tableColumn id="3981" xr3:uid="{B8C2C6EE-C83A-4063-B352-B0B570B298EC}" name="Column3975"/>
    <tableColumn id="3982" xr3:uid="{18266BD5-259F-4715-979D-83C748E158CB}" name="Column3976"/>
    <tableColumn id="3983" xr3:uid="{7F92C727-FC0B-4351-A48C-6BBDBA17FF63}" name="Column3977"/>
    <tableColumn id="3984" xr3:uid="{0A112ADD-D786-4EED-8DCD-7A32518A5DFE}" name="Column3978"/>
    <tableColumn id="3985" xr3:uid="{57F57D0C-E7C0-43CB-A55D-BD20503ABDD2}" name="Column3979"/>
    <tableColumn id="3986" xr3:uid="{43DCD3B5-AF97-4A9F-AED5-28E5E9C81872}" name="Column3980"/>
    <tableColumn id="3987" xr3:uid="{109F0A3C-720F-458C-8E5C-DD46E6E59652}" name="Column3981"/>
    <tableColumn id="3988" xr3:uid="{FB47259A-1092-4B5D-BEEC-A01C4A4C0751}" name="Column3982"/>
    <tableColumn id="3989" xr3:uid="{6A32FA7D-0D53-4D34-B3C7-4C8D6B04847D}" name="Column3983"/>
    <tableColumn id="3990" xr3:uid="{D0BCBA9A-BCF3-45B5-94B2-273BE259FA95}" name="Column3984"/>
    <tableColumn id="3991" xr3:uid="{E5BDA25F-7216-4A7A-B62D-B925FF8214F2}" name="Column3985"/>
    <tableColumn id="3992" xr3:uid="{74AC2B6A-4837-4B06-8750-2A4202D8356E}" name="Column3986"/>
    <tableColumn id="3993" xr3:uid="{98F364AD-30AB-416C-A9D8-B25FCD8C9F2C}" name="Column3987"/>
    <tableColumn id="3994" xr3:uid="{DF711CF6-3C6B-44BA-BA9D-B8FE0ACE8E0F}" name="Column3988"/>
    <tableColumn id="3995" xr3:uid="{8B8BD59B-B37A-4D00-867E-A7F50A9A498C}" name="Column3989"/>
    <tableColumn id="3996" xr3:uid="{C6731044-C571-497D-8A3A-62B6EE9D3AC4}" name="Column3990"/>
    <tableColumn id="3997" xr3:uid="{E7490E52-EB50-4715-90FB-4E735BB6A14E}" name="Column3991"/>
    <tableColumn id="3998" xr3:uid="{17447EEE-3C0C-43B8-A09D-BFA4FD3D49EE}" name="Column3992"/>
    <tableColumn id="3999" xr3:uid="{5A89189D-4260-468F-B6E4-713ECD00C68D}" name="Column3993"/>
    <tableColumn id="4000" xr3:uid="{0B8DA17B-64E9-4900-A9C9-E1A8431B610A}" name="Column3994"/>
    <tableColumn id="4001" xr3:uid="{26DDA343-ADA8-42B2-8316-FA1725A73EB6}" name="Column3995"/>
    <tableColumn id="4002" xr3:uid="{E1521DC1-21B8-4375-9340-2F6EA2AA2F9D}" name="Column3996"/>
    <tableColumn id="4003" xr3:uid="{62F78518-B652-40B8-8A47-341FD8564655}" name="Column3997"/>
    <tableColumn id="4004" xr3:uid="{CE2B4BC0-76EE-41FC-92FF-3B9D3CB2DC50}" name="Column3998"/>
    <tableColumn id="4005" xr3:uid="{BC7253C6-6BDA-4961-9333-568ECBD704F3}" name="Column3999"/>
    <tableColumn id="4006" xr3:uid="{7C7902C2-306E-4D22-A370-AA405CDCEA97}" name="Column4000"/>
    <tableColumn id="4007" xr3:uid="{30D07383-3C96-46D6-9C1C-B3D55C6CC797}" name="Column4001"/>
    <tableColumn id="4008" xr3:uid="{0ECB2A19-634F-4C88-8345-3C20D35C4BE6}" name="Column4002"/>
    <tableColumn id="4009" xr3:uid="{765CB01C-0FC6-4899-B5CA-A016BEA5B226}" name="Column4003"/>
    <tableColumn id="4010" xr3:uid="{1D18B605-3962-4544-9D85-E2E7798DA058}" name="Column4004"/>
    <tableColumn id="4011" xr3:uid="{58696AD3-0A76-4600-B805-D8B92FC9E76C}" name="Column4005"/>
    <tableColumn id="4012" xr3:uid="{1719308F-73EA-432A-8BE9-7F57582172AF}" name="Column4006"/>
    <tableColumn id="4013" xr3:uid="{33E4C434-D1FC-4442-BE04-3350DC2A7D8E}" name="Column4007"/>
    <tableColumn id="4014" xr3:uid="{F2B66FAF-B6A3-49F1-B441-60AF8B73762C}" name="Column4008"/>
    <tableColumn id="4015" xr3:uid="{F4FC4F29-9E95-4240-AC7E-B36113D51794}" name="Column4009"/>
    <tableColumn id="4016" xr3:uid="{5B974547-CFDC-461E-9967-B3E0660BD7A2}" name="Column4010"/>
    <tableColumn id="4017" xr3:uid="{A3CC15B3-A55B-457A-80CE-991706D5CEB8}" name="Column4011"/>
    <tableColumn id="4018" xr3:uid="{1B11CE1C-91AA-4A61-9D48-2AE062F51AF3}" name="Column4012"/>
    <tableColumn id="4019" xr3:uid="{0F59FBF8-581A-4F7D-907B-343F4FD870EA}" name="Column4013"/>
    <tableColumn id="4020" xr3:uid="{BF416510-0CB0-4A6A-9CED-398E10CF085C}" name="Column4014"/>
    <tableColumn id="4021" xr3:uid="{DA4D790A-A6C6-4C99-B885-127A446CCA69}" name="Column4015"/>
    <tableColumn id="4022" xr3:uid="{A0770CAB-F0CF-4922-AE3A-01244483AEA7}" name="Column4016"/>
    <tableColumn id="4023" xr3:uid="{3E7D8981-724D-4FF3-A3FA-89017C39088D}" name="Column4017"/>
    <tableColumn id="4024" xr3:uid="{AE71944C-23D7-49F4-8FEB-1A0840232DAD}" name="Column4018"/>
    <tableColumn id="4025" xr3:uid="{5BD0735E-2940-48A0-B2A5-08D8034FAB90}" name="Column4019"/>
    <tableColumn id="4026" xr3:uid="{714487B8-016D-44D8-9356-E9ADE4620081}" name="Column4020"/>
    <tableColumn id="4027" xr3:uid="{EAB29090-7E80-4C6B-9F25-F32A3CE88B3B}" name="Column4021"/>
    <tableColumn id="4028" xr3:uid="{158A92F1-EFB2-42CB-9499-419995FE976C}" name="Column4022"/>
    <tableColumn id="4029" xr3:uid="{E4A2E972-F348-4074-8D1C-3D01D74E4ABD}" name="Column4023"/>
    <tableColumn id="4030" xr3:uid="{DDA799A4-5B7F-4E1F-92AC-39248031EEA1}" name="Column4024"/>
    <tableColumn id="4031" xr3:uid="{0444BEF3-6291-4F80-85D8-B099347C0661}" name="Column4025"/>
    <tableColumn id="4032" xr3:uid="{EF211A54-5AC1-47AC-92F1-A5C408A9EB2A}" name="Column4026"/>
    <tableColumn id="4033" xr3:uid="{D213284E-2CC7-48A9-94E9-979D2A92AF87}" name="Column4027"/>
    <tableColumn id="4034" xr3:uid="{51EA9651-726D-4DFE-B415-514793911A17}" name="Column4028"/>
    <tableColumn id="4035" xr3:uid="{4E8A1354-8245-4006-9116-326E89158209}" name="Column4029"/>
    <tableColumn id="4036" xr3:uid="{C068EEF8-7ABC-46B2-91FD-07DE99619689}" name="Column4030"/>
    <tableColumn id="4037" xr3:uid="{D15A19F0-F580-4FB8-AADE-9EF903A14F63}" name="Column4031"/>
    <tableColumn id="4038" xr3:uid="{B5843F90-69DA-41F1-BA0C-46C01DA0F114}" name="Column4032"/>
    <tableColumn id="4039" xr3:uid="{87F70693-CC16-4BF5-AC70-D43BBF4E8E5D}" name="Column4033"/>
    <tableColumn id="4040" xr3:uid="{98F2616A-3300-4D2A-A489-D2EAACDC80E2}" name="Column4034"/>
    <tableColumn id="4041" xr3:uid="{3A669334-E6F9-42B8-B399-AA8423125B0C}" name="Column4035"/>
    <tableColumn id="4042" xr3:uid="{D3C6FD4B-8F8A-44F5-AA55-E062FFF1F94B}" name="Column4036"/>
    <tableColumn id="4043" xr3:uid="{B4EF4BD8-54C8-493D-BCEA-53B7DE6BF1EF}" name="Column4037"/>
    <tableColumn id="4044" xr3:uid="{38422BC2-37B4-41B8-8DF1-57C057A48AB4}" name="Column4038"/>
    <tableColumn id="4045" xr3:uid="{8DEE7A3A-5F5F-45C9-BCEA-9BA2FCA7904B}" name="Column4039"/>
    <tableColumn id="4046" xr3:uid="{A64B6627-9BD1-48EF-B0E5-5F1D6038F84A}" name="Column4040"/>
    <tableColumn id="4047" xr3:uid="{6DE8286C-14E7-45E6-8B62-8C0C0000B978}" name="Column4041"/>
    <tableColumn id="4048" xr3:uid="{75064D08-8B6C-4DB8-BA1E-16094375EC8E}" name="Column4042"/>
    <tableColumn id="4049" xr3:uid="{A86496A9-0216-468F-9FFC-157A9DB83B6F}" name="Column4043"/>
    <tableColumn id="4050" xr3:uid="{F0664D71-7C71-4B3B-B6AD-7D52B0EF4E40}" name="Column4044"/>
    <tableColumn id="4051" xr3:uid="{1CF5A12E-8FDC-49FA-A9D9-5ADFB039EB1D}" name="Column4045"/>
    <tableColumn id="4052" xr3:uid="{7910FD08-96D5-4FA4-A0A9-7A48D0574E58}" name="Column4046"/>
    <tableColumn id="4053" xr3:uid="{9C513E9D-1836-4FC5-ABDC-9B2EEE8E27E7}" name="Column4047"/>
    <tableColumn id="4054" xr3:uid="{DEDF4BDB-97C0-48D3-A290-C5B710D8A32C}" name="Column4048"/>
    <tableColumn id="4055" xr3:uid="{B349D0F1-6F83-4E94-93D7-DDDD71E618E2}" name="Column4049"/>
    <tableColumn id="4056" xr3:uid="{C84398BD-43F5-4E09-882E-28AAC3735212}" name="Column4050"/>
    <tableColumn id="4057" xr3:uid="{BB8BEB06-AA96-439C-9DA4-8185801AF5E7}" name="Column4051"/>
    <tableColumn id="4058" xr3:uid="{F4365146-DDFC-49DF-ACA8-AE9E0F8ED313}" name="Column4052"/>
    <tableColumn id="4059" xr3:uid="{03AF7DDA-DD6A-4D0C-8BC0-0D2B5FDBF1E5}" name="Column4053"/>
    <tableColumn id="4060" xr3:uid="{2D521D19-4874-4B26-84FC-FE50CF00FEDB}" name="Column4054"/>
    <tableColumn id="4061" xr3:uid="{72F07F3B-942A-4493-8039-5B36BB38932D}" name="Column4055"/>
    <tableColumn id="4062" xr3:uid="{94801DA9-8149-42CA-88D6-99DC89011E03}" name="Column4056"/>
    <tableColumn id="4063" xr3:uid="{EA757448-CFB1-4A06-9DE3-1433399378AB}" name="Column4057"/>
    <tableColumn id="4064" xr3:uid="{8773B25B-D70C-49F1-88BD-F27D1D56DDF6}" name="Column4058"/>
    <tableColumn id="4065" xr3:uid="{3061A459-DCD4-4E41-81C8-E53F7A2192C8}" name="Column4059"/>
    <tableColumn id="4066" xr3:uid="{B3C9FD7D-9FF2-4427-A1BB-3E2B8A92B64D}" name="Column4060"/>
    <tableColumn id="4067" xr3:uid="{24931D2F-38E4-4D35-B579-21E6FA031351}" name="Column4061"/>
    <tableColumn id="4068" xr3:uid="{A81B8B05-CC0F-4F51-8199-DB2056F42B20}" name="Column4062"/>
    <tableColumn id="4069" xr3:uid="{5AF66550-D0FE-41E8-A3D8-28D0601A0454}" name="Column4063"/>
    <tableColumn id="4070" xr3:uid="{3D1DEF20-B5B5-4460-8916-3940375B41E7}" name="Column4064"/>
    <tableColumn id="4071" xr3:uid="{2FFBD94F-8C98-48DF-AAB3-5188C26691AB}" name="Column4065"/>
    <tableColumn id="4072" xr3:uid="{D7924E8C-B634-484A-AEA5-F2CB47F51C26}" name="Column4066"/>
    <tableColumn id="4073" xr3:uid="{38ACC2A8-9E93-495B-9CD5-E03EC37770FF}" name="Column4067"/>
    <tableColumn id="4074" xr3:uid="{8986C4B6-99E3-4AB2-ABFF-1A569B51D335}" name="Column4068"/>
    <tableColumn id="4075" xr3:uid="{912E9BF3-2F0B-4BEE-8A07-C804478F1084}" name="Column4069"/>
    <tableColumn id="4076" xr3:uid="{2992DB86-74CA-45BD-804E-84FE46415C39}" name="Column4070"/>
    <tableColumn id="4077" xr3:uid="{5260DB0E-7308-4858-A5DD-53751591DB05}" name="Column4071"/>
    <tableColumn id="4078" xr3:uid="{E189FBB5-864A-46D4-878C-AF0470A421BB}" name="Column4072"/>
    <tableColumn id="4079" xr3:uid="{7E42ADF2-C931-4285-826E-AEE47277E441}" name="Column4073"/>
    <tableColumn id="4080" xr3:uid="{11B5AAFD-2744-40BD-9D2A-998227C7D0F3}" name="Column4074"/>
    <tableColumn id="4081" xr3:uid="{78031CD4-6004-4107-8F4B-7D3D19F529D4}" name="Column4075"/>
    <tableColumn id="4082" xr3:uid="{90343E7F-7B5D-40F6-865D-578C58714907}" name="Column4076"/>
    <tableColumn id="4083" xr3:uid="{0A1E6934-32CA-453F-955F-9D8A4FCE0787}" name="Column4077"/>
    <tableColumn id="4084" xr3:uid="{F72EFE1F-C5E8-44FD-8E18-B9EF08A566E2}" name="Column4078"/>
    <tableColumn id="4085" xr3:uid="{0B375C24-5017-4285-A9CA-1CAD247E45AF}" name="Column4079"/>
    <tableColumn id="4086" xr3:uid="{7126E1C0-8F3D-4A77-B918-7A3AFB65B82B}" name="Column4080"/>
    <tableColumn id="4087" xr3:uid="{1E4D0F79-87CA-49C4-9644-A07413339076}" name="Column4081"/>
    <tableColumn id="4088" xr3:uid="{112725EA-761D-4761-83E7-A0A48E9BA0B8}" name="Column4082"/>
    <tableColumn id="4089" xr3:uid="{8D77F306-48DB-4310-9D28-BE24922638E4}" name="Column4083"/>
    <tableColumn id="4090" xr3:uid="{D8E4589B-2B25-454B-AD4B-635D6CED4942}" name="Column4084"/>
    <tableColumn id="4091" xr3:uid="{B8C0799E-D46B-4F22-87AA-7C95B4D334D7}" name="Column4085"/>
    <tableColumn id="4092" xr3:uid="{4C26AF3B-06CE-42F4-AF3B-341B12176751}" name="Column4086"/>
    <tableColumn id="4093" xr3:uid="{5291A4FC-E0C4-4D2C-9E97-31E374482797}" name="Column4087"/>
    <tableColumn id="4094" xr3:uid="{A6E37AB7-FC53-421C-9792-D4740EA78DF8}" name="Column4088"/>
    <tableColumn id="4095" xr3:uid="{BFB609FF-AC5C-42A0-B563-78661C701721}" name="Column4089"/>
    <tableColumn id="4096" xr3:uid="{8F353C85-5D65-40A6-B717-7440D7149584}" name="Column4090"/>
    <tableColumn id="4097" xr3:uid="{6E1D79EF-ADC6-4D54-9C8E-3B4FD09D9A6D}" name="Column4091"/>
    <tableColumn id="4098" xr3:uid="{B3250B8C-8B0B-4723-8052-7B2BF8E5158E}" name="Column4092"/>
    <tableColumn id="4099" xr3:uid="{6B19828E-EA4C-42F9-9015-5E82AD9279DB}" name="Column4093"/>
    <tableColumn id="4100" xr3:uid="{591D6DC1-3028-4E4F-9CC8-663E8C6750BA}" name="Column4094"/>
    <tableColumn id="4101" xr3:uid="{F89CDB65-42EC-47EC-BCF3-745E06ADE010}" name="Column4095"/>
    <tableColumn id="4102" xr3:uid="{8FD6C417-9F83-4919-BA56-17401D94CDE6}" name="Column4096"/>
    <tableColumn id="4103" xr3:uid="{68560AAC-112F-4BBD-8FB3-CEA089D53A67}" name="Column4097"/>
    <tableColumn id="4104" xr3:uid="{4BB31357-73F0-4AC2-8E8B-C2E9582B0D5F}" name="Column4098"/>
    <tableColumn id="4105" xr3:uid="{5577A3D6-FEB8-4A86-B7F4-7E1EC474B898}" name="Column4099"/>
    <tableColumn id="4106" xr3:uid="{7E7793E4-8DB2-4978-9B6A-926EF8FCF80D}" name="Column4100"/>
    <tableColumn id="4107" xr3:uid="{1E765198-6BCE-4B96-BA2F-5CD3A0AA7BD7}" name="Column4101"/>
    <tableColumn id="4108" xr3:uid="{B81B4DCD-AEBE-4710-A8B8-2B744275514F}" name="Column4102"/>
    <tableColumn id="4109" xr3:uid="{02608AB1-ABAB-4096-9782-B9FE8C3A93D5}" name="Column4103"/>
    <tableColumn id="4110" xr3:uid="{ED7CDEC7-6A14-4B0A-86B9-208832B3E79C}" name="Column4104"/>
    <tableColumn id="4111" xr3:uid="{75B8281B-8374-44D2-8102-6C8E45BCF31C}" name="Column4105"/>
    <tableColumn id="4112" xr3:uid="{D698104A-7227-475F-82CC-766F4F71A2F6}" name="Column4106"/>
    <tableColumn id="4113" xr3:uid="{1E637233-5D79-4FDD-8149-81ED4076CF07}" name="Column4107"/>
    <tableColumn id="4114" xr3:uid="{43EF6164-2AA0-49A9-8E17-EDF35F9A6C53}" name="Column4108"/>
    <tableColumn id="4115" xr3:uid="{AF383573-193E-4A07-9FCB-31F7CA44CA88}" name="Column4109"/>
    <tableColumn id="4116" xr3:uid="{02DFE371-E8E6-4544-8BDC-18F170CF2069}" name="Column4110"/>
    <tableColumn id="4117" xr3:uid="{40DD4872-2D64-4489-B0CD-D4D0D9829139}" name="Column4111"/>
    <tableColumn id="4118" xr3:uid="{5BAA6E78-84C8-41B4-BE46-24A64F17BAD3}" name="Column4112"/>
    <tableColumn id="4119" xr3:uid="{1C2BE193-93E4-4F61-825D-C417A46F819F}" name="Column4113"/>
    <tableColumn id="4120" xr3:uid="{44D685D2-0255-49EF-9494-D2358432C374}" name="Column4114"/>
    <tableColumn id="4121" xr3:uid="{174565B6-DE54-422F-A6EC-D5CA2D03A05A}" name="Column4115"/>
    <tableColumn id="4122" xr3:uid="{B161ED9E-96DC-4C14-93DB-9EB04A7F6304}" name="Column4116"/>
    <tableColumn id="4123" xr3:uid="{6A4A5CF1-A4B0-4F75-A250-EF8A4DAB5C54}" name="Column4117"/>
    <tableColumn id="4124" xr3:uid="{3CC950C7-79EE-4447-9D4E-4C43FD373F1F}" name="Column4118"/>
    <tableColumn id="4125" xr3:uid="{D399D780-CECF-4BA6-BB51-390A8AD5AD28}" name="Column4119"/>
    <tableColumn id="4126" xr3:uid="{DCDD3DEB-0B14-4F3F-BE5A-244E32E4D1F7}" name="Column4120"/>
    <tableColumn id="4127" xr3:uid="{3BA6E7C4-56FE-40F3-99D1-66E71421648F}" name="Column4121"/>
    <tableColumn id="4128" xr3:uid="{D28630B9-375B-4C89-8A2D-C1950C6C9590}" name="Column4122"/>
    <tableColumn id="4129" xr3:uid="{E2ABF891-9578-458D-A833-2118AB2D95F6}" name="Column4123"/>
    <tableColumn id="4130" xr3:uid="{7780918A-4B35-4772-9774-ACBF014BE341}" name="Column4124"/>
    <tableColumn id="4131" xr3:uid="{B80606F2-6AB6-4179-959A-1FC180AA790D}" name="Column4125"/>
    <tableColumn id="4132" xr3:uid="{C5E6D007-8806-477F-BAC0-5DB00BEFFC0A}" name="Column4126"/>
    <tableColumn id="4133" xr3:uid="{A9D887E8-F1A2-4AFA-A18F-86D912E51C95}" name="Column4127"/>
    <tableColumn id="4134" xr3:uid="{325A1FC0-957B-4061-96AB-9D9A2A82E22D}" name="Column4128"/>
    <tableColumn id="4135" xr3:uid="{D5950AB6-3525-4CB2-8F23-C4245E29FE14}" name="Column4129"/>
    <tableColumn id="4136" xr3:uid="{DBD22CF6-5C8C-412C-9C1E-EBBDF4A30C6F}" name="Column4130"/>
    <tableColumn id="4137" xr3:uid="{04227D5E-3C4B-45D0-B4B8-21FB4E514CD3}" name="Column4131"/>
    <tableColumn id="4138" xr3:uid="{3AC20D27-C28A-4806-BDD8-DE06547154EE}" name="Column4132"/>
    <tableColumn id="4139" xr3:uid="{B0BC04FE-9430-4804-8FE0-40BB8ECD1690}" name="Column4133"/>
    <tableColumn id="4140" xr3:uid="{54C0C1DF-F715-4B5A-B0CA-C6A981528389}" name="Column4134"/>
    <tableColumn id="4141" xr3:uid="{C9BFE80C-5B41-4390-B465-9C9865F9718C}" name="Column4135"/>
    <tableColumn id="4142" xr3:uid="{6C837B6B-BE6A-4A55-8604-2B4BF37C10FA}" name="Column4136"/>
    <tableColumn id="4143" xr3:uid="{0753375D-2C84-4A65-BF20-A9F8A071395F}" name="Column4137"/>
    <tableColumn id="4144" xr3:uid="{12CF7A01-EA4F-4CA6-9DC8-F554A5AC833D}" name="Column4138"/>
    <tableColumn id="4145" xr3:uid="{F60E87B7-DF9F-497A-BFFA-2FC00594BED0}" name="Column4139"/>
    <tableColumn id="4146" xr3:uid="{7D34EB51-6254-40FE-8C4E-40B9D8CE4DBD}" name="Column4140"/>
    <tableColumn id="4147" xr3:uid="{5D03D4B1-D330-4489-B7CF-BD2FFA822971}" name="Column4141"/>
    <tableColumn id="4148" xr3:uid="{A9192167-7C7B-4976-8466-11ABEA727878}" name="Column4142"/>
    <tableColumn id="4149" xr3:uid="{CAB78E0C-E63B-47E5-A9D3-D9B964070787}" name="Column4143"/>
    <tableColumn id="4150" xr3:uid="{D764C1DF-2AA9-49CB-A321-BBA5C767231B}" name="Column4144"/>
    <tableColumn id="4151" xr3:uid="{C4CB4CB2-5EDC-4D52-9B56-CB962C7C86A1}" name="Column4145"/>
    <tableColumn id="4152" xr3:uid="{9A223E33-B0C7-4DF4-B074-289005444568}" name="Column4146"/>
    <tableColumn id="4153" xr3:uid="{1959397E-3EFE-4B79-8AB0-C13099D78705}" name="Column4147"/>
    <tableColumn id="4154" xr3:uid="{E0AE3212-3282-44F2-B362-3EBFFA118EFD}" name="Column4148"/>
    <tableColumn id="4155" xr3:uid="{294B7101-04A4-4A64-B966-E5864D61FC57}" name="Column4149"/>
    <tableColumn id="4156" xr3:uid="{ADE86F7E-0A6B-4DB0-BC11-E3340A1C0FA6}" name="Column4150"/>
    <tableColumn id="4157" xr3:uid="{7FA01864-22E1-4038-A40A-0F2F0DA417E3}" name="Column4151"/>
    <tableColumn id="4158" xr3:uid="{822BB80A-A14D-414A-86A6-32CDAD2F14A8}" name="Column4152"/>
    <tableColumn id="4159" xr3:uid="{BD1D08AE-FB8D-411D-8D99-284769CC437C}" name="Column4153"/>
    <tableColumn id="4160" xr3:uid="{35F3A8D0-9BC6-44D5-8E21-C6BFC1117064}" name="Column4154"/>
    <tableColumn id="4161" xr3:uid="{DFF998E2-DE73-4F36-AE59-B3C644B78CE4}" name="Column4155"/>
    <tableColumn id="4162" xr3:uid="{C7E5F75E-4005-495B-B225-80196A366423}" name="Column4156"/>
    <tableColumn id="4163" xr3:uid="{88A60578-CAF8-43BD-841F-EF2E956860E8}" name="Column4157"/>
    <tableColumn id="4164" xr3:uid="{B5EB27C6-ACF3-4CE9-BFEB-2FC943EC6FD9}" name="Column4158"/>
    <tableColumn id="4165" xr3:uid="{4B4369EB-7EBC-40F1-AD6A-36C8EBF6A199}" name="Column4159"/>
    <tableColumn id="4166" xr3:uid="{97319A04-FEDC-49D1-8CA8-BC6E41D5C852}" name="Column4160"/>
    <tableColumn id="4167" xr3:uid="{0795BC65-08B3-4EA2-A2F3-52CDEEEAC47D}" name="Column4161"/>
    <tableColumn id="4168" xr3:uid="{DCFBD71A-3708-4DFA-81BD-312C56A9F2FD}" name="Column4162"/>
    <tableColumn id="4169" xr3:uid="{CAD7E8A4-0FE8-4FC5-851B-9EC4AAE698CE}" name="Column4163"/>
    <tableColumn id="4170" xr3:uid="{D311EFEC-B458-44B3-A949-7BEF5FD70DB9}" name="Column4164"/>
    <tableColumn id="4171" xr3:uid="{FD0881D8-5845-43B0-B565-DE4D0CAA05C9}" name="Column4165"/>
    <tableColumn id="4172" xr3:uid="{69BCC1D8-08AD-4F52-ACC2-559CB5422790}" name="Column4166"/>
    <tableColumn id="4173" xr3:uid="{8970966B-C49B-43AB-B244-585EAC0ECCDA}" name="Column4167"/>
    <tableColumn id="4174" xr3:uid="{FAFD3A37-96AF-44BA-ACAB-FCCD2955F469}" name="Column4168"/>
    <tableColumn id="4175" xr3:uid="{E95702B9-933C-41A4-A0E3-4E05F8815CBA}" name="Column4169"/>
    <tableColumn id="4176" xr3:uid="{8C8EA1B0-11FC-40C0-9EF6-FA286B55AC39}" name="Column4170"/>
    <tableColumn id="4177" xr3:uid="{1983E85E-93AD-4011-9A26-722C54E6128F}" name="Column4171"/>
    <tableColumn id="4178" xr3:uid="{33752D0E-5670-4BBC-83C2-421786A227B6}" name="Column4172"/>
    <tableColumn id="4179" xr3:uid="{25101BDF-57EA-4359-B70E-E7525515D7A1}" name="Column4173"/>
    <tableColumn id="4180" xr3:uid="{404DF119-D4C3-46B0-B6F5-92FF2FD7DBCE}" name="Column4174"/>
    <tableColumn id="4181" xr3:uid="{361932A1-49E8-46CE-9C9A-8147FA11ED14}" name="Column4175"/>
    <tableColumn id="4182" xr3:uid="{D639E8F7-D105-4857-A997-2C83A5BE1FA6}" name="Column4176"/>
    <tableColumn id="4183" xr3:uid="{130C34BF-FCDC-41D1-A371-1CF0EBAE4B03}" name="Column4177"/>
    <tableColumn id="4184" xr3:uid="{B81B3C37-45B0-4B64-B473-0B98C7BD24EA}" name="Column4178"/>
    <tableColumn id="4185" xr3:uid="{959F0838-0FDA-43CD-AA64-C5E2FEFFE78F}" name="Column4179"/>
    <tableColumn id="4186" xr3:uid="{1CF9DC59-0408-4C41-96D1-AADE7630A236}" name="Column4180"/>
    <tableColumn id="4187" xr3:uid="{0286AA28-EB01-4332-8281-2C767C07D494}" name="Column4181"/>
    <tableColumn id="4188" xr3:uid="{3751E7AE-BB64-4EF3-A7BC-E39CEA5E9285}" name="Column4182"/>
    <tableColumn id="4189" xr3:uid="{052BF702-C110-4F90-B2D5-D71C53BEABF4}" name="Column4183"/>
    <tableColumn id="4190" xr3:uid="{C5A395BD-1881-420C-A855-8B048B44A68C}" name="Column4184"/>
    <tableColumn id="4191" xr3:uid="{3C64A5C2-9A66-4701-A785-99690EA7E978}" name="Column4185"/>
    <tableColumn id="4192" xr3:uid="{FA750C7E-96B1-428D-9BB6-910D48A969AE}" name="Column4186"/>
    <tableColumn id="4193" xr3:uid="{5ECDC221-6FF8-47B0-95E3-D5EC171F6789}" name="Column4187"/>
    <tableColumn id="4194" xr3:uid="{985F3AD6-67C7-45D1-80F0-11CB46BE933D}" name="Column4188"/>
    <tableColumn id="4195" xr3:uid="{5874A8CD-7AB7-4670-A013-635385DF7D06}" name="Column4189"/>
    <tableColumn id="4196" xr3:uid="{18BDE2E4-685F-4545-AE0A-0AB12E9F55C3}" name="Column4190"/>
    <tableColumn id="4197" xr3:uid="{7019192E-A30E-46FF-A8A8-631F7C423CD4}" name="Column4191"/>
    <tableColumn id="4198" xr3:uid="{216ED7B8-C4EA-4D83-8226-84A3E533B6DC}" name="Column4192"/>
    <tableColumn id="4199" xr3:uid="{B7B5A36C-E694-4269-856C-F235C7581B8E}" name="Column4193"/>
    <tableColumn id="4200" xr3:uid="{FC6C8DAA-3EB5-4094-B325-6261ED67E866}" name="Column4194"/>
    <tableColumn id="4201" xr3:uid="{5BBA6F63-39B5-4761-8C0A-F05F9ED9504C}" name="Column4195"/>
    <tableColumn id="4202" xr3:uid="{01E9C05E-6097-4093-BF77-6EE654F7037A}" name="Column4196"/>
    <tableColumn id="4203" xr3:uid="{FD580BB6-FB5B-4FE4-9343-91CB53AFDCA4}" name="Column4197"/>
    <tableColumn id="4204" xr3:uid="{AD39F160-B311-4028-8CB3-816A3A3AE557}" name="Column4198"/>
    <tableColumn id="4205" xr3:uid="{950DC844-7CFE-443D-A11B-AF1AB2384A4C}" name="Column4199"/>
    <tableColumn id="4206" xr3:uid="{716A23FA-DBA7-4FB0-87C7-5589B5624708}" name="Column4200"/>
    <tableColumn id="4207" xr3:uid="{68C7A507-4921-4F3E-810A-779FDD394F58}" name="Column4201"/>
    <tableColumn id="4208" xr3:uid="{1BD69EFD-4FC0-4715-B5C3-C8E74C2EAD61}" name="Column4202"/>
    <tableColumn id="4209" xr3:uid="{26951722-5EB1-40DE-8CF0-39176C604D7A}" name="Column4203"/>
    <tableColumn id="4210" xr3:uid="{77BB9179-ED94-450F-A4CD-CB911E5BFE6C}" name="Column4204"/>
    <tableColumn id="4211" xr3:uid="{0D35921B-42F6-4E0C-A1F1-95AC4821021F}" name="Column4205"/>
    <tableColumn id="4212" xr3:uid="{D3434941-8AF7-416B-BA7A-F36D5DA10103}" name="Column4206"/>
    <tableColumn id="4213" xr3:uid="{B0E8368B-B405-4485-8A7F-D912286F9C4C}" name="Column4207"/>
    <tableColumn id="4214" xr3:uid="{A60E32F6-14CB-4AF5-83F3-47CEC55CCB44}" name="Column4208"/>
    <tableColumn id="4215" xr3:uid="{0647E5CD-DC87-4788-A4AB-111FDCDC04D5}" name="Column4209"/>
    <tableColumn id="4216" xr3:uid="{611C3E8E-BB21-4173-84A1-09502C5F43C6}" name="Column4210"/>
    <tableColumn id="4217" xr3:uid="{1392A1AC-C493-4FB4-B036-101F4FC1DFA6}" name="Column4211"/>
    <tableColumn id="4218" xr3:uid="{BEE18250-00D1-47C9-BF50-6B27EF479ED3}" name="Column4212"/>
    <tableColumn id="4219" xr3:uid="{8EA0A202-FE4D-4E7E-9C97-99DB78BBA850}" name="Column4213"/>
    <tableColumn id="4220" xr3:uid="{3E394666-6FC5-49A2-A204-CA1DEF8AAB62}" name="Column4214"/>
    <tableColumn id="4221" xr3:uid="{298342F1-1662-4CF2-A306-1CF266584848}" name="Column4215"/>
    <tableColumn id="4222" xr3:uid="{2F668F17-72EB-4B18-B896-EA4D65AF7150}" name="Column4216"/>
    <tableColumn id="4223" xr3:uid="{4E070A9C-F482-4F5B-A8B7-E71AC3713DCC}" name="Column4217"/>
    <tableColumn id="4224" xr3:uid="{612C1A30-8E26-40D1-96FA-3BF1EE0AC348}" name="Column4218"/>
    <tableColumn id="4225" xr3:uid="{C56AD95D-9399-478E-93DD-692B57DDB7F5}" name="Column4219"/>
    <tableColumn id="4226" xr3:uid="{DC96936D-77F2-4BFE-99DC-00046CCED3C0}" name="Column4220"/>
    <tableColumn id="4227" xr3:uid="{43FAFA67-946B-4A74-BC2E-0E247FDC50E0}" name="Column4221"/>
    <tableColumn id="4228" xr3:uid="{741DE435-A470-48AC-B0B2-5F25EFE3F82D}" name="Column4222"/>
    <tableColumn id="4229" xr3:uid="{215B6045-110C-420F-8760-0D76C6DE1390}" name="Column4223"/>
    <tableColumn id="4230" xr3:uid="{84F72E87-9CB5-4755-A873-32F10D348F47}" name="Column4224"/>
    <tableColumn id="4231" xr3:uid="{0046D1F1-977E-4688-B3DE-76492916C399}" name="Column4225"/>
    <tableColumn id="4232" xr3:uid="{16E1A486-8076-48DC-9984-87E3D0D56FC4}" name="Column4226"/>
    <tableColumn id="4233" xr3:uid="{755A2C41-499D-4A06-B33E-22CB95FF872C}" name="Column4227"/>
    <tableColumn id="4234" xr3:uid="{99D1C6B2-0790-4931-B3E7-70F0C770F2F1}" name="Column4228"/>
    <tableColumn id="4235" xr3:uid="{1D71F8FE-F8AE-4F6B-9369-D3A39733BC3E}" name="Column4229"/>
    <tableColumn id="4236" xr3:uid="{B3D8CF61-5E30-4E15-A004-ED7E13F28BD5}" name="Column4230"/>
    <tableColumn id="4237" xr3:uid="{4FFE0FAA-698A-45D4-A1FA-1B61A1CE07D7}" name="Column4231"/>
    <tableColumn id="4238" xr3:uid="{285D4D2D-3852-4289-9072-87E20183844D}" name="Column4232"/>
    <tableColumn id="4239" xr3:uid="{C8B71A5B-ACEC-4541-8C14-645DB7D9E7FA}" name="Column4233"/>
    <tableColumn id="4240" xr3:uid="{FFD9EC36-F2EF-4A12-BACD-EAB21FDCC0FE}" name="Column4234"/>
    <tableColumn id="4241" xr3:uid="{8D45DD2F-3EBE-429E-ADAE-00109984C78F}" name="Column4235"/>
    <tableColumn id="4242" xr3:uid="{53444C73-0C96-4EF8-9EDE-FA542E9AA520}" name="Column4236"/>
    <tableColumn id="4243" xr3:uid="{1E84C48E-2B38-4A63-BC6E-85E670B973E3}" name="Column4237"/>
    <tableColumn id="4244" xr3:uid="{AC627D05-F952-4C12-A456-A313C1FE7032}" name="Column4238"/>
    <tableColumn id="4245" xr3:uid="{A75E4067-B220-467D-931B-28F2044830EC}" name="Column4239"/>
    <tableColumn id="4246" xr3:uid="{68F7C1CF-1610-46C5-BC94-BA659AA155CD}" name="Column4240"/>
    <tableColumn id="4247" xr3:uid="{A8DC311C-5AEE-45D8-B1A3-02015670493A}" name="Column4241"/>
    <tableColumn id="4248" xr3:uid="{E21BF712-81ED-40EA-9A91-1A3FB359023D}" name="Column4242"/>
    <tableColumn id="4249" xr3:uid="{575A34B6-D7CB-46BA-98C4-A09B73AA9408}" name="Column4243"/>
    <tableColumn id="4250" xr3:uid="{A5EA7AA7-FE54-4F00-9065-4A81D15D4824}" name="Column4244"/>
    <tableColumn id="4251" xr3:uid="{910EA22D-16F5-4DA5-A412-7C6035D4561F}" name="Column4245"/>
    <tableColumn id="4252" xr3:uid="{7FCA62F5-0AEA-4CB7-8EBC-7CFD1FACB266}" name="Column4246"/>
    <tableColumn id="4253" xr3:uid="{917D39FD-5F2A-4039-9269-E41C6977EFC6}" name="Column4247"/>
    <tableColumn id="4254" xr3:uid="{3E1B24B7-3138-4A73-9761-C2D5570329BB}" name="Column4248"/>
    <tableColumn id="4255" xr3:uid="{E7D96DDB-6643-49A8-A724-BEA4222BA5AF}" name="Column4249"/>
    <tableColumn id="4256" xr3:uid="{CF25CFC9-1A33-4C6B-A2A3-462014575084}" name="Column4250"/>
    <tableColumn id="4257" xr3:uid="{3EB5B145-2E81-464A-BD1B-140A74B15AB9}" name="Column4251"/>
    <tableColumn id="4258" xr3:uid="{6969C4FE-BBA8-4FFC-9DAE-E851AE8B9440}" name="Column4252"/>
    <tableColumn id="4259" xr3:uid="{614837F3-0D55-4E4B-8C81-47E1A5FD3016}" name="Column4253"/>
    <tableColumn id="4260" xr3:uid="{4B6F4A83-C205-447D-B368-182540F6BD0D}" name="Column4254"/>
    <tableColumn id="4261" xr3:uid="{C3332791-97BA-421B-B9A3-9CAFC7CE8B5C}" name="Column4255"/>
    <tableColumn id="4262" xr3:uid="{E3C9EAB2-1F8B-4686-95A4-3FE94C64201E}" name="Column4256"/>
    <tableColumn id="4263" xr3:uid="{B0F5F354-9888-4AB7-B7A0-99BB6B3D1BC6}" name="Column4257"/>
    <tableColumn id="4264" xr3:uid="{1C28EBA7-DEDA-488E-948C-59429ADA0D80}" name="Column4258"/>
    <tableColumn id="4265" xr3:uid="{EA69CEA8-C7D0-4E6E-B2F8-A60BA6C12357}" name="Column4259"/>
    <tableColumn id="4266" xr3:uid="{48A43792-D3F9-4E87-8888-4CCB88CCFE4F}" name="Column4260"/>
    <tableColumn id="4267" xr3:uid="{C65ED5E4-E2C4-459E-B845-25A284092E93}" name="Column4261"/>
    <tableColumn id="4268" xr3:uid="{82B29AFB-F557-440C-9028-EEA377E82C6C}" name="Column4262"/>
    <tableColumn id="4269" xr3:uid="{E592DEED-F846-4162-9C9D-0B5473538FBB}" name="Column4263"/>
    <tableColumn id="4270" xr3:uid="{F7E10289-ED7E-4470-9FE7-BBE4911CE1CE}" name="Column4264"/>
    <tableColumn id="4271" xr3:uid="{4496C5F9-8017-4B3F-A7F7-CFE2CC4F7296}" name="Column4265"/>
    <tableColumn id="4272" xr3:uid="{D2F3FDCA-F522-4C94-83DD-D9F92540DE8E}" name="Column4266"/>
    <tableColumn id="4273" xr3:uid="{0080B20E-D0B3-4059-AEB2-09D9F041DFF3}" name="Column4267"/>
    <tableColumn id="4274" xr3:uid="{FEB7A91D-3182-475B-818A-34311733581F}" name="Column4268"/>
    <tableColumn id="4275" xr3:uid="{AE20A7C9-04A0-4E6A-8EC2-3BA05BA383A7}" name="Column4269"/>
    <tableColumn id="4276" xr3:uid="{52676640-5297-4A40-A3D1-E81ED5F1F5D1}" name="Column4270"/>
    <tableColumn id="4277" xr3:uid="{9F987BFD-8071-46E0-AF8F-F410C79A7477}" name="Column4271"/>
    <tableColumn id="4278" xr3:uid="{8D5F33B9-D5E6-43B5-B9DE-4B4DBB14E2BC}" name="Column4272"/>
    <tableColumn id="4279" xr3:uid="{BCCA0A2F-3E73-46A1-A388-877E0FE9E560}" name="Column4273"/>
    <tableColumn id="4280" xr3:uid="{E3413DCE-2392-45A3-B84F-0BB91D1E9535}" name="Column4274"/>
    <tableColumn id="4281" xr3:uid="{337F5461-3994-4C95-B130-85051E9CD612}" name="Column4275"/>
    <tableColumn id="4282" xr3:uid="{BB03B11B-F1F7-47D9-9A5B-83D9701F47A4}" name="Column4276"/>
    <tableColumn id="4283" xr3:uid="{73A491F0-85BC-4C1B-9BB0-76E32872C189}" name="Column4277"/>
    <tableColumn id="4284" xr3:uid="{EBC77C5B-C6E3-480A-A8DD-2025605C48E8}" name="Column4278"/>
    <tableColumn id="4285" xr3:uid="{4E5ACEF8-2F6C-40AC-8036-A05B6BA2A641}" name="Column4279"/>
    <tableColumn id="4286" xr3:uid="{526609D6-9379-42F1-AEC8-C558083FA89E}" name="Column4280"/>
    <tableColumn id="4287" xr3:uid="{3622732F-9059-4B57-B5E8-B2ACEEAD3D9D}" name="Column4281"/>
    <tableColumn id="4288" xr3:uid="{F53B7879-022C-4975-A93C-59A46A425D62}" name="Column4282"/>
    <tableColumn id="4289" xr3:uid="{4B580FD7-FAB3-429D-B0DD-6E4C5AD05C73}" name="Column4283"/>
    <tableColumn id="4290" xr3:uid="{0CDD72FD-972F-472A-B52A-DA5D8FBCE8CE}" name="Column4284"/>
    <tableColumn id="4291" xr3:uid="{E74AE26D-4895-4C5F-BD06-8DA99CCD9779}" name="Column4285"/>
    <tableColumn id="4292" xr3:uid="{54473902-B2CE-4D74-AC66-BF96CC64FDFA}" name="Column4286"/>
    <tableColumn id="4293" xr3:uid="{F5C651DF-1201-443D-82B9-F1DEA5994961}" name="Column4287"/>
    <tableColumn id="4294" xr3:uid="{B89DC37B-CE47-436C-99D4-B174D3748FF3}" name="Column4288"/>
    <tableColumn id="4295" xr3:uid="{35A4B54D-66CA-4B94-8E16-23E99869F629}" name="Column4289"/>
    <tableColumn id="4296" xr3:uid="{D874E936-1FAC-4416-AFE4-93935446081A}" name="Column4290"/>
    <tableColumn id="4297" xr3:uid="{BB77480D-ED34-4192-8F63-E872E99E1780}" name="Column4291"/>
    <tableColumn id="4298" xr3:uid="{F146C88D-D765-44F7-B709-6496C4C09D9B}" name="Column4292"/>
    <tableColumn id="4299" xr3:uid="{68783E39-52B3-4E64-A011-A8982A55B984}" name="Column4293"/>
    <tableColumn id="4300" xr3:uid="{85A55B0B-1E8E-4514-90AC-03C07C3726EE}" name="Column4294"/>
    <tableColumn id="4301" xr3:uid="{73754F74-36AE-4DF7-9730-2DC79A17BAC1}" name="Column4295"/>
    <tableColumn id="4302" xr3:uid="{C0A63DD9-7C0B-4CC9-ABB6-3B3BB5FEFC4A}" name="Column4296"/>
    <tableColumn id="4303" xr3:uid="{9EBE0B81-A0C8-420B-B5C4-A3497309592C}" name="Column4297"/>
    <tableColumn id="4304" xr3:uid="{87B293F9-E0E2-4236-A862-F670DCA15184}" name="Column4298"/>
    <tableColumn id="4305" xr3:uid="{EDA04258-A1B8-48CB-8E8B-0368039DBC21}" name="Column4299"/>
    <tableColumn id="4306" xr3:uid="{48E6CE1C-3773-47EE-8280-BC1C7D7FE35B}" name="Column4300"/>
    <tableColumn id="4307" xr3:uid="{C39E58E5-B797-4900-B8B8-D9DF2AEBDF8E}" name="Column4301"/>
    <tableColumn id="4308" xr3:uid="{D34DFCD9-C2B3-41E5-9083-3DA73FCF279F}" name="Column4302"/>
    <tableColumn id="4309" xr3:uid="{F6982DC1-EF97-4844-A6C0-507DC7D30E36}" name="Column4303"/>
    <tableColumn id="4310" xr3:uid="{6127159A-F163-4A75-AFE2-B6FBD3919C5D}" name="Column4304"/>
    <tableColumn id="4311" xr3:uid="{27F21EA1-FD09-4811-A835-F70FB0914F61}" name="Column4305"/>
    <tableColumn id="4312" xr3:uid="{BB3C89E0-C148-47C5-B26A-3C6DBBF720A4}" name="Column4306"/>
    <tableColumn id="4313" xr3:uid="{271DBEA4-7F6B-465C-A509-379542A62B62}" name="Column4307"/>
    <tableColumn id="4314" xr3:uid="{788F412C-13D8-4711-9C52-2480C28BDE20}" name="Column4308"/>
    <tableColumn id="4315" xr3:uid="{E9B0FB0F-1642-4443-B295-FA7A133638F2}" name="Column4309"/>
    <tableColumn id="4316" xr3:uid="{875F244C-14B7-45C3-AF7D-F583F84EEEBF}" name="Column4310"/>
    <tableColumn id="4317" xr3:uid="{8DA00DF5-1644-44E9-8194-FCEFB5DC581B}" name="Column4311"/>
    <tableColumn id="4318" xr3:uid="{03ECE2A3-8A64-484D-A77C-1084CF47EFA9}" name="Column4312"/>
    <tableColumn id="4319" xr3:uid="{B00B8C69-262A-47D2-B2FB-82AC54CCEEAD}" name="Column4313"/>
    <tableColumn id="4320" xr3:uid="{6891411E-03B4-464E-A9A4-1372B0BE7BE6}" name="Column4314"/>
    <tableColumn id="4321" xr3:uid="{2EF31BC9-D8EB-4B31-ABF0-AD441D484F71}" name="Column4315"/>
    <tableColumn id="4322" xr3:uid="{127F6477-C3FE-46F8-A122-B9C9E55B3011}" name="Column4316"/>
    <tableColumn id="4323" xr3:uid="{4E7F689B-9FD3-4569-9B73-F068B658FA58}" name="Column4317"/>
    <tableColumn id="4324" xr3:uid="{AF092DEE-DCC1-4E7F-9D49-71EBD81A4723}" name="Column4318"/>
    <tableColumn id="4325" xr3:uid="{5C5FE2CB-06A0-4861-9D9B-FF08B075FE38}" name="Column4319"/>
    <tableColumn id="4326" xr3:uid="{CB6CBC3B-C41F-42CF-84E6-5C875BEEE129}" name="Column4320"/>
    <tableColumn id="4327" xr3:uid="{37B12704-1FFC-44C8-8472-B4B5875B2917}" name="Column4321"/>
    <tableColumn id="4328" xr3:uid="{FEC3CD16-C653-40F6-BDE4-CBDBC8B99982}" name="Column4322"/>
    <tableColumn id="4329" xr3:uid="{81C4E5D0-BD79-48F4-91CE-D85FA8016E08}" name="Column4323"/>
    <tableColumn id="4330" xr3:uid="{23C69C42-CC2F-439E-A4A5-3128906BEFDF}" name="Column4324"/>
    <tableColumn id="4331" xr3:uid="{2DA21B2F-3211-4C4C-9D3D-37A43EC2DE95}" name="Column4325"/>
    <tableColumn id="4332" xr3:uid="{EFB4FE59-A4CA-4DDA-ACAF-A1A74A62C71A}" name="Column4326"/>
    <tableColumn id="4333" xr3:uid="{6E37B558-5312-4F09-9F4E-D31628B84BB7}" name="Column4327"/>
    <tableColumn id="4334" xr3:uid="{3D555FB5-E605-4439-A88D-4382C4186D64}" name="Column4328"/>
    <tableColumn id="4335" xr3:uid="{258E2F32-825D-4F5A-A68C-CBB34B54DC79}" name="Column4329"/>
    <tableColumn id="4336" xr3:uid="{0C688D5C-C8D5-49AE-98F4-18EF4303810E}" name="Column4330"/>
    <tableColumn id="4337" xr3:uid="{E98A6B7F-E766-4F68-823B-87717CA1425A}" name="Column4331"/>
    <tableColumn id="4338" xr3:uid="{E5737735-9C3E-4821-9FBE-EA490D061A4C}" name="Column4332"/>
    <tableColumn id="4339" xr3:uid="{7735793B-99F2-4D34-BA99-52E726A949B0}" name="Column4333"/>
    <tableColumn id="4340" xr3:uid="{D473C66E-6CF3-4CEE-B8DB-5B8C0DB9BE79}" name="Column4334"/>
    <tableColumn id="4341" xr3:uid="{E8A4F582-1FC5-4021-AF6C-EEAE89126392}" name="Column4335"/>
    <tableColumn id="4342" xr3:uid="{82F4FF3E-5F6A-4976-910F-30FCCC495D00}" name="Column4336"/>
    <tableColumn id="4343" xr3:uid="{A25FA3CA-A1F0-40CE-A55D-8C57EC9F606A}" name="Column4337"/>
    <tableColumn id="4344" xr3:uid="{4D8B5AC1-32E5-41CB-9C1A-B11E1D105410}" name="Column4338"/>
    <tableColumn id="4345" xr3:uid="{13CDA864-B5A3-4E12-8BBE-F144B48BA77D}" name="Column4339"/>
    <tableColumn id="4346" xr3:uid="{FD3768E1-D833-4421-A326-E0B95D90611A}" name="Column4340"/>
    <tableColumn id="4347" xr3:uid="{9114919F-8556-4BCC-9852-D28B83B8DEBD}" name="Column4341"/>
    <tableColumn id="4348" xr3:uid="{CA26F9FE-09F2-4270-A0EC-0B4101F8D2AE}" name="Column4342"/>
    <tableColumn id="4349" xr3:uid="{7EA797F6-A21C-4780-8B63-8BC0624759A1}" name="Column4343"/>
    <tableColumn id="4350" xr3:uid="{EB36746E-0956-4A22-A1BF-EF3C183E99D1}" name="Column4344"/>
    <tableColumn id="4351" xr3:uid="{5CC297AB-D9B2-48DA-AB3F-E4146445ABC0}" name="Column4345"/>
    <tableColumn id="4352" xr3:uid="{E69714D7-A7BA-44E7-B258-E2755C4D5A06}" name="Column4346"/>
    <tableColumn id="4353" xr3:uid="{4EF96CA8-63E3-4173-B211-D527A0729B07}" name="Column4347"/>
    <tableColumn id="4354" xr3:uid="{032C2AA0-33E8-4A9A-9407-C895E2F1B600}" name="Column4348"/>
    <tableColumn id="4355" xr3:uid="{E417AF97-727C-4530-83C8-2A1B44782C82}" name="Column4349"/>
    <tableColumn id="4356" xr3:uid="{26546537-8BBF-4318-B8C3-5D8B59E9F858}" name="Column4350"/>
    <tableColumn id="4357" xr3:uid="{25CE6A5E-D91E-45AC-B973-1FE960F6325E}" name="Column4351"/>
    <tableColumn id="4358" xr3:uid="{CAFE842E-4979-4B5E-81A7-87FA3089B2D7}" name="Column4352"/>
    <tableColumn id="4359" xr3:uid="{ECD961E1-79BD-4866-922E-39628A2AC734}" name="Column4353"/>
    <tableColumn id="4360" xr3:uid="{9F2F8985-EB3F-4EF4-B29C-23575DBC8FF2}" name="Column4354"/>
    <tableColumn id="4361" xr3:uid="{4BB11D67-A08B-4F4F-849C-55463C197C40}" name="Column4355"/>
    <tableColumn id="4362" xr3:uid="{FBB383B2-D6EC-4703-B4FB-D98D565BD538}" name="Column4356"/>
    <tableColumn id="4363" xr3:uid="{37E3DF53-C222-4A36-9563-B6F465352903}" name="Column4357"/>
    <tableColumn id="4364" xr3:uid="{428375A8-722D-40B4-A3E3-DD5F1A2BF382}" name="Column4358"/>
    <tableColumn id="4365" xr3:uid="{522F3CDB-F8C6-4C4E-92A1-0AB2EA10D9AB}" name="Column4359"/>
    <tableColumn id="4366" xr3:uid="{5EC1A7B5-B529-42B1-B085-190E3E21ABA3}" name="Column4360"/>
    <tableColumn id="4367" xr3:uid="{09921915-2758-42EC-BD28-E50189C80AAC}" name="Column4361"/>
    <tableColumn id="4368" xr3:uid="{5D69C81A-8444-4D71-8B93-4C2E0518182A}" name="Column4362"/>
    <tableColumn id="4369" xr3:uid="{02B37D8A-49C3-4172-BD3C-EBFED5842A7B}" name="Column4363"/>
    <tableColumn id="4370" xr3:uid="{778AE0DA-DA96-4447-A5C5-CC64CAB2EF18}" name="Column4364"/>
    <tableColumn id="4371" xr3:uid="{7F0A1027-E417-4539-A0E7-C2EFAAAC0C3E}" name="Column4365"/>
    <tableColumn id="4372" xr3:uid="{2BF9704A-2A87-4B39-B228-EB2747C169E4}" name="Column4366"/>
    <tableColumn id="4373" xr3:uid="{D109B9FD-32EA-4F31-A31B-E141959B5DD1}" name="Column4367"/>
    <tableColumn id="4374" xr3:uid="{29EF4F2E-57A9-42F1-9FEF-D794692AEBF3}" name="Column4368"/>
    <tableColumn id="4375" xr3:uid="{7052B0C6-B654-43FD-A7A4-3C7B86C51A37}" name="Column4369"/>
    <tableColumn id="4376" xr3:uid="{933E265C-5051-4108-9B02-EEE843D5957F}" name="Column4370"/>
    <tableColumn id="4377" xr3:uid="{B959D804-0EF8-4480-B94F-76320416537C}" name="Column4371"/>
    <tableColumn id="4378" xr3:uid="{CF292566-E528-4C93-BFB5-6E5516083FA5}" name="Column4372"/>
    <tableColumn id="4379" xr3:uid="{5563B9D4-0A2F-4471-B690-C46862024D2A}" name="Column4373"/>
    <tableColumn id="4380" xr3:uid="{8D79AF61-7345-423D-859C-13FA04218205}" name="Column4374"/>
    <tableColumn id="4381" xr3:uid="{5DFF0F31-524F-42E3-857E-E5E706A5F01D}" name="Column4375"/>
    <tableColumn id="4382" xr3:uid="{B53F5860-74D4-4F9E-8D5E-C463837DE13A}" name="Column4376"/>
    <tableColumn id="4383" xr3:uid="{C4161E38-E9C6-45CC-A164-35FED71917F7}" name="Column4377"/>
    <tableColumn id="4384" xr3:uid="{87EDEFB2-32A0-4F91-99D0-6BD42D3FC4B7}" name="Column4378"/>
    <tableColumn id="4385" xr3:uid="{ED8EF6D5-7AB6-4835-ACE6-50E5101200AD}" name="Column4379"/>
    <tableColumn id="4386" xr3:uid="{63CBC3B4-BBD7-4C2B-9ACD-802BE20A5225}" name="Column4380"/>
    <tableColumn id="4387" xr3:uid="{C128A23B-6EDF-4C9A-9D0F-DC5785CB4E86}" name="Column4381"/>
    <tableColumn id="4388" xr3:uid="{74E016C1-0758-4B76-86E0-C6F8ACAEF2E3}" name="Column4382"/>
    <tableColumn id="4389" xr3:uid="{8C5A2426-45AB-4E08-826F-347EE97F965B}" name="Column4383"/>
    <tableColumn id="4390" xr3:uid="{52B2F2B5-CF2E-4EBA-BDAC-0E2780444D1A}" name="Column4384"/>
    <tableColumn id="4391" xr3:uid="{14AF0CFA-ACB3-4583-9597-A6AD74675BA3}" name="Column4385"/>
    <tableColumn id="4392" xr3:uid="{D7897414-4630-4B89-B39A-9C1B3A746048}" name="Column4386"/>
    <tableColumn id="4393" xr3:uid="{F1C6FAC5-5260-4BE3-B684-BD8F6AEDBA25}" name="Column4387"/>
    <tableColumn id="4394" xr3:uid="{001C4E8F-AFE7-4B91-905B-D0A0DF8E2ABE}" name="Column4388"/>
    <tableColumn id="4395" xr3:uid="{F0C0079A-B9BB-4E67-BB20-A3C8033F84F1}" name="Column4389"/>
    <tableColumn id="4396" xr3:uid="{BAF7D797-7A6E-4170-89F5-D85735FC36CB}" name="Column4390"/>
    <tableColumn id="4397" xr3:uid="{7C5CA8FF-C5A4-49BB-A758-48C729101613}" name="Column4391"/>
    <tableColumn id="4398" xr3:uid="{20F0DDF1-C62C-43CF-BF47-373EDD5E1665}" name="Column4392"/>
    <tableColumn id="4399" xr3:uid="{586D8324-F4D0-4C49-985D-F360A441D68C}" name="Column4393"/>
    <tableColumn id="4400" xr3:uid="{279B5CB3-120F-4FE5-A70A-B40A4EA552AA}" name="Column4394"/>
    <tableColumn id="4401" xr3:uid="{54C4346D-2199-4DDF-B980-C9C4D67A6C1D}" name="Column4395"/>
    <tableColumn id="4402" xr3:uid="{4EB294B8-A574-45B6-B178-C6CFDB501ACB}" name="Column4396"/>
    <tableColumn id="4403" xr3:uid="{FCA942FD-2E3F-41CE-941B-6A806CB712AD}" name="Column4397"/>
    <tableColumn id="4404" xr3:uid="{BD9850D1-5452-46C5-8CC9-52B268F5AF13}" name="Column4398"/>
    <tableColumn id="4405" xr3:uid="{2D3088B2-76D7-47AC-AF2B-D99AB7CA07E0}" name="Column4399"/>
    <tableColumn id="4406" xr3:uid="{C31D1A08-E469-4942-B426-7AC0D4056BA8}" name="Column4400"/>
    <tableColumn id="4407" xr3:uid="{448A49B0-982F-4058-BF17-A60B2C1B264C}" name="Column4401"/>
    <tableColumn id="4408" xr3:uid="{94AB8B39-C500-4CBD-9666-74057E480814}" name="Column4402"/>
    <tableColumn id="4409" xr3:uid="{995EBC4B-71CF-4217-8F8B-1DE675289635}" name="Column4403"/>
    <tableColumn id="4410" xr3:uid="{BD978EA6-BD9C-4FDB-AE6A-D5953CAB2601}" name="Column4404"/>
    <tableColumn id="4411" xr3:uid="{93AF9907-4431-4857-AFCC-AD87ADC0DA28}" name="Column4405"/>
    <tableColumn id="4412" xr3:uid="{6BE55DFD-A932-416C-8E5D-74590CC981E6}" name="Column4406"/>
    <tableColumn id="4413" xr3:uid="{EC08E132-D568-4509-A700-ED47741A9B80}" name="Column4407"/>
    <tableColumn id="4414" xr3:uid="{7BCD8153-F660-4CBC-B10C-CD578A3A850D}" name="Column4408"/>
    <tableColumn id="4415" xr3:uid="{8C612F8F-ED38-4CE7-98D7-9F90B2895397}" name="Column4409"/>
    <tableColumn id="4416" xr3:uid="{7AFA96B7-43B4-429B-8211-A4FD2BF1BDC4}" name="Column4410"/>
    <tableColumn id="4417" xr3:uid="{A5ED0E84-84B7-4EED-9520-D0BDDF150499}" name="Column4411"/>
    <tableColumn id="4418" xr3:uid="{243EA2A3-1EA1-48D8-93FB-33ABCD45E891}" name="Column4412"/>
    <tableColumn id="4419" xr3:uid="{8EF0C436-0EED-4144-9B00-1CCB0E59B789}" name="Column4413"/>
    <tableColumn id="4420" xr3:uid="{D3B03CFB-75BF-4156-B1DE-B323686C9C35}" name="Column4414"/>
    <tableColumn id="4421" xr3:uid="{6618BCF8-A8A8-417E-BC13-0E62C2AFF9BA}" name="Column4415"/>
    <tableColumn id="4422" xr3:uid="{02C4CFD7-6D03-42A5-B0CC-388EC7E010C9}" name="Column4416"/>
    <tableColumn id="4423" xr3:uid="{D0B7A4D9-4A90-4542-88D6-343297957F34}" name="Column4417"/>
    <tableColumn id="4424" xr3:uid="{B429FD37-0BE7-452E-9F86-BEEEB9D3E3A3}" name="Column4418"/>
    <tableColumn id="4425" xr3:uid="{AB3785FC-A480-4E3B-BC12-15FD3160CE23}" name="Column4419"/>
    <tableColumn id="4426" xr3:uid="{29783D31-4E76-4EC5-8F70-EFBA63820596}" name="Column4420"/>
    <tableColumn id="4427" xr3:uid="{C7F4F526-178F-4073-A52A-3BC7F811FA2A}" name="Column4421"/>
    <tableColumn id="4428" xr3:uid="{D457DCA6-B805-4DAC-8D93-462521F8F032}" name="Column4422"/>
    <tableColumn id="4429" xr3:uid="{652892E4-1550-4156-B72E-64D2C14F09DE}" name="Column4423"/>
    <tableColumn id="4430" xr3:uid="{9BD8AD25-DC2A-48B2-A8CE-954BB5334B32}" name="Column4424"/>
    <tableColumn id="4431" xr3:uid="{BD5DF85C-F671-4CF2-9DF7-0CA7B594054D}" name="Column4425"/>
    <tableColumn id="4432" xr3:uid="{5230E0DC-83BC-4583-9FA0-31855A9ED7DE}" name="Column4426"/>
    <tableColumn id="4433" xr3:uid="{340462F0-012B-4FB1-9E42-143BB462E073}" name="Column4427"/>
    <tableColumn id="4434" xr3:uid="{744E1A3C-B7F9-4EB6-B72E-D69FB045EEC6}" name="Column4428"/>
    <tableColumn id="4435" xr3:uid="{4D96A2F0-9B7B-42C4-83E4-6CA95CBD9CFB}" name="Column4429"/>
    <tableColumn id="4436" xr3:uid="{75992DEE-C7CA-48B9-BDB1-6F25CFCE4846}" name="Column4430"/>
    <tableColumn id="4437" xr3:uid="{F4B7BE68-B6CC-4805-A8FC-16265F080BF4}" name="Column4431"/>
    <tableColumn id="4438" xr3:uid="{53339EF2-35C3-4553-997B-E872DEA60A4E}" name="Column4432"/>
    <tableColumn id="4439" xr3:uid="{A36CAE0F-B992-4A85-A9F2-B37067F6AF4E}" name="Column4433"/>
    <tableColumn id="4440" xr3:uid="{A5824FE8-FF56-42D4-B0A3-04DFD24CF174}" name="Column4434"/>
    <tableColumn id="4441" xr3:uid="{E79B22DF-851F-4D18-A95C-483EAB7996FF}" name="Column4435"/>
    <tableColumn id="4442" xr3:uid="{F6541321-9E58-439F-9130-1F0682631AF1}" name="Column4436"/>
    <tableColumn id="4443" xr3:uid="{532C7A6D-7D30-4791-8FEA-D6D728369BD2}" name="Column4437"/>
    <tableColumn id="4444" xr3:uid="{58618465-D7E2-412D-AE0E-0E459047AF05}" name="Column4438"/>
    <tableColumn id="4445" xr3:uid="{15005661-2A92-444F-9E27-669145ABC97A}" name="Column4439"/>
    <tableColumn id="4446" xr3:uid="{91A7718A-213E-4A76-B566-D4992969B265}" name="Column4440"/>
    <tableColumn id="4447" xr3:uid="{73385FEF-74FC-4272-BD3A-FA38E0A365CD}" name="Column4441"/>
    <tableColumn id="4448" xr3:uid="{50CC126C-0FC3-4D0B-96EF-1CA2CCBB5096}" name="Column4442"/>
    <tableColumn id="4449" xr3:uid="{764796A1-D357-4C14-A313-23D3173DE664}" name="Column4443"/>
    <tableColumn id="4450" xr3:uid="{FE5E846F-5330-4606-8C74-1EC7E405654F}" name="Column4444"/>
    <tableColumn id="4451" xr3:uid="{3F46B1DB-7B5A-4F69-9685-0614615FB03C}" name="Column4445"/>
    <tableColumn id="4452" xr3:uid="{E66FB76D-E656-4D5A-A2A1-65D63A2617C6}" name="Column4446"/>
    <tableColumn id="4453" xr3:uid="{88F49E66-7808-470F-BAD7-24E6E7AC557D}" name="Column4447"/>
    <tableColumn id="4454" xr3:uid="{806AE31B-AF03-4E7F-8965-EA7D044BABE8}" name="Column4448"/>
    <tableColumn id="4455" xr3:uid="{F880887F-5175-4063-BBB6-EEA564749348}" name="Column4449"/>
    <tableColumn id="4456" xr3:uid="{70CCC6D1-DA1C-4FA0-8185-E2A807841DD3}" name="Column4450"/>
    <tableColumn id="4457" xr3:uid="{9F312772-7246-4E56-A83C-C614FED59EBA}" name="Column4451"/>
    <tableColumn id="4458" xr3:uid="{ABF5EDF7-2FA0-4F0C-A8EF-60C4AA2959FE}" name="Column4452"/>
    <tableColumn id="4459" xr3:uid="{7D4243A7-D49A-49F0-B3F0-532D064FA0B5}" name="Column4453"/>
    <tableColumn id="4460" xr3:uid="{7131EAEB-94CE-4094-B740-F9A50C3FE837}" name="Column4454"/>
    <tableColumn id="4461" xr3:uid="{D1AAC910-99C4-4B8C-BFF7-B70E134E0BC9}" name="Column4455"/>
    <tableColumn id="4462" xr3:uid="{332ED909-8997-4C14-B0F2-7CB2DAF1224F}" name="Column4456"/>
    <tableColumn id="4463" xr3:uid="{65CEE791-6C9F-439E-B857-9677EF2575C5}" name="Column4457"/>
    <tableColumn id="4464" xr3:uid="{5A2AA65D-A0C6-4C2A-B60B-C2C283099279}" name="Column4458"/>
    <tableColumn id="4465" xr3:uid="{2E14DC34-EF6A-4E94-95F4-2DD2E1A3B244}" name="Column4459"/>
    <tableColumn id="4466" xr3:uid="{4B62B852-3593-4860-934E-D7FAC1BDA34C}" name="Column4460"/>
    <tableColumn id="4467" xr3:uid="{8D62B70F-9B8C-4240-91B7-54F764E60FA7}" name="Column4461"/>
    <tableColumn id="4468" xr3:uid="{E076F045-6669-475C-A7EE-9098A9746763}" name="Column4462"/>
    <tableColumn id="4469" xr3:uid="{E00F7F31-7A38-413C-B545-46EDBF4C3672}" name="Column4463"/>
    <tableColumn id="4470" xr3:uid="{E8D3B697-6764-4D02-967F-829D4980C9D9}" name="Column4464"/>
    <tableColumn id="4471" xr3:uid="{56A93017-04A7-417F-AFCF-FE85BA0C648A}" name="Column4465"/>
    <tableColumn id="4472" xr3:uid="{D7B8E656-D912-49FC-A37A-36220AE27263}" name="Column4466"/>
    <tableColumn id="4473" xr3:uid="{D9789DC9-566B-4A30-B7D5-540071A698BA}" name="Column4467"/>
    <tableColumn id="4474" xr3:uid="{1EF3306B-237C-4456-A26C-2C6F4FFDDE52}" name="Column4468"/>
    <tableColumn id="4475" xr3:uid="{666795F7-40A6-459B-8987-1600CF645057}" name="Column4469"/>
    <tableColumn id="4476" xr3:uid="{EE26DF32-0A58-40B5-92C4-E2E81D96D88F}" name="Column4470"/>
    <tableColumn id="4477" xr3:uid="{A487BBB3-4672-4CE0-A55A-9E6D8AA18B49}" name="Column4471"/>
    <tableColumn id="4478" xr3:uid="{170430B8-C504-4A09-A72E-07D34F9EBE25}" name="Column4472"/>
    <tableColumn id="4479" xr3:uid="{20506169-77E2-49E2-A5FB-AE4F128FF01A}" name="Column4473"/>
    <tableColumn id="4480" xr3:uid="{A65202FC-F0F7-4401-B599-4C9FECA1FBC6}" name="Column4474"/>
    <tableColumn id="4481" xr3:uid="{121E9B0E-40E3-4AF0-A3B1-5CECC5B920E5}" name="Column4475"/>
    <tableColumn id="4482" xr3:uid="{18440A7F-D9CF-4659-8CB4-B2E45A706502}" name="Column4476"/>
    <tableColumn id="4483" xr3:uid="{CE5DB143-A8EC-4822-ADC7-F632C461F53C}" name="Column4477"/>
    <tableColumn id="4484" xr3:uid="{B70208E3-CBE5-45D0-B8E3-CD0A9760DC04}" name="Column4478"/>
    <tableColumn id="4485" xr3:uid="{704384D4-58B9-4EEA-B253-6967747498EE}" name="Column4479"/>
    <tableColumn id="4486" xr3:uid="{80D933AD-DEF5-41AC-80B0-F3378F851CED}" name="Column4480"/>
    <tableColumn id="4487" xr3:uid="{42CE67CF-F9FC-4676-B1B0-46BAAD43CB45}" name="Column4481"/>
    <tableColumn id="4488" xr3:uid="{BCAAE90E-915C-4F8E-8ECE-434D86631B50}" name="Column4482"/>
    <tableColumn id="4489" xr3:uid="{7D729DD1-26B8-4BE7-8F41-3C14AFCEE6BD}" name="Column4483"/>
    <tableColumn id="4490" xr3:uid="{2BE3D2F5-D8BD-4E1F-9509-61F2C04F4061}" name="Column4484"/>
    <tableColumn id="4491" xr3:uid="{A4C8B45A-880A-4691-8C29-99BC9E1B3537}" name="Column4485"/>
    <tableColumn id="4492" xr3:uid="{0D041F2F-C121-4784-A187-F8F01D907AC8}" name="Column4486"/>
    <tableColumn id="4493" xr3:uid="{4E9E27DB-06AB-4113-8DF3-6E286E8569F4}" name="Column4487"/>
    <tableColumn id="4494" xr3:uid="{E36E21C8-68E1-4A95-BDAC-E7B9961CBBBD}" name="Column4488"/>
    <tableColumn id="4495" xr3:uid="{96E47E16-BCB2-4045-AEF9-F409D8A0E6C3}" name="Column4489"/>
    <tableColumn id="4496" xr3:uid="{92FAFBF1-99C6-4A68-AB9B-9CAE41448EFB}" name="Column4490"/>
    <tableColumn id="4497" xr3:uid="{19AED8FE-5536-4682-91AF-AA1A1606A152}" name="Column4491"/>
    <tableColumn id="4498" xr3:uid="{980B7468-8B22-4B20-96CA-9AA92957EFF8}" name="Column4492"/>
    <tableColumn id="4499" xr3:uid="{62C32365-4DF5-4385-B332-184AF128000D}" name="Column4493"/>
    <tableColumn id="4500" xr3:uid="{C7627F5E-E87E-43BC-8280-E7D4C1A99810}" name="Column4494"/>
    <tableColumn id="4501" xr3:uid="{45BA5408-5961-4510-80D2-5A26493C372B}" name="Column4495"/>
    <tableColumn id="4502" xr3:uid="{2CB854E2-ED0B-481E-935F-6A49057D08B4}" name="Column4496"/>
    <tableColumn id="4503" xr3:uid="{48728010-66FD-4249-9393-C973E737A125}" name="Column4497"/>
    <tableColumn id="4504" xr3:uid="{0619DC61-DAFE-4FFC-8D28-D11B87492206}" name="Column4498"/>
    <tableColumn id="4505" xr3:uid="{2B2CD3BD-61C9-4250-A993-F9C4D0253ED7}" name="Column4499"/>
    <tableColumn id="4506" xr3:uid="{927B7F50-C6B5-400B-82B2-BF0A31C5898A}" name="Column4500"/>
    <tableColumn id="4507" xr3:uid="{6661170D-83A8-4D94-915A-168598721238}" name="Column4501"/>
    <tableColumn id="4508" xr3:uid="{687075CB-D303-4C4B-8E24-D53CCF7884DD}" name="Column4502"/>
    <tableColumn id="4509" xr3:uid="{F51C4868-06D3-473E-B547-10BD9BE951D8}" name="Column4503"/>
    <tableColumn id="4510" xr3:uid="{2DA7DDFD-4FF7-48A0-A8F6-8831E6DD211D}" name="Column4504"/>
    <tableColumn id="4511" xr3:uid="{6E73F4B4-EABA-4E27-A4B8-F3DD4040FCC5}" name="Column4505"/>
    <tableColumn id="4512" xr3:uid="{01CC23CD-8D09-46FE-A057-C42A3CDA96F8}" name="Column4506"/>
    <tableColumn id="4513" xr3:uid="{FAF58C6C-D0FB-422C-B3AB-466759CE67F3}" name="Column4507"/>
    <tableColumn id="4514" xr3:uid="{E1D0325E-C409-4D55-8567-A3CEAE431210}" name="Column4508"/>
    <tableColumn id="4515" xr3:uid="{69383ACF-6CF5-4CFA-93B6-38A69B5DF0C0}" name="Column4509"/>
    <tableColumn id="4516" xr3:uid="{50D440E2-0708-4D37-98AE-068BA4FEFE48}" name="Column4510"/>
    <tableColumn id="4517" xr3:uid="{B5038935-3E3D-4C67-880A-D605D824876A}" name="Column4511"/>
    <tableColumn id="4518" xr3:uid="{4FEC68EB-8433-4FC4-A4AB-196E2EFBA59D}" name="Column4512"/>
    <tableColumn id="4519" xr3:uid="{1F05894F-BE31-4BBA-AB1C-15883E82C350}" name="Column4513"/>
    <tableColumn id="4520" xr3:uid="{CC8ADE45-8BAD-4167-A2A3-9AAF227DB1D8}" name="Column4514"/>
    <tableColumn id="4521" xr3:uid="{BBCBCEC1-6DFA-4A24-BDF3-285AD8D86096}" name="Column4515"/>
    <tableColumn id="4522" xr3:uid="{8A2A9EF7-3F52-4C82-B4DE-FF9BED7E117E}" name="Column4516"/>
    <tableColumn id="4523" xr3:uid="{65717BD1-C76D-4929-AA95-8EADC3995B1B}" name="Column4517"/>
    <tableColumn id="4524" xr3:uid="{70B86FFE-878F-4FB3-9A4B-0FAF5877B1AE}" name="Column4518"/>
    <tableColumn id="4525" xr3:uid="{380FDFE0-6CEF-4E62-8512-1A92D9DC6EC4}" name="Column4519"/>
    <tableColumn id="4526" xr3:uid="{365295CF-C28D-4E52-A3F1-5997C5568D53}" name="Column4520"/>
    <tableColumn id="4527" xr3:uid="{E02F0F37-72FC-45F7-AF8B-959699BFDEC1}" name="Column4521"/>
    <tableColumn id="4528" xr3:uid="{88DE3121-BE13-4122-9743-8748B36EA131}" name="Column4522"/>
    <tableColumn id="4529" xr3:uid="{8FF4DB50-06C6-46D6-B5CA-5B6355A0B27D}" name="Column4523"/>
    <tableColumn id="4530" xr3:uid="{024BE9CF-50EF-4362-A5DE-4EE1DC4C3C5C}" name="Column4524"/>
    <tableColumn id="4531" xr3:uid="{8B97E7DC-016E-454E-B306-EC7608230750}" name="Column4525"/>
    <tableColumn id="4532" xr3:uid="{4A4B7BF0-3920-4DB0-8236-56629A8BBAB5}" name="Column4526"/>
    <tableColumn id="4533" xr3:uid="{E283E36B-6BD7-43A9-9E04-188717B26BF2}" name="Column4527"/>
    <tableColumn id="4534" xr3:uid="{5910F45F-26C4-437B-9E5C-6CF4A5461CF0}" name="Column4528"/>
    <tableColumn id="4535" xr3:uid="{EF00F0D8-C6EF-4BBF-AB80-F448C298507F}" name="Column4529"/>
    <tableColumn id="4536" xr3:uid="{64D71080-D739-4208-9F57-741BADC47BA7}" name="Column4530"/>
    <tableColumn id="4537" xr3:uid="{B8294C93-F397-4AED-BBE9-062868D4FEF8}" name="Column4531"/>
    <tableColumn id="4538" xr3:uid="{0BB68581-C67B-41C2-B726-DB36B8F26564}" name="Column4532"/>
    <tableColumn id="4539" xr3:uid="{41E63677-BCFF-402A-9739-34E01F1B74EF}" name="Column4533"/>
    <tableColumn id="4540" xr3:uid="{33EDFFA0-6B9C-4A7E-B762-091CE0CB4A98}" name="Column4534"/>
    <tableColumn id="4541" xr3:uid="{58CB1D3A-7547-4973-8470-0AC80E79DFCE}" name="Column4535"/>
    <tableColumn id="4542" xr3:uid="{862BF6A8-4E97-4C91-A183-14E5DD116878}" name="Column4536"/>
    <tableColumn id="4543" xr3:uid="{820A290F-5EA3-4A01-AD66-3D07757487D0}" name="Column4537"/>
    <tableColumn id="4544" xr3:uid="{09D60CE1-79B0-42AA-A1A1-DF11FF03A703}" name="Column4538"/>
    <tableColumn id="4545" xr3:uid="{F1307CBC-F0B9-4107-BDC3-A9BB496EBF88}" name="Column4539"/>
    <tableColumn id="4546" xr3:uid="{18D51EA0-E71A-47D9-B5AF-ABAF15CF7F77}" name="Column4540"/>
    <tableColumn id="4547" xr3:uid="{60E27DDB-E47E-4C8D-8F63-F970615C1213}" name="Column4541"/>
    <tableColumn id="4548" xr3:uid="{8B9BA24D-56E2-4870-8033-1617199E028C}" name="Column4542"/>
    <tableColumn id="4549" xr3:uid="{31D87976-C001-4A2A-844D-5E282A6D8EDC}" name="Column4543"/>
    <tableColumn id="4550" xr3:uid="{5E4AF979-27CB-4F92-A06C-86E74B6766B8}" name="Column4544"/>
    <tableColumn id="4551" xr3:uid="{4B44B3CF-5948-47BB-B38B-58257F414E29}" name="Column4545"/>
    <tableColumn id="4552" xr3:uid="{A0056514-8A49-490B-B204-7AEE2DB85C25}" name="Column4546"/>
    <tableColumn id="4553" xr3:uid="{BA486E59-86B8-4CCB-B55B-8322CEB77832}" name="Column4547"/>
    <tableColumn id="4554" xr3:uid="{C2D09694-454E-423D-8CCD-93DF154F60FF}" name="Column4548"/>
    <tableColumn id="4555" xr3:uid="{7AB9614F-3E2E-4020-93BB-6C51FFB0EEEA}" name="Column4549"/>
    <tableColumn id="4556" xr3:uid="{ABFBB34E-A2D7-4000-8A6B-7AD0A4167BE8}" name="Column4550"/>
    <tableColumn id="4557" xr3:uid="{EBD35C0F-973E-4EC3-8409-9F4772D7E4D0}" name="Column4551"/>
    <tableColumn id="4558" xr3:uid="{CACEBE1E-2BB1-4379-BABC-3B45D9FC0EC7}" name="Column4552"/>
    <tableColumn id="4559" xr3:uid="{5BF226FF-1527-4998-B37E-3C3E16A9AEC7}" name="Column4553"/>
    <tableColumn id="4560" xr3:uid="{9F82BE3E-A3F3-48B7-B96D-E204B0030772}" name="Column4554"/>
    <tableColumn id="4561" xr3:uid="{8FEE8830-ABA4-411F-A524-E2556CCDFAAB}" name="Column4555"/>
    <tableColumn id="4562" xr3:uid="{1728E70E-6657-4DAD-84D1-E9D591AECBD2}" name="Column4556"/>
    <tableColumn id="4563" xr3:uid="{E66DAE54-C34D-42EE-9A4C-2C943874FBE0}" name="Column4557"/>
    <tableColumn id="4564" xr3:uid="{9EDEC0CA-B203-43DE-9284-B23750768D6A}" name="Column4558"/>
    <tableColumn id="4565" xr3:uid="{B48182FA-4843-4674-AC8D-902E2B428A7C}" name="Column4559"/>
    <tableColumn id="4566" xr3:uid="{6F2764D6-E268-4ADC-B908-96A2200A8BAE}" name="Column4560"/>
    <tableColumn id="4567" xr3:uid="{C4804B12-8861-4633-B186-534CEF276461}" name="Column4561"/>
    <tableColumn id="4568" xr3:uid="{D23FA49C-D7F3-4043-8F75-CD97963CB34D}" name="Column4562"/>
    <tableColumn id="4569" xr3:uid="{C321E93F-68AE-43E9-B72A-913634F0C398}" name="Column4563"/>
    <tableColumn id="4570" xr3:uid="{39EDBB3B-8BDF-45A5-BD72-975ABAAD36EA}" name="Column4564"/>
    <tableColumn id="4571" xr3:uid="{A6F4412A-FC6A-4DFC-9790-9E68F94CEFBF}" name="Column4565"/>
    <tableColumn id="4572" xr3:uid="{7D5683C3-AA0D-4B70-ABD3-0938E7E25215}" name="Column4566"/>
    <tableColumn id="4573" xr3:uid="{A95B112E-6089-41B5-BE30-23C7E9D3A1BE}" name="Column4567"/>
    <tableColumn id="4574" xr3:uid="{E500B725-1901-4F0D-B986-9CC4A9CAD1C8}" name="Column4568"/>
    <tableColumn id="4575" xr3:uid="{C0883227-1F23-4EEC-89D9-CAF7A36E0C74}" name="Column4569"/>
    <tableColumn id="4576" xr3:uid="{07606592-5C45-4039-8796-D21A0650B497}" name="Column4570"/>
    <tableColumn id="4577" xr3:uid="{8DA578CA-4B1D-4A3E-9FE5-7A85765149D5}" name="Column4571"/>
    <tableColumn id="4578" xr3:uid="{01B587F5-8FEB-40CA-B1E1-D6ACA87C14BD}" name="Column4572"/>
    <tableColumn id="4579" xr3:uid="{2462F422-B550-4FEE-92AC-4C71F0B1F50A}" name="Column4573"/>
    <tableColumn id="4580" xr3:uid="{936A3C2C-ECFD-40AA-9216-BC209CD5F810}" name="Column4574"/>
    <tableColumn id="4581" xr3:uid="{252E084C-49BA-4E99-9966-AAE5AECE2AA2}" name="Column4575"/>
    <tableColumn id="4582" xr3:uid="{896D0090-A2E5-42AB-BB7D-C0E361D126F4}" name="Column4576"/>
    <tableColumn id="4583" xr3:uid="{2EFFAA39-0032-440F-81DD-D56B9E995F36}" name="Column4577"/>
    <tableColumn id="4584" xr3:uid="{FFF3149B-0307-46E1-833C-6EFFC3C1E9C1}" name="Column4578"/>
    <tableColumn id="4585" xr3:uid="{416CFF03-976D-413E-B101-B56EA7C512D1}" name="Column4579"/>
    <tableColumn id="4586" xr3:uid="{B6B8CDAA-33C4-47B2-BF55-4D52C3544B01}" name="Column4580"/>
    <tableColumn id="4587" xr3:uid="{F3508170-CD06-4D09-82B7-C6D4AEF89F2C}" name="Column4581"/>
    <tableColumn id="4588" xr3:uid="{42FE0C6A-D427-4F61-86EC-F8F97E249FD0}" name="Column4582"/>
    <tableColumn id="4589" xr3:uid="{50FE3B72-5B75-421C-A259-68C3206DBF4C}" name="Column4583"/>
    <tableColumn id="4590" xr3:uid="{34F73F7E-7430-44D4-A58E-58358F51AAF4}" name="Column4584"/>
    <tableColumn id="4591" xr3:uid="{2B77CF11-3AA9-42E1-8FD9-5DB13C8F1C73}" name="Column4585"/>
    <tableColumn id="4592" xr3:uid="{1C19F752-F0BF-4739-A7A3-04C2C0EA6481}" name="Column4586"/>
    <tableColumn id="4593" xr3:uid="{BF5416DC-AD69-4ED5-A8EA-1A56AEBE9FDD}" name="Column4587"/>
    <tableColumn id="4594" xr3:uid="{042A43AA-F9B8-4814-9129-E1DE68630FC4}" name="Column4588"/>
    <tableColumn id="4595" xr3:uid="{021F848A-08A1-475E-B80B-D57E1297E60A}" name="Column4589"/>
    <tableColumn id="4596" xr3:uid="{3F90916E-6179-4378-872C-DC180ECD68A4}" name="Column4590"/>
    <tableColumn id="4597" xr3:uid="{12AC45C2-EB8B-4FAC-ADAA-A690324D5FF0}" name="Column4591"/>
    <tableColumn id="4598" xr3:uid="{7A77C970-2414-4771-86B9-E25DD2DFBAF1}" name="Column4592"/>
    <tableColumn id="4599" xr3:uid="{40784046-3FC6-4783-90F7-EDDCEFD6AAB8}" name="Column4593"/>
    <tableColumn id="4600" xr3:uid="{FCC160EB-0937-4763-8963-F148262ABFBE}" name="Column4594"/>
    <tableColumn id="4601" xr3:uid="{8409D58A-726A-4282-994D-5E9075BE61F3}" name="Column4595"/>
    <tableColumn id="4602" xr3:uid="{F03C8427-1319-4A83-BCEF-81C606EAE337}" name="Column4596"/>
    <tableColumn id="4603" xr3:uid="{260E897A-3B19-4F0D-9470-9D701CD00469}" name="Column4597"/>
    <tableColumn id="4604" xr3:uid="{ABAF3CE2-2392-4C6C-A069-AE29D0474371}" name="Column4598"/>
    <tableColumn id="4605" xr3:uid="{5E663FFE-A417-4E04-91DF-7CE2D7BB21DB}" name="Column4599"/>
    <tableColumn id="4606" xr3:uid="{5387A107-AEDE-4BD4-9CD6-DD2404DE9ECC}" name="Column4600"/>
    <tableColumn id="4607" xr3:uid="{C4334152-D518-4F9C-AE22-37D062840B13}" name="Column4601"/>
    <tableColumn id="4608" xr3:uid="{FCBD6B4D-7E31-4CD1-9E16-3A3490EA5D92}" name="Column4602"/>
    <tableColumn id="4609" xr3:uid="{49B46A0D-BA8D-4A14-84D1-8856BEEF77FF}" name="Column4603"/>
    <tableColumn id="4610" xr3:uid="{E617EE7C-58D6-4228-875E-16B481F2B574}" name="Column4604"/>
    <tableColumn id="4611" xr3:uid="{FCD40FE7-D1DF-4F3F-AEA6-32349E5412C8}" name="Column4605"/>
    <tableColumn id="4612" xr3:uid="{255C72E6-95B7-4584-BED3-8FD76F21B9E0}" name="Column4606"/>
    <tableColumn id="4613" xr3:uid="{9B374D7F-9FC4-4D6F-92C1-06D75ADEE958}" name="Column4607"/>
    <tableColumn id="4614" xr3:uid="{F6BF049C-35D1-43C6-9333-4C65D6D18D5A}" name="Column4608"/>
    <tableColumn id="4615" xr3:uid="{FE9B77E1-549D-4FB9-8922-29E4F3F74CC0}" name="Column4609"/>
    <tableColumn id="4616" xr3:uid="{A7EEA8D9-AF28-48FE-88CE-7AC20A598620}" name="Column4610"/>
    <tableColumn id="4617" xr3:uid="{96395379-2300-4D9E-84DF-AAC9DA9AB697}" name="Column4611"/>
    <tableColumn id="4618" xr3:uid="{FB4E868E-9637-4C12-A4F0-E269B660D5ED}" name="Column4612"/>
    <tableColumn id="4619" xr3:uid="{E8CFA70D-58F7-4F8E-AD79-B22C26786FDA}" name="Column4613"/>
    <tableColumn id="4620" xr3:uid="{0A9DEE93-EA14-4994-893E-29077A153C21}" name="Column4614"/>
    <tableColumn id="4621" xr3:uid="{34787D3D-E5DF-4154-B4E1-9B7564CF7A45}" name="Column4615"/>
    <tableColumn id="4622" xr3:uid="{F520FFF8-E64A-4670-8970-5AF7D95AD052}" name="Column4616"/>
    <tableColumn id="4623" xr3:uid="{3BD66E90-CE03-4461-BF54-070B53D9DB61}" name="Column4617"/>
    <tableColumn id="4624" xr3:uid="{421F785D-F0BA-4465-8EA0-8E24DC0083A2}" name="Column4618"/>
    <tableColumn id="4625" xr3:uid="{A12DF74D-537F-4898-BA33-D18047C992B7}" name="Column4619"/>
    <tableColumn id="4626" xr3:uid="{B22D1D8E-BB64-4E71-87E4-04630D87AB47}" name="Column4620"/>
    <tableColumn id="4627" xr3:uid="{51AC7EA2-5783-4478-807C-DB8E82D7E328}" name="Column4621"/>
    <tableColumn id="4628" xr3:uid="{A813FA83-D42A-4F1A-B410-E3AD1BDEE3C2}" name="Column4622"/>
    <tableColumn id="4629" xr3:uid="{3BC91DAD-83E1-4886-BC3D-D4F6D542F16A}" name="Column4623"/>
    <tableColumn id="4630" xr3:uid="{124B4ACD-EC67-45BB-B5DB-E20C1EDC0B7B}" name="Column4624"/>
    <tableColumn id="4631" xr3:uid="{DF1E8BDE-8D76-456B-B855-FE4824D95A63}" name="Column4625"/>
    <tableColumn id="4632" xr3:uid="{CAD97F23-C4D6-417E-9FD3-63E05221992A}" name="Column4626"/>
    <tableColumn id="4633" xr3:uid="{C92620F8-4BEE-4BE1-BDE5-A8CF2D62BD40}" name="Column4627"/>
    <tableColumn id="4634" xr3:uid="{18AD5050-5260-4951-9C94-357228B43E7C}" name="Column4628"/>
    <tableColumn id="4635" xr3:uid="{36EBCE3E-FE3F-4628-ADD6-F0CE74B9D846}" name="Column4629"/>
    <tableColumn id="4636" xr3:uid="{52A1484B-D7DF-47DD-999D-5BAEC3B94EB3}" name="Column4630"/>
    <tableColumn id="4637" xr3:uid="{72F21AEF-5D14-4246-A491-501F477CBB7C}" name="Column4631"/>
    <tableColumn id="4638" xr3:uid="{08CDECDE-48FA-4E1F-BD78-FB4A9BDC486F}" name="Column4632"/>
    <tableColumn id="4639" xr3:uid="{A7587AF1-A039-480E-81BC-C7A137CB8216}" name="Column4633"/>
    <tableColumn id="4640" xr3:uid="{0D0D8050-10F7-4169-B854-B6FD020752D5}" name="Column4634"/>
    <tableColumn id="4641" xr3:uid="{D1E1C3E7-388D-4359-9515-68A64253351E}" name="Column4635"/>
    <tableColumn id="4642" xr3:uid="{45341C52-B515-4326-B90D-E6BCDA0FE70B}" name="Column4636"/>
    <tableColumn id="4643" xr3:uid="{CB484EE7-6113-4BCB-861D-2738854C2159}" name="Column4637"/>
    <tableColumn id="4644" xr3:uid="{9A013640-8498-4C77-8A45-C97A1457FA81}" name="Column4638"/>
    <tableColumn id="4645" xr3:uid="{7611B481-BBB0-45AE-AA38-B4E8C4A50729}" name="Column4639"/>
    <tableColumn id="4646" xr3:uid="{E747F1AE-6244-4E5A-91E0-C5BDBC086143}" name="Column4640"/>
    <tableColumn id="4647" xr3:uid="{392D4686-B5DC-4B60-A266-4A78B46558B2}" name="Column4641"/>
    <tableColumn id="4648" xr3:uid="{1E6C2E63-6737-4FC6-A381-C59398E3CFAE}" name="Column4642"/>
    <tableColumn id="4649" xr3:uid="{26A8EA04-22B8-4667-AC5F-ED2A0F42C9AD}" name="Column4643"/>
    <tableColumn id="4650" xr3:uid="{92D2627D-D1EB-4529-8F9B-913E1C0E199B}" name="Column4644"/>
    <tableColumn id="4651" xr3:uid="{05FBEC79-33AA-4963-946C-DF79B6875FCA}" name="Column4645"/>
    <tableColumn id="4652" xr3:uid="{7821DA3B-59E9-4869-B5E0-38A740C65D8F}" name="Column4646"/>
    <tableColumn id="4653" xr3:uid="{7130F21A-493E-4945-9C94-6362A3B3F478}" name="Column4647"/>
    <tableColumn id="4654" xr3:uid="{F9279FC8-936B-4132-BAFD-BE0DF16D9A4E}" name="Column4648"/>
    <tableColumn id="4655" xr3:uid="{033B3E6A-0D5F-4D86-98E8-8828DF19F6B0}" name="Column4649"/>
    <tableColumn id="4656" xr3:uid="{403E8300-D6B4-4E0F-8F99-081AA8948C40}" name="Column4650"/>
    <tableColumn id="4657" xr3:uid="{4A38D255-C89E-4DAA-AE45-D3DFCFC9B71E}" name="Column4651"/>
    <tableColumn id="4658" xr3:uid="{86ADDE31-CD7C-40F5-898C-9E82B12752C2}" name="Column4652"/>
    <tableColumn id="4659" xr3:uid="{13962CA5-22CF-4DAB-8144-087422382D84}" name="Column4653"/>
    <tableColumn id="4660" xr3:uid="{AC1D3721-233B-490F-9CF4-D9EAE9A25275}" name="Column4654"/>
    <tableColumn id="4661" xr3:uid="{883CCB15-266C-4AD4-BFC4-1B9E2D305E90}" name="Column4655"/>
    <tableColumn id="4662" xr3:uid="{43CC3F9A-68F5-4F9D-85C6-E213D3CE2F4B}" name="Column4656"/>
    <tableColumn id="4663" xr3:uid="{C9047AA3-1A31-4E84-8288-4F690195D334}" name="Column4657"/>
    <tableColumn id="4664" xr3:uid="{DF553C23-DF7D-42D2-AC0E-674568168FC7}" name="Column4658"/>
    <tableColumn id="4665" xr3:uid="{980A7445-C359-4A0A-9BA4-FE26A8C06409}" name="Column4659"/>
    <tableColumn id="4666" xr3:uid="{E027B9AC-50B9-45EB-80C3-6D60343E2261}" name="Column4660"/>
    <tableColumn id="4667" xr3:uid="{32EE5ACA-4F64-433F-9BFF-63276A50E539}" name="Column4661"/>
    <tableColumn id="4668" xr3:uid="{ECAE7838-7738-48CE-B0B3-55C25BD4BE82}" name="Column4662"/>
    <tableColumn id="4669" xr3:uid="{F252D1EC-3F37-4687-9689-A6CAAE7AA93A}" name="Column4663"/>
    <tableColumn id="4670" xr3:uid="{4D152057-4308-43F7-AAEE-99C17D8DD353}" name="Column4664"/>
    <tableColumn id="4671" xr3:uid="{26302D77-F58A-4C4C-ACCC-C8995C955E79}" name="Column4665"/>
    <tableColumn id="4672" xr3:uid="{7AECB392-D983-4B8D-AB12-3897B380DC5B}" name="Column4666"/>
    <tableColumn id="4673" xr3:uid="{54643DF4-0C47-478D-9BBE-F29BE169CA08}" name="Column4667"/>
    <tableColumn id="4674" xr3:uid="{C298371A-2473-4F66-BE7E-6D0337C3BF95}" name="Column4668"/>
    <tableColumn id="4675" xr3:uid="{F5A92024-563D-4B90-9CF5-57C9BF0C23F1}" name="Column4669"/>
    <tableColumn id="4676" xr3:uid="{0F677F74-544D-4E06-909C-A5BCFE719942}" name="Column4670"/>
    <tableColumn id="4677" xr3:uid="{AA18E0E0-C4C0-4829-B96B-48619CDD7661}" name="Column4671"/>
    <tableColumn id="4678" xr3:uid="{E0136AD4-7175-4EBF-8F9A-DE40EF91AF92}" name="Column4672"/>
    <tableColumn id="4679" xr3:uid="{AA1A28C4-3C68-42A5-BB5D-5FB77825A4E7}" name="Column4673"/>
    <tableColumn id="4680" xr3:uid="{88010DFD-EF07-4611-8BEF-E9DB04E7BF80}" name="Column4674"/>
    <tableColumn id="4681" xr3:uid="{F8E58B62-8919-4CA9-8D14-20932F1E3E44}" name="Column4675"/>
    <tableColumn id="4682" xr3:uid="{D6B1E192-A5BC-476B-B744-F5442E74101F}" name="Column4676"/>
    <tableColumn id="4683" xr3:uid="{DE5023AE-BF0F-45A3-B6AB-85ECC84F759E}" name="Column4677"/>
    <tableColumn id="4684" xr3:uid="{B8427E8F-9397-4B2D-AF3E-4399678BBED8}" name="Column4678"/>
    <tableColumn id="4685" xr3:uid="{F3BF11FC-3CFC-441F-AA6D-8E7888EBE6FC}" name="Column4679"/>
    <tableColumn id="4686" xr3:uid="{5E7B7146-5760-47A5-B73A-C76D19ED2FBE}" name="Column4680"/>
    <tableColumn id="4687" xr3:uid="{3CCF390D-D0B6-403F-B15E-85FBE3699AC6}" name="Column4681"/>
    <tableColumn id="4688" xr3:uid="{0DCEBE65-471F-4501-BB31-97282AB21E05}" name="Column4682"/>
    <tableColumn id="4689" xr3:uid="{3205834A-4672-4EC0-8B05-F77D21A79052}" name="Column4683"/>
    <tableColumn id="4690" xr3:uid="{DED388A3-674D-4760-A89F-6153499021B3}" name="Column4684"/>
    <tableColumn id="4691" xr3:uid="{F2703720-04A3-48A9-8768-74E6C4CE18D9}" name="Column4685"/>
    <tableColumn id="4692" xr3:uid="{F544FE96-C272-4240-984D-F2718203CDFB}" name="Column4686"/>
    <tableColumn id="4693" xr3:uid="{F53926AE-20FC-4F77-83D7-043D6FC63D53}" name="Column4687"/>
    <tableColumn id="4694" xr3:uid="{2C41AE6A-1BD1-4AC0-99A8-AE48D2926D6E}" name="Column4688"/>
    <tableColumn id="4695" xr3:uid="{FCCA8F9C-F4F7-4BF2-9CEC-8896F2BC8472}" name="Column4689"/>
    <tableColumn id="4696" xr3:uid="{F2DC921C-29F3-4D3E-8DE2-0CD0E1F7BDD7}" name="Column4690"/>
    <tableColumn id="4697" xr3:uid="{BB66D3B7-BA5E-4ACC-99D2-F3DB7E746FF1}" name="Column4691"/>
    <tableColumn id="4698" xr3:uid="{59A52990-9685-4780-96DC-CC67D3FD2138}" name="Column4692"/>
    <tableColumn id="4699" xr3:uid="{97715E60-F249-4EB0-A5B3-6C9A89769714}" name="Column4693"/>
    <tableColumn id="4700" xr3:uid="{4EFE1097-D62F-4351-96C9-D2EB875B9DDB}" name="Column4694"/>
    <tableColumn id="4701" xr3:uid="{B72D4160-5C66-4F0A-8F3B-73E61CC2304E}" name="Column4695"/>
    <tableColumn id="4702" xr3:uid="{73544A8B-0806-4172-8ABE-3A8183B00DEB}" name="Column4696"/>
    <tableColumn id="4703" xr3:uid="{D14E8B26-53B0-4E56-ABAE-8161F39B008C}" name="Column4697"/>
    <tableColumn id="4704" xr3:uid="{F934855B-4660-4DF7-86C8-7F80C2D32D05}" name="Column4698"/>
    <tableColumn id="4705" xr3:uid="{528C15E0-25FD-4EC0-8AC8-037AB047F51A}" name="Column4699"/>
    <tableColumn id="4706" xr3:uid="{86635479-147E-4B59-89E8-3BFC6FC54E78}" name="Column4700"/>
    <tableColumn id="4707" xr3:uid="{A8707830-9D71-46E2-9091-4C0E1C58044F}" name="Column4701"/>
    <tableColumn id="4708" xr3:uid="{9122FB4C-A941-41A4-B14C-130B7C22F846}" name="Column4702"/>
    <tableColumn id="4709" xr3:uid="{11F53155-03CF-4B65-A9DD-F3B3546E2556}" name="Column4703"/>
    <tableColumn id="4710" xr3:uid="{6C1C1658-20BF-4530-B2C9-2DBE317254CD}" name="Column4704"/>
    <tableColumn id="4711" xr3:uid="{E7B55EA4-7CA0-4319-AEC8-58FB2EE93BE4}" name="Column4705"/>
    <tableColumn id="4712" xr3:uid="{E1D7CB2D-319F-4006-96DF-34D8B2B79F12}" name="Column4706"/>
    <tableColumn id="4713" xr3:uid="{8F8BED33-DA9D-4EA2-B24C-2FBCB281F360}" name="Column4707"/>
    <tableColumn id="4714" xr3:uid="{8B6D23C9-B722-486A-9983-A088945C9A12}" name="Column4708"/>
    <tableColumn id="4715" xr3:uid="{58CD75AB-0D28-4B78-80A0-4C96FCAD02CE}" name="Column4709"/>
    <tableColumn id="4716" xr3:uid="{30D320D3-0CAA-42FC-9BF8-6DE851485539}" name="Column4710"/>
    <tableColumn id="4717" xr3:uid="{8384AE22-1085-4058-BE8B-12CCED35EB1A}" name="Column4711"/>
    <tableColumn id="4718" xr3:uid="{77264D15-4097-4CFD-B07A-3936E464CD37}" name="Column4712"/>
    <tableColumn id="4719" xr3:uid="{65ABD039-3C9F-4FEC-9AE8-C9367903DF70}" name="Column4713"/>
    <tableColumn id="4720" xr3:uid="{B6FB3B88-D2F7-4A14-914A-85395EFE42CD}" name="Column4714"/>
    <tableColumn id="4721" xr3:uid="{1171A52B-2B9C-4FCD-AD81-26546E79F134}" name="Column4715"/>
    <tableColumn id="4722" xr3:uid="{CB5C5C20-4F52-4D7E-8F56-3A8CEB46E7F1}" name="Column4716"/>
    <tableColumn id="4723" xr3:uid="{ABE9568F-D250-4AB2-AD5C-86BB48F76575}" name="Column4717"/>
    <tableColumn id="4724" xr3:uid="{3AEAC171-DBFA-4F6E-8280-5404056AA38C}" name="Column4718"/>
    <tableColumn id="4725" xr3:uid="{68B591FD-475F-4987-BFCC-B797C3224116}" name="Column4719"/>
    <tableColumn id="4726" xr3:uid="{0A9CECAF-9AA2-44D2-9C70-47E05B6210B6}" name="Column4720"/>
    <tableColumn id="4727" xr3:uid="{70BF64AB-BE6A-48C2-AC23-884CB5D5447A}" name="Column4721"/>
    <tableColumn id="4728" xr3:uid="{3631AF0F-8D79-43C5-96A2-11E98442C5CD}" name="Column4722"/>
    <tableColumn id="4729" xr3:uid="{1ACC8C4E-759E-4AD2-8A1B-A30EC6ABC03B}" name="Column4723"/>
    <tableColumn id="4730" xr3:uid="{55378E77-294D-4CB7-8B8C-49B61D13D5B1}" name="Column4724"/>
    <tableColumn id="4731" xr3:uid="{78B47758-0AA2-460D-8B95-D1F47A3E01AE}" name="Column4725"/>
    <tableColumn id="4732" xr3:uid="{046DC080-A542-4F69-A8B7-9A5C1CA13BBC}" name="Column4726"/>
    <tableColumn id="4733" xr3:uid="{5B2137E3-659C-4009-8A4E-D5ACC2BB7204}" name="Column4727"/>
    <tableColumn id="4734" xr3:uid="{230476B6-5576-40D4-B9C3-C6AAB3051A17}" name="Column4728"/>
    <tableColumn id="4735" xr3:uid="{75E19452-D3CE-48D8-A158-ADD082553D52}" name="Column4729"/>
    <tableColumn id="4736" xr3:uid="{CFC75833-0AF8-4603-9B44-0BA9C06180F0}" name="Column4730"/>
    <tableColumn id="4737" xr3:uid="{299AF353-555F-4E74-B3A7-7713934B8275}" name="Column4731"/>
    <tableColumn id="4738" xr3:uid="{9781E43B-525F-4767-BEF8-E5EDEDB6AA5E}" name="Column4732"/>
    <tableColumn id="4739" xr3:uid="{727284C8-2D00-4497-A838-B0A4C267E9B4}" name="Column4733"/>
    <tableColumn id="4740" xr3:uid="{47FBF2B9-902B-41FE-A838-9F51225AC5F3}" name="Column4734"/>
    <tableColumn id="4741" xr3:uid="{20077687-56A9-45B2-8BC8-4488D3628BFB}" name="Column4735"/>
    <tableColumn id="4742" xr3:uid="{1E6CAA12-C641-4A0C-BFD6-53EA5011E02D}" name="Column4736"/>
    <tableColumn id="4743" xr3:uid="{117D5BE9-5888-41CA-B334-DE008CB3AFD7}" name="Column4737"/>
    <tableColumn id="4744" xr3:uid="{BACDF055-2213-41A6-A4D4-8DE8A00D8497}" name="Column4738"/>
    <tableColumn id="4745" xr3:uid="{94222052-BC66-403E-B627-D01F6B2CCE6D}" name="Column4739"/>
    <tableColumn id="4746" xr3:uid="{ED3C769B-8756-4327-8CD1-41C09E7CF924}" name="Column4740"/>
    <tableColumn id="4747" xr3:uid="{0B408945-F63B-4555-BAF0-CE3C13734A43}" name="Column4741"/>
    <tableColumn id="4748" xr3:uid="{289E53D3-A70A-4B72-AC37-83B100B67ADE}" name="Column4742"/>
    <tableColumn id="4749" xr3:uid="{45794CD5-29D5-401D-BC00-898F53B94E77}" name="Column4743"/>
    <tableColumn id="4750" xr3:uid="{6E497E8E-26ED-4DF2-975D-CB23277652BF}" name="Column4744"/>
    <tableColumn id="4751" xr3:uid="{C4905C87-2227-4577-8EAF-6099466D6C27}" name="Column4745"/>
    <tableColumn id="4752" xr3:uid="{79534C01-1B4F-489F-AC09-0570D19E681A}" name="Column4746"/>
    <tableColumn id="4753" xr3:uid="{3CD620E3-66C4-45A4-9989-82B3F4C36297}" name="Column4747"/>
    <tableColumn id="4754" xr3:uid="{4AD8216E-EEA6-4BA6-BB0A-E8C2B1E3D9AB}" name="Column4748"/>
    <tableColumn id="4755" xr3:uid="{A13DE753-6E35-4044-8CF3-509673FE65A9}" name="Column4749"/>
    <tableColumn id="4756" xr3:uid="{428A191D-C257-404D-89D8-F4D4776A3D4D}" name="Column4750"/>
    <tableColumn id="4757" xr3:uid="{940DB053-588A-48EA-A5F8-2A9229BE44FE}" name="Column4751"/>
    <tableColumn id="4758" xr3:uid="{4881CACF-8E8F-42D7-8BD6-FD42C113AC67}" name="Column4752"/>
    <tableColumn id="4759" xr3:uid="{6C061764-56CD-4192-A14B-D211EF3D7068}" name="Column4753"/>
    <tableColumn id="4760" xr3:uid="{17992D5D-1B3A-44A8-8535-A964D8D82346}" name="Column4754"/>
    <tableColumn id="4761" xr3:uid="{DBAE41C9-CD93-4A69-B5A4-215D8751B23F}" name="Column4755"/>
    <tableColumn id="4762" xr3:uid="{3A23A279-C473-4E16-ACC4-55A0EAECF01D}" name="Column4756"/>
    <tableColumn id="4763" xr3:uid="{68B4D5CD-AC98-43E7-9D26-35C1FCEA884C}" name="Column4757"/>
    <tableColumn id="4764" xr3:uid="{BA3C2B5D-C80D-4F25-BAEA-8678D7F7DC99}" name="Column4758"/>
    <tableColumn id="4765" xr3:uid="{0F81F256-8907-4B72-8653-9D568647F198}" name="Column4759"/>
    <tableColumn id="4766" xr3:uid="{65A49E08-8A46-4C7C-B764-E2AF58922AA4}" name="Column4760"/>
    <tableColumn id="4767" xr3:uid="{6544FC05-6614-4E9A-8984-22C15CAE8AA5}" name="Column4761"/>
    <tableColumn id="4768" xr3:uid="{24EA1FF6-AE2D-4BD5-82FA-387047CFC804}" name="Column4762"/>
    <tableColumn id="4769" xr3:uid="{4659DE3E-6845-47AB-8B50-943B688613FA}" name="Column4763"/>
    <tableColumn id="4770" xr3:uid="{EE8178DE-FD0A-408F-B2EE-153ACF3C7ACC}" name="Column4764"/>
    <tableColumn id="4771" xr3:uid="{155F2472-B93B-418F-8E8D-F354B12D57AA}" name="Column4765"/>
    <tableColumn id="4772" xr3:uid="{438398F1-B37D-4BCC-BFB6-100B09BE3057}" name="Column4766"/>
    <tableColumn id="4773" xr3:uid="{532CE845-298C-456D-8033-E285D4E54908}" name="Column4767"/>
    <tableColumn id="4774" xr3:uid="{FD1E2DE3-2984-4E98-BF2C-0F4F13E962F9}" name="Column4768"/>
    <tableColumn id="4775" xr3:uid="{533C1BAE-A981-4A82-8804-A37F4BF6CF38}" name="Column4769"/>
    <tableColumn id="4776" xr3:uid="{BCAD9D5E-D349-4DFB-B5E2-A2FA1E2316A9}" name="Column4770"/>
    <tableColumn id="4777" xr3:uid="{AA653D6C-B34A-4900-9947-0D6AA3628C83}" name="Column4771"/>
    <tableColumn id="4778" xr3:uid="{88C090CE-0711-4FAF-8A00-7B79598999C1}" name="Column4772"/>
    <tableColumn id="4779" xr3:uid="{764485D0-CEB5-447A-B83A-A80C11E0AEBC}" name="Column4773"/>
    <tableColumn id="4780" xr3:uid="{161AEB11-CCED-4565-996B-796AFE20A9A8}" name="Column4774"/>
    <tableColumn id="4781" xr3:uid="{B2F796E2-3586-4AF5-9038-5705BDA66ABA}" name="Column4775"/>
    <tableColumn id="4782" xr3:uid="{AFC7A53D-CAC1-4FF4-AB09-A5EEF5D3DD7F}" name="Column4776"/>
    <tableColumn id="4783" xr3:uid="{12107C4F-E4A3-41CD-901F-B4796DCC6555}" name="Column4777"/>
    <tableColumn id="4784" xr3:uid="{3D9B9FC6-FA7E-4F55-BFDC-067BC099C743}" name="Column4778"/>
    <tableColumn id="4785" xr3:uid="{A8B92EF5-C24C-424D-9523-D804E26EAA91}" name="Column4779"/>
    <tableColumn id="4786" xr3:uid="{23D8A820-6ED8-4502-9F9C-C7290C76F9C8}" name="Column4780"/>
    <tableColumn id="4787" xr3:uid="{23BBFC5F-0170-462B-8335-B4BE04516C77}" name="Column4781"/>
    <tableColumn id="4788" xr3:uid="{F7023EC8-C363-40D7-9343-20D90475792A}" name="Column4782"/>
    <tableColumn id="4789" xr3:uid="{A27A878F-149E-46A6-B365-AA68DDCD4F3A}" name="Column4783"/>
    <tableColumn id="4790" xr3:uid="{CEC7ECB4-EA5A-414D-995A-D9ADA6235A6D}" name="Column4784"/>
    <tableColumn id="4791" xr3:uid="{4B562874-D00A-429E-8DB1-93B1E1F8CDEB}" name="Column4785"/>
    <tableColumn id="4792" xr3:uid="{92A5B5A9-FFDE-408F-801F-7A04F09EF270}" name="Column4786"/>
    <tableColumn id="4793" xr3:uid="{78BFB245-A039-469B-ADF1-046F91183671}" name="Column4787"/>
    <tableColumn id="4794" xr3:uid="{7C44DAB6-551D-4444-85ED-05D38D89F1BF}" name="Column4788"/>
    <tableColumn id="4795" xr3:uid="{ED02EE02-F5A7-4339-A3C4-B86FD08369AD}" name="Column4789"/>
    <tableColumn id="4796" xr3:uid="{C979A69C-907E-48B7-9A39-D28E4EB939C8}" name="Column4790"/>
    <tableColumn id="4797" xr3:uid="{C008ED0F-7832-410F-B341-654B08F1FB41}" name="Column4791"/>
    <tableColumn id="4798" xr3:uid="{58674F6F-3D8A-4F94-A28D-C6CC50BD99A6}" name="Column4792"/>
    <tableColumn id="4799" xr3:uid="{14D3F1D7-02E3-4608-86A0-F582483FF800}" name="Column4793"/>
    <tableColumn id="4800" xr3:uid="{48BB19D5-110A-4FCF-8BA8-3CE65BA4F7C8}" name="Column4794"/>
    <tableColumn id="4801" xr3:uid="{E70CB41C-552C-4037-B2BC-2F95D24CAAF2}" name="Column4795"/>
    <tableColumn id="4802" xr3:uid="{CE216B9C-2CEE-45F4-AFE2-83C13D13EC79}" name="Column4796"/>
    <tableColumn id="4803" xr3:uid="{97D13CBD-0440-4240-80BF-8AACA9116A55}" name="Column4797"/>
    <tableColumn id="4804" xr3:uid="{A226920B-A3A2-47EB-B391-D96ADF9CA40E}" name="Column4798"/>
    <tableColumn id="4805" xr3:uid="{A006EAFE-A684-4D7C-998A-E9677E2D33C4}" name="Column4799"/>
    <tableColumn id="4806" xr3:uid="{7D25176F-404D-43A2-8EC5-18DFCA41DBB8}" name="Column4800"/>
    <tableColumn id="4807" xr3:uid="{ECD7CEE4-E022-4C8B-A3B1-AA457A2FA820}" name="Column4801"/>
    <tableColumn id="4808" xr3:uid="{D7798470-1C49-4AA3-A998-F3330783AFB3}" name="Column4802"/>
    <tableColumn id="4809" xr3:uid="{86735960-FCD6-4F36-8EB5-B4B018EB7AED}" name="Column4803"/>
    <tableColumn id="4810" xr3:uid="{2124B3DC-784F-4830-B88E-34F6188062BB}" name="Column4804"/>
    <tableColumn id="4811" xr3:uid="{9500B133-A6DC-4A7F-8E76-72FEDF5A979A}" name="Column4805"/>
    <tableColumn id="4812" xr3:uid="{9A3D1F4B-868A-4539-9B99-64E8EC4096BA}" name="Column4806"/>
    <tableColumn id="4813" xr3:uid="{00A9CD19-310C-432E-84EF-2B510FFFC480}" name="Column4807"/>
    <tableColumn id="4814" xr3:uid="{C268203F-6C90-488A-AF31-5A0AAFB0D1CC}" name="Column4808"/>
    <tableColumn id="4815" xr3:uid="{AC349E8D-BC71-4916-B3BB-C216E4C1C4BA}" name="Column4809"/>
    <tableColumn id="4816" xr3:uid="{8F942227-8A02-4AFA-AC46-BE5B28D870C4}" name="Column4810"/>
    <tableColumn id="4817" xr3:uid="{1702F702-20F2-4638-96D8-AA493F65A9F1}" name="Column4811"/>
    <tableColumn id="4818" xr3:uid="{A3E1AC78-7132-4AE5-B7AC-432D7A8A719A}" name="Column4812"/>
    <tableColumn id="4819" xr3:uid="{AC44A1D2-571E-43DC-8F33-535BA8B564F6}" name="Column4813"/>
    <tableColumn id="4820" xr3:uid="{5459373A-0EEA-43F8-A7DF-5E6DE5CC98C0}" name="Column4814"/>
    <tableColumn id="4821" xr3:uid="{9605E903-9E6C-4775-AC4C-56FE3659BCF5}" name="Column4815"/>
    <tableColumn id="4822" xr3:uid="{6593905D-AE18-421C-808F-9A8D3ECCD628}" name="Column4816"/>
    <tableColumn id="4823" xr3:uid="{1A084433-5B42-473B-A4E3-29DC2BDB39B5}" name="Column4817"/>
    <tableColumn id="4824" xr3:uid="{E46F0ECE-C2BA-4B09-AC63-BC3074C3FBEC}" name="Column4818"/>
    <tableColumn id="4825" xr3:uid="{EA9B196E-DDD4-4797-95FB-C456E61799F6}" name="Column4819"/>
    <tableColumn id="4826" xr3:uid="{DB15E561-F539-4465-BAA9-163078471944}" name="Column4820"/>
    <tableColumn id="4827" xr3:uid="{6994D033-FDEF-478F-BF84-123FB98818A4}" name="Column4821"/>
    <tableColumn id="4828" xr3:uid="{1B18061B-66F6-4CC8-B721-A49454010D95}" name="Column4822"/>
    <tableColumn id="4829" xr3:uid="{B7250187-7380-4987-A078-52D04F5A0E3E}" name="Column4823"/>
    <tableColumn id="4830" xr3:uid="{6D00AD1A-5261-44FD-BC27-DA9134CDE36D}" name="Column4824"/>
    <tableColumn id="4831" xr3:uid="{10879DE0-3DDA-4217-BAE0-3360D780A341}" name="Column4825"/>
    <tableColumn id="4832" xr3:uid="{0566EF7F-C062-4786-BCA8-D427EE0911AB}" name="Column4826"/>
    <tableColumn id="4833" xr3:uid="{3143E8EB-8107-41A9-9AC6-9DCF5F57A7A6}" name="Column4827"/>
    <tableColumn id="4834" xr3:uid="{14C6C90B-44D9-4715-A104-B5EB04830DAD}" name="Column4828"/>
    <tableColumn id="4835" xr3:uid="{DBE80A17-5F33-485D-83EF-55A3F3C9A8D7}" name="Column4829"/>
    <tableColumn id="4836" xr3:uid="{BA67EE8B-5164-403F-B115-E78A93F1BAD3}" name="Column4830"/>
    <tableColumn id="4837" xr3:uid="{88C38BBE-96DA-49CE-883C-239D2B774F7B}" name="Column4831"/>
    <tableColumn id="4838" xr3:uid="{BEF6AECF-8B71-44A6-A67C-4A3430F8D4CB}" name="Column4832"/>
    <tableColumn id="4839" xr3:uid="{92F99BAD-FDA4-4727-BF17-5940DB5428CD}" name="Column4833"/>
    <tableColumn id="4840" xr3:uid="{0E57EAEE-29DD-40DF-BBD4-258708BED870}" name="Column4834"/>
    <tableColumn id="4841" xr3:uid="{AC6D7A07-92AB-4B7A-A1EC-6AE1700775AE}" name="Column4835"/>
    <tableColumn id="4842" xr3:uid="{AB663629-3AE3-47C1-BA76-D736035DC6EB}" name="Column4836"/>
    <tableColumn id="4843" xr3:uid="{58A5BB3F-2B78-41EC-8E40-8CA69D56D330}" name="Column4837"/>
    <tableColumn id="4844" xr3:uid="{B8C33886-A8F3-48C9-A8AC-15F18DC07F7D}" name="Column4838"/>
    <tableColumn id="4845" xr3:uid="{4789AC30-1D89-4538-9ADB-873CDA35A51D}" name="Column4839"/>
    <tableColumn id="4846" xr3:uid="{0610DC1C-5DBA-4B72-98FF-509DCF0957C7}" name="Column4840"/>
    <tableColumn id="4847" xr3:uid="{D1E40C86-31C2-4A35-A245-A3B22031EE59}" name="Column4841"/>
    <tableColumn id="4848" xr3:uid="{45C43DF7-8FEA-4A56-9182-537A7C7F1ED3}" name="Column4842"/>
    <tableColumn id="4849" xr3:uid="{08527CCD-4130-46BB-9365-C19ABAF75F3D}" name="Column4843"/>
    <tableColumn id="4850" xr3:uid="{6461133B-4540-4088-A357-F71A2E8D3457}" name="Column4844"/>
    <tableColumn id="4851" xr3:uid="{2083E97E-11DF-4231-A4AF-A7AB69B759B3}" name="Column4845"/>
    <tableColumn id="4852" xr3:uid="{D38F50CF-E4F4-457A-B436-D8A3386F9BBA}" name="Column4846"/>
    <tableColumn id="4853" xr3:uid="{1F9E8272-F584-4272-B11D-361A11C84982}" name="Column4847"/>
    <tableColumn id="4854" xr3:uid="{764580A4-E0CD-459E-BFC7-B0EB9BB143A5}" name="Column4848"/>
    <tableColumn id="4855" xr3:uid="{F8A204F3-93DB-4059-8CB6-4AE2458A1FE9}" name="Column4849"/>
    <tableColumn id="4856" xr3:uid="{71DD6415-81EF-4690-9A71-2914744B607F}" name="Column4850"/>
    <tableColumn id="4857" xr3:uid="{75B325E8-09F8-40E4-B8D8-1BC70454158B}" name="Column4851"/>
    <tableColumn id="4858" xr3:uid="{A091608C-34F1-4CE2-A944-FDBB409BF0FC}" name="Column4852"/>
    <tableColumn id="4859" xr3:uid="{0D22737B-82BC-4C9E-8124-6FA3FEA27E9C}" name="Column4853"/>
    <tableColumn id="4860" xr3:uid="{2E297006-8879-4F99-97A5-81D59C77816F}" name="Column4854"/>
    <tableColumn id="4861" xr3:uid="{1AD344FE-A077-44CF-96D2-281CEA28A635}" name="Column4855"/>
    <tableColumn id="4862" xr3:uid="{4CE6C616-FB8D-4F33-A3A6-C112E8B6DB49}" name="Column4856"/>
    <tableColumn id="4863" xr3:uid="{2D435AC0-7268-42A7-B5FB-FC38AAF0D1C8}" name="Column4857"/>
    <tableColumn id="4864" xr3:uid="{DCBB4459-A406-4D4D-8F9C-8C3C56AA27A9}" name="Column4858"/>
    <tableColumn id="4865" xr3:uid="{04F559B7-255D-47C9-A9D9-7E249AAC6E62}" name="Column4859"/>
    <tableColumn id="4866" xr3:uid="{8FFB29F1-37E9-4893-A4F5-7A67B968C3D5}" name="Column4860"/>
    <tableColumn id="4867" xr3:uid="{7EDFDC28-37D5-4448-9815-4ABA78D92AD8}" name="Column4861"/>
    <tableColumn id="4868" xr3:uid="{FB839EC6-6490-486A-9796-2F16D1C1D526}" name="Column4862"/>
    <tableColumn id="4869" xr3:uid="{153BFD5A-1BE1-4CF8-A7F8-718D9BD3E031}" name="Column4863"/>
    <tableColumn id="4870" xr3:uid="{64986D0D-984B-413D-87FC-55390FD0EB18}" name="Column4864"/>
    <tableColumn id="4871" xr3:uid="{02B01760-1BAD-4913-A368-2AD425A26E37}" name="Column4865"/>
    <tableColumn id="4872" xr3:uid="{7639D94B-04CE-4085-A699-7BD2CF06F65B}" name="Column4866"/>
    <tableColumn id="4873" xr3:uid="{7D2C1ADF-F94A-4CC7-A09C-9DA45A382041}" name="Column4867"/>
    <tableColumn id="4874" xr3:uid="{5AB040D9-BBBB-4277-A89A-78FEF4CC32F0}" name="Column4868"/>
    <tableColumn id="4875" xr3:uid="{9A3A38F7-55DB-4415-9194-6723FC0C8B9D}" name="Column4869"/>
    <tableColumn id="4876" xr3:uid="{6E13EB0C-D182-4CB9-87FB-3A9D448ED858}" name="Column4870"/>
    <tableColumn id="4877" xr3:uid="{FF7903EE-9A07-4AF5-81C7-E1AE7FF18256}" name="Column4871"/>
    <tableColumn id="4878" xr3:uid="{F7F5779D-DE5B-40A4-A8B2-E4C8E752FCCB}" name="Column4872"/>
    <tableColumn id="4879" xr3:uid="{BF23E204-E4D7-4853-91D7-4E6B9ADD212F}" name="Column4873"/>
    <tableColumn id="4880" xr3:uid="{E3B2A06C-F2DF-4528-954F-F04810825D23}" name="Column4874"/>
    <tableColumn id="4881" xr3:uid="{30373520-5CCC-4D89-B0EA-38FDFDCF41B1}" name="Column4875"/>
    <tableColumn id="4882" xr3:uid="{32B56F0F-24D5-4169-9010-A9E14F6BDA7E}" name="Column4876"/>
    <tableColumn id="4883" xr3:uid="{6D3C908C-A22B-49C4-98DF-04697881692D}" name="Column4877"/>
    <tableColumn id="4884" xr3:uid="{5BF7DCB5-3B00-45F0-BF61-5B368346F3DD}" name="Column4878"/>
    <tableColumn id="4885" xr3:uid="{E03038C4-9EA1-4B8A-8350-BF5374391DC8}" name="Column4879"/>
    <tableColumn id="4886" xr3:uid="{A3A53028-D24E-4738-8A12-4BAE8101EC2B}" name="Column4880"/>
    <tableColumn id="4887" xr3:uid="{91CBE69B-FACB-4123-A36E-8B9CCFADC193}" name="Column4881"/>
    <tableColumn id="4888" xr3:uid="{02AF26AC-F32B-4917-8368-0AC7D48AE380}" name="Column4882"/>
    <tableColumn id="4889" xr3:uid="{1A15FAEC-1677-450F-B7C0-EE9B54708D54}" name="Column4883"/>
    <tableColumn id="4890" xr3:uid="{DDCAB916-E8BF-4213-801C-7C64ADC51EE7}" name="Column4884"/>
    <tableColumn id="4891" xr3:uid="{C4083C5F-2294-4CB8-B130-4D603B9C3F2C}" name="Column4885"/>
    <tableColumn id="4892" xr3:uid="{D6F78825-B854-427F-8B64-9D48EB0806CF}" name="Column4886"/>
    <tableColumn id="4893" xr3:uid="{8F9A9141-23FF-476B-BFCC-72930BD078BD}" name="Column4887"/>
    <tableColumn id="4894" xr3:uid="{77A2B7E5-17E8-409F-8460-99D318AD1CDF}" name="Column4888"/>
    <tableColumn id="4895" xr3:uid="{A46C1825-8B56-42E9-9951-9505FC981685}" name="Column4889"/>
    <tableColumn id="4896" xr3:uid="{2DC95C6C-A38F-4030-B97A-69DB11642BCE}" name="Column4890"/>
    <tableColumn id="4897" xr3:uid="{9ACC43A9-385A-4120-907D-24228EBEB88E}" name="Column4891"/>
    <tableColumn id="4898" xr3:uid="{7383B270-94B8-4698-91A1-F5D182AFBDFA}" name="Column4892"/>
    <tableColumn id="4899" xr3:uid="{7244CDD5-BC39-4123-98CD-48DFF3214C6C}" name="Column4893"/>
    <tableColumn id="4900" xr3:uid="{BC45B6A2-EFCA-4D53-AA36-24EB78E329DB}" name="Column4894"/>
    <tableColumn id="4901" xr3:uid="{F0E07940-CB0D-4937-B415-78FB7C8B143C}" name="Column4895"/>
    <tableColumn id="4902" xr3:uid="{4D66EB11-E2FF-474E-8549-66A7B2BA6274}" name="Column4896"/>
    <tableColumn id="4903" xr3:uid="{BF60F7BC-246F-40B7-90A8-821030FA53BD}" name="Column4897"/>
    <tableColumn id="4904" xr3:uid="{2911F862-8A10-40EF-9715-E1EF84B6C771}" name="Column4898"/>
    <tableColumn id="4905" xr3:uid="{DBBD9B14-EDEE-4931-BFE6-B8216BA16F2B}" name="Column4899"/>
    <tableColumn id="4906" xr3:uid="{9238B275-30C3-4437-A8F4-4DDFC68DA511}" name="Column4900"/>
    <tableColumn id="4907" xr3:uid="{9186F5B9-7DAC-43F5-9E7E-E469D8F6BD41}" name="Column4901"/>
    <tableColumn id="4908" xr3:uid="{960417C3-4C68-4B93-B9F7-61859A6417AB}" name="Column4902"/>
    <tableColumn id="4909" xr3:uid="{2CC5A009-58EF-4AFA-843F-245C34574971}" name="Column4903"/>
    <tableColumn id="4910" xr3:uid="{94666C09-392E-410A-8886-32B19CBF841A}" name="Column4904"/>
    <tableColumn id="4911" xr3:uid="{CC3411AD-1160-4B7F-8C5E-F9851E5DCDE8}" name="Column4905"/>
    <tableColumn id="4912" xr3:uid="{3DFC61BE-DA20-42AC-9408-3C17CD75478A}" name="Column4906"/>
    <tableColumn id="4913" xr3:uid="{073E74BF-8EAD-4F42-9353-C5E43D653683}" name="Column4907"/>
    <tableColumn id="4914" xr3:uid="{EEF1B4FA-20C6-4580-AA7F-E3B01400073A}" name="Column4908"/>
    <tableColumn id="4915" xr3:uid="{EA8976EC-F722-4924-9688-9F08F3FA14AA}" name="Column4909"/>
    <tableColumn id="4916" xr3:uid="{87101CF0-3BC4-4299-8CE0-0C96B1B5EEB4}" name="Column4910"/>
    <tableColumn id="4917" xr3:uid="{A50A3DFB-CF8E-40BC-B227-698FF57804A8}" name="Column4911"/>
    <tableColumn id="4918" xr3:uid="{2ABE8861-3885-46A2-8C80-9B53DF9E54A4}" name="Column4912"/>
    <tableColumn id="4919" xr3:uid="{62498C0D-46BA-4105-A2F0-EA49AE732087}" name="Column4913"/>
    <tableColumn id="4920" xr3:uid="{F00C0FF0-300F-4AD2-928F-0DD818468CAD}" name="Column4914"/>
    <tableColumn id="4921" xr3:uid="{2BAFC579-C047-4C18-AC16-43978A372629}" name="Column4915"/>
    <tableColumn id="4922" xr3:uid="{9518E312-B938-47E9-A7BB-2EA49776488F}" name="Column4916"/>
    <tableColumn id="4923" xr3:uid="{7352F9EE-7515-4146-A7B6-4E7BC843D0F5}" name="Column4917"/>
    <tableColumn id="4924" xr3:uid="{BE9BA7A6-A6A3-4B32-8016-23B7804D7F5B}" name="Column4918"/>
    <tableColumn id="4925" xr3:uid="{5BFF0A50-1318-4EAB-B11D-6AD095505018}" name="Column4919"/>
    <tableColumn id="4926" xr3:uid="{B8591C1E-CB58-4D66-82B1-41CD6031A0DA}" name="Column4920"/>
    <tableColumn id="4927" xr3:uid="{CE599A5B-F0ED-4794-B62E-F849E66B32B0}" name="Column4921"/>
    <tableColumn id="4928" xr3:uid="{F9FED99E-3EA0-4447-AAB4-9BE899B6DDF5}" name="Column4922"/>
    <tableColumn id="4929" xr3:uid="{85643BAC-9BFE-4344-8DCA-EBE1750DFD7A}" name="Column4923"/>
    <tableColumn id="4930" xr3:uid="{D29D5895-F0F4-4F12-B9FC-A349288D9665}" name="Column4924"/>
    <tableColumn id="4931" xr3:uid="{A46A65C5-3DE3-4033-8104-1D7A4D049477}" name="Column4925"/>
    <tableColumn id="4932" xr3:uid="{487331F1-7EB7-4B06-BA86-BF567D490BB0}" name="Column4926"/>
    <tableColumn id="4933" xr3:uid="{53EE544F-DE0D-4824-8034-C58D874E8089}" name="Column4927"/>
    <tableColumn id="4934" xr3:uid="{7E7F5214-D947-407B-80EC-BCF2236092D4}" name="Column4928"/>
    <tableColumn id="4935" xr3:uid="{1E78E3C7-DBBA-4034-AE38-D48BF168EC34}" name="Column4929"/>
    <tableColumn id="4936" xr3:uid="{4C96CF92-7C98-44D3-AB65-45DC62649967}" name="Column4930"/>
    <tableColumn id="4937" xr3:uid="{21BE60BC-AE10-4A08-8919-8B7D2A74583B}" name="Column4931"/>
    <tableColumn id="4938" xr3:uid="{36E07313-18E5-4394-B806-1DD9A8E50ED1}" name="Column4932"/>
    <tableColumn id="4939" xr3:uid="{EC83964E-696D-4CA3-9520-96F1A16B5D81}" name="Column4933"/>
    <tableColumn id="4940" xr3:uid="{53051E60-F587-4377-84C8-A1C9C1A309F5}" name="Column4934"/>
    <tableColumn id="4941" xr3:uid="{DD9C81CA-E37E-4A28-A37A-790897EB46AA}" name="Column4935"/>
    <tableColumn id="4942" xr3:uid="{34C8DBE7-AFB7-4E92-B8C9-3EF3D2900BF7}" name="Column4936"/>
    <tableColumn id="4943" xr3:uid="{79FD8E3E-703C-4D14-BE4C-8D3473051321}" name="Column4937"/>
    <tableColumn id="4944" xr3:uid="{195B8F82-1635-4A47-95D0-B991BEBA649E}" name="Column4938"/>
    <tableColumn id="4945" xr3:uid="{43E318FE-E11B-424D-8682-636173DF0359}" name="Column4939"/>
    <tableColumn id="4946" xr3:uid="{FBD527EA-1F04-4B6F-8F72-C3F32E5C5089}" name="Column4940"/>
    <tableColumn id="4947" xr3:uid="{15FFC7CE-A2AA-4486-9005-F56EEF9BF013}" name="Column4941"/>
    <tableColumn id="4948" xr3:uid="{C712982A-6C2A-4798-A7AF-E5E051124469}" name="Column4942"/>
    <tableColumn id="4949" xr3:uid="{E6FBDD47-8FB0-4E31-947C-6EA693811454}" name="Column4943"/>
    <tableColumn id="4950" xr3:uid="{59466E64-8EEB-482F-A74D-47909CDC0A6F}" name="Column4944"/>
    <tableColumn id="4951" xr3:uid="{B7F7A385-2208-48B4-B26C-863E5E23C167}" name="Column4945"/>
    <tableColumn id="4952" xr3:uid="{D49B53AA-3889-48A2-BB93-D6FE4EF70A95}" name="Column4946"/>
    <tableColumn id="4953" xr3:uid="{126CECCF-8AC8-4B74-9FFE-BE9D96996C62}" name="Column4947"/>
    <tableColumn id="4954" xr3:uid="{3F10C630-68FF-44C9-885D-625286033C98}" name="Column4948"/>
    <tableColumn id="4955" xr3:uid="{B7EEEE1E-4712-4B49-8DAE-3E04C4F6B2FC}" name="Column4949"/>
    <tableColumn id="4956" xr3:uid="{14C369B5-889A-4F26-919C-32C5F22B1D2D}" name="Column4950"/>
    <tableColumn id="4957" xr3:uid="{A59F0255-9A48-413E-80AB-55896DF508EB}" name="Column4951"/>
    <tableColumn id="4958" xr3:uid="{0AE87500-1DFB-402E-9CDD-C4580C4394C3}" name="Column4952"/>
    <tableColumn id="4959" xr3:uid="{3F00ECF3-2254-42A5-A75E-589CB7A55864}" name="Column4953"/>
    <tableColumn id="4960" xr3:uid="{4F43C7EA-EDF4-4224-93A9-227873CDA7BF}" name="Column4954"/>
    <tableColumn id="4961" xr3:uid="{279125C3-61D4-47C8-8A50-2F4EE6235047}" name="Column4955"/>
    <tableColumn id="4962" xr3:uid="{1E159A15-E091-4079-B342-9E59AE49B332}" name="Column4956"/>
    <tableColumn id="4963" xr3:uid="{6F60074F-3A6B-426F-98B1-6F649B6865C0}" name="Column4957"/>
    <tableColumn id="4964" xr3:uid="{8D2B28D9-5E75-4178-AD51-05C0544E2B01}" name="Column4958"/>
    <tableColumn id="4965" xr3:uid="{0B66DB13-C25C-4EB8-8F12-179446A8ED01}" name="Column4959"/>
    <tableColumn id="4966" xr3:uid="{24B791BB-AAE9-47EB-9164-45A8977C09B6}" name="Column4960"/>
    <tableColumn id="4967" xr3:uid="{2A46912E-29A2-4279-923F-6D4D3FD40F72}" name="Column4961"/>
    <tableColumn id="4968" xr3:uid="{8FDEFDD7-E16F-41B1-9340-857200BE391E}" name="Column4962"/>
    <tableColumn id="4969" xr3:uid="{E370C2A9-824E-452B-80CF-6D61682135BE}" name="Column4963"/>
    <tableColumn id="4970" xr3:uid="{A0889AD8-7E96-44B9-B90A-CC0DB8AC66FF}" name="Column4964"/>
    <tableColumn id="4971" xr3:uid="{784020A6-370C-4F13-B36C-574A34BDC910}" name="Column4965"/>
    <tableColumn id="4972" xr3:uid="{C7E6B31B-B785-4CD7-938B-4D4810DC1AFC}" name="Column4966"/>
    <tableColumn id="4973" xr3:uid="{FBD1B346-C0D1-49B0-8D48-A48718E78C92}" name="Column4967"/>
    <tableColumn id="4974" xr3:uid="{C68F6889-78B5-4AF8-BE1A-E49C18D4B084}" name="Column4968"/>
    <tableColumn id="4975" xr3:uid="{E6B119D1-7B26-4342-BBA1-B433F74558C7}" name="Column4969"/>
    <tableColumn id="4976" xr3:uid="{3B910008-0539-4AA2-B475-67B4FCBC71DC}" name="Column4970"/>
    <tableColumn id="4977" xr3:uid="{A1917EF4-638F-4DEB-9BD3-13443CEDE935}" name="Column4971"/>
    <tableColumn id="4978" xr3:uid="{911B38A9-7E25-4140-9D91-DCFDED107D9C}" name="Column4972"/>
    <tableColumn id="4979" xr3:uid="{FDE8ABC8-1AB2-452C-AAA3-59DF4FB485FA}" name="Column4973"/>
    <tableColumn id="4980" xr3:uid="{10E59939-C1BD-4F33-864E-5DEC8B556E96}" name="Column4974"/>
    <tableColumn id="4981" xr3:uid="{8D457AFD-74C9-45CC-A2D5-19311314CF8F}" name="Column4975"/>
    <tableColumn id="4982" xr3:uid="{DED41AD6-FFD3-499F-8F07-83B0EA2F6DB7}" name="Column4976"/>
    <tableColumn id="4983" xr3:uid="{B2602B29-8ED7-42E6-BCA9-7F2D5A8FFE42}" name="Column4977"/>
    <tableColumn id="4984" xr3:uid="{D2EC02B8-C52B-4EAA-B542-8C534BB34AE5}" name="Column4978"/>
    <tableColumn id="4985" xr3:uid="{2945AA48-6719-4BA2-B32D-ECD3225C40E8}" name="Column4979"/>
    <tableColumn id="4986" xr3:uid="{234E0AE3-A096-4FD1-90A0-FF6D62048FF8}" name="Column4980"/>
    <tableColumn id="4987" xr3:uid="{622CB406-567C-42A0-82A1-F13B3DA03B22}" name="Column4981"/>
    <tableColumn id="4988" xr3:uid="{93062C50-FFDF-428F-80AD-3729C53BA1E7}" name="Column4982"/>
    <tableColumn id="4989" xr3:uid="{E50197D7-28BF-4C29-9765-5AEBB29E7D10}" name="Column4983"/>
    <tableColumn id="4990" xr3:uid="{1C681AB3-BE7A-49F3-96CF-F2C8E48F5AB2}" name="Column4984"/>
    <tableColumn id="4991" xr3:uid="{6D1F0137-17CA-423F-891A-9340D366ED2A}" name="Column4985"/>
    <tableColumn id="4992" xr3:uid="{64E3F207-3569-43F8-85CA-5EA6B40278A8}" name="Column4986"/>
    <tableColumn id="4993" xr3:uid="{7ECD54D7-FED2-4B81-9836-BFFCBD30129A}" name="Column4987"/>
    <tableColumn id="4994" xr3:uid="{6BCDE5AC-F882-4D75-82AA-724B64DBC3EF}" name="Column4988"/>
    <tableColumn id="4995" xr3:uid="{64E820B7-B958-4630-8A1B-4200E7DDBF22}" name="Column4989"/>
    <tableColumn id="4996" xr3:uid="{F2D5B568-91EA-4C6F-9299-A5AF88631212}" name="Column4990"/>
    <tableColumn id="4997" xr3:uid="{0A3F9C65-CA5C-40B4-828D-71C8B10C3B2C}" name="Column4991"/>
    <tableColumn id="4998" xr3:uid="{095C537D-8FD7-47A9-9104-0466D165549E}" name="Column4992"/>
    <tableColumn id="4999" xr3:uid="{CC886A4E-E118-4F25-86B3-50A50238EB1C}" name="Column4993"/>
    <tableColumn id="5000" xr3:uid="{40D5F613-3CFC-41BA-9BBD-59A02B96744D}" name="Column4994"/>
    <tableColumn id="5001" xr3:uid="{A0958A51-C9D0-45E9-920B-9A28467F27C3}" name="Column4995"/>
    <tableColumn id="5002" xr3:uid="{AE76D3A6-D11B-4EB3-A400-2C79FEEE323A}" name="Column4996"/>
    <tableColumn id="5003" xr3:uid="{DAA74597-87DA-474E-B01D-FCA9B9C955E7}" name="Column4997"/>
    <tableColumn id="5004" xr3:uid="{BF68AA83-18DA-4B24-A41C-0C835CE98B5D}" name="Column4998"/>
    <tableColumn id="5005" xr3:uid="{7DB5FC2B-BCA9-4D58-A056-8554B59DBF0B}" name="Column4999"/>
    <tableColumn id="5006" xr3:uid="{AE30935D-5321-46BD-9ACA-472F471C4BB5}" name="Column5000"/>
    <tableColumn id="5007" xr3:uid="{99A9536F-9586-4BB3-9478-B7722DBB35F8}" name="Column5001"/>
    <tableColumn id="5008" xr3:uid="{0517CE3A-034F-4DB4-9CD8-90BEB604C9CA}" name="Column5002"/>
    <tableColumn id="5009" xr3:uid="{C49E540E-8234-406E-84C2-6A5F7D6DEF73}" name="Column5003"/>
    <tableColumn id="5010" xr3:uid="{FFC6B3C5-D3F9-465A-99A9-AF60D5843FED}" name="Column5004"/>
    <tableColumn id="5011" xr3:uid="{582C1CA5-4612-4C39-B543-AC0566FBFFB8}" name="Column5005"/>
    <tableColumn id="5012" xr3:uid="{C9303DB6-9B3F-467E-99A4-73AAEEA6C99E}" name="Column5006"/>
    <tableColumn id="5013" xr3:uid="{2E3FEE24-718F-44A7-A6E0-88BD5275EA9D}" name="Column5007"/>
    <tableColumn id="5014" xr3:uid="{0D66A140-AB13-4563-9B09-9A7085B99112}" name="Column5008"/>
    <tableColumn id="5015" xr3:uid="{EF5996C2-31C8-4ED4-BC32-8D9EB0ACF0CD}" name="Column5009"/>
    <tableColumn id="5016" xr3:uid="{03BD41C2-0637-44DE-B28F-E1A4F29F15DA}" name="Column5010"/>
    <tableColumn id="5017" xr3:uid="{4CC74C11-E56F-4EDB-99EB-EB8A03D53736}" name="Column5011"/>
    <tableColumn id="5018" xr3:uid="{C39BC09D-B3C1-440B-84CD-94866AC78857}" name="Column5012"/>
    <tableColumn id="5019" xr3:uid="{F200241D-E34D-4BB3-A178-96B6F65E68AD}" name="Column5013"/>
    <tableColumn id="5020" xr3:uid="{7EB4DFB5-B875-46BF-94ED-116F1D99D034}" name="Column5014"/>
    <tableColumn id="5021" xr3:uid="{A180FE66-0EB0-449F-B97E-A24BFE9A5020}" name="Column5015"/>
    <tableColumn id="5022" xr3:uid="{2CB31C0A-9477-4C4C-B83C-31BCEAC2AF43}" name="Column5016"/>
    <tableColumn id="5023" xr3:uid="{5CA31882-80C3-48AA-9A9F-149EADABC7A4}" name="Column5017"/>
    <tableColumn id="5024" xr3:uid="{A182AF0D-7AB6-4197-A6BE-DCF16DC64196}" name="Column5018"/>
    <tableColumn id="5025" xr3:uid="{3A6C3A66-CAC5-4D91-9A25-8F0381EEF617}" name="Column5019"/>
    <tableColumn id="5026" xr3:uid="{22F74A64-D4A7-44C7-B953-B9B90E9E02A8}" name="Column5020"/>
    <tableColumn id="5027" xr3:uid="{8768B1F1-BD6F-49E1-A9FB-6EAE8F088416}" name="Column5021"/>
    <tableColumn id="5028" xr3:uid="{9D9EB9FD-19F4-4CB4-B16A-B3D4A76503A6}" name="Column5022"/>
    <tableColumn id="5029" xr3:uid="{666D7BF1-FF80-4DD5-8B48-CDEF29BD5F8A}" name="Column5023"/>
    <tableColumn id="5030" xr3:uid="{BC146209-B7D4-435F-B014-2A84BCAFCBEE}" name="Column5024"/>
    <tableColumn id="5031" xr3:uid="{84DEBDF3-BBF6-4A15-B5BE-BA4581E1418D}" name="Column5025"/>
    <tableColumn id="5032" xr3:uid="{F270DD33-63DF-422B-BBBF-1BF730087A0D}" name="Column5026"/>
    <tableColumn id="5033" xr3:uid="{FBDD51AB-16BD-4429-A1E4-7C556879319E}" name="Column5027"/>
    <tableColumn id="5034" xr3:uid="{A2E6E938-68C8-4499-A5F4-3B790100A30B}" name="Column5028"/>
    <tableColumn id="5035" xr3:uid="{8E428ED0-B4DA-4DBD-A38C-FE67A672E878}" name="Column5029"/>
    <tableColumn id="5036" xr3:uid="{5A2D2628-4623-4535-BA60-94B31A037B61}" name="Column5030"/>
    <tableColumn id="5037" xr3:uid="{2DE6A0F8-BD0F-424C-A084-BC00F4224A7E}" name="Column5031"/>
    <tableColumn id="5038" xr3:uid="{4FBD95AB-C3A9-4EEC-AEA8-9862B80103DD}" name="Column5032"/>
    <tableColumn id="5039" xr3:uid="{B82809F5-5DCE-4647-B72E-6F0EA2A63AC3}" name="Column5033"/>
    <tableColumn id="5040" xr3:uid="{4B8F4F85-5FC7-4B08-B9A2-97AC7F0FE8B0}" name="Column5034"/>
    <tableColumn id="5041" xr3:uid="{B6E9B34C-1640-4E9A-A4F4-A2CEA13FD4DD}" name="Column5035"/>
    <tableColumn id="5042" xr3:uid="{BF0499D8-979C-489C-B288-44EB58823506}" name="Column5036"/>
    <tableColumn id="5043" xr3:uid="{6E63AB68-012A-4BED-B022-3CC5FAFC1361}" name="Column5037"/>
    <tableColumn id="5044" xr3:uid="{8BBF2252-D537-40A7-BD58-E4C3C5E14299}" name="Column5038"/>
    <tableColumn id="5045" xr3:uid="{B06424A7-64A2-450A-A721-FE2A12727006}" name="Column5039"/>
    <tableColumn id="5046" xr3:uid="{40593EEE-E6D6-4EB4-99A2-E13D7C661F41}" name="Column5040"/>
    <tableColumn id="5047" xr3:uid="{27CB2963-6628-4B44-AC06-5C93C3358D60}" name="Column5041"/>
    <tableColumn id="5048" xr3:uid="{14793D7F-453A-40C0-AFDF-66673E48C773}" name="Column5042"/>
    <tableColumn id="5049" xr3:uid="{06600D30-877C-47FE-9491-2E6802D67D93}" name="Column5043"/>
    <tableColumn id="5050" xr3:uid="{63760E0B-F6F3-45BA-AA14-C2401312F9DE}" name="Column5044"/>
    <tableColumn id="5051" xr3:uid="{6C25E105-9CB0-478E-8C5D-55A8A10F5E9F}" name="Column5045"/>
    <tableColumn id="5052" xr3:uid="{16DBEA27-DE68-47F6-A4DE-FE8CB2521A50}" name="Column5046"/>
    <tableColumn id="5053" xr3:uid="{931BF19C-0F80-4A2A-B4A6-D4C50934E1BA}" name="Column5047"/>
    <tableColumn id="5054" xr3:uid="{6A249715-92D0-433C-8BE2-91B1DDEFA0C9}" name="Column5048"/>
    <tableColumn id="5055" xr3:uid="{3146D042-E733-40E1-A577-7D87E1E10C15}" name="Column5049"/>
    <tableColumn id="5056" xr3:uid="{5D2D9FEF-57F2-4386-9E44-2A30B7CBB900}" name="Column5050"/>
    <tableColumn id="5057" xr3:uid="{548C6BA5-FF7A-4F44-9AB5-5ACC68174B0D}" name="Column5051"/>
    <tableColumn id="5058" xr3:uid="{605332EC-9B42-4914-A532-0CCA1CA131BE}" name="Column5052"/>
    <tableColumn id="5059" xr3:uid="{91826725-25DC-43CD-A8F6-7889E663780C}" name="Column5053"/>
    <tableColumn id="5060" xr3:uid="{F9990A5B-8218-469B-ACBF-79C16854A490}" name="Column5054"/>
    <tableColumn id="5061" xr3:uid="{0236A6E9-6476-431A-ADE8-5338D63634E7}" name="Column5055"/>
    <tableColumn id="5062" xr3:uid="{64730215-BFD2-4449-B90D-D1CAD658C312}" name="Column5056"/>
    <tableColumn id="5063" xr3:uid="{BDEEC13D-8B05-4CE0-9E5B-C4B29BFEAF17}" name="Column5057"/>
    <tableColumn id="5064" xr3:uid="{CB923323-F234-4EBB-A232-2C61A1D57A89}" name="Column5058"/>
    <tableColumn id="5065" xr3:uid="{E5AC16D5-4666-408C-A39E-C699432F00F4}" name="Column5059"/>
    <tableColumn id="5066" xr3:uid="{8ABFD410-96ED-42E1-A397-2D16CB94ED6B}" name="Column5060"/>
    <tableColumn id="5067" xr3:uid="{0101C0E3-0CCF-4272-B9ED-7F7CB5604199}" name="Column5061"/>
    <tableColumn id="5068" xr3:uid="{0071380A-2035-4DFF-ACF5-F295680DD575}" name="Column5062"/>
    <tableColumn id="5069" xr3:uid="{E2A105ED-B2FE-49A5-BE2D-5B08EB14BF16}" name="Column5063"/>
    <tableColumn id="5070" xr3:uid="{E3080545-6DEB-48DC-881A-56C076B7F629}" name="Column5064"/>
    <tableColumn id="5071" xr3:uid="{9CD99755-B70E-4E62-8899-7C4E8B7CE4F2}" name="Column5065"/>
    <tableColumn id="5072" xr3:uid="{A0C417F7-622E-4795-A9F0-8BA787B2A436}" name="Column5066"/>
    <tableColumn id="5073" xr3:uid="{99E274CE-0854-4BA8-A58A-8383C79EC27B}" name="Column5067"/>
    <tableColumn id="5074" xr3:uid="{40F9CF67-BDAE-4C3B-A08D-B4C0A604CDF7}" name="Column5068"/>
    <tableColumn id="5075" xr3:uid="{D0234514-A430-47FA-82C6-07702D59ED7B}" name="Column5069"/>
    <tableColumn id="5076" xr3:uid="{E873FF62-462D-4A28-A345-121BB0595B7C}" name="Column5070"/>
    <tableColumn id="5077" xr3:uid="{8AD61345-13AD-4E8F-B757-1E2A7C042E31}" name="Column5071"/>
    <tableColumn id="5078" xr3:uid="{4E44209D-BD1E-4F36-8F85-276EDA507994}" name="Column5072"/>
    <tableColumn id="5079" xr3:uid="{5FDE969C-38EA-48D5-9FD2-0D7924363789}" name="Column5073"/>
    <tableColumn id="5080" xr3:uid="{D8E4E042-9FE1-49CC-A130-6932878F94D9}" name="Column5074"/>
    <tableColumn id="5081" xr3:uid="{56F740FD-A9F5-42E4-9EFC-D85DC8F38FDA}" name="Column5075"/>
    <tableColumn id="5082" xr3:uid="{BB2C6A27-CDEA-4D4E-84B6-6A5BC86E0CBD}" name="Column5076"/>
    <tableColumn id="5083" xr3:uid="{3ABDA6FC-08A7-40F0-9E3F-807632E8D4E7}" name="Column5077"/>
    <tableColumn id="5084" xr3:uid="{99E3397D-BA9F-4DDE-A3AC-C4ADB0C4A3C4}" name="Column5078"/>
    <tableColumn id="5085" xr3:uid="{1E62F41D-469B-45BD-A059-62C8F205C160}" name="Column5079"/>
    <tableColumn id="5086" xr3:uid="{C08096CD-172D-415D-AF1B-1C094547A53E}" name="Column5080"/>
    <tableColumn id="5087" xr3:uid="{B8585798-3809-4475-9C38-530157D74CCC}" name="Column5081"/>
    <tableColumn id="5088" xr3:uid="{2D544374-CA2C-49C6-8C0E-29430432CFAB}" name="Column5082"/>
    <tableColumn id="5089" xr3:uid="{8DFE54A9-252B-415E-B26F-AB4B33DB560E}" name="Column5083"/>
    <tableColumn id="5090" xr3:uid="{C64F33AC-5DE7-4BE9-BFEE-71BE7095214F}" name="Column5084"/>
    <tableColumn id="5091" xr3:uid="{2F3855AA-35CA-4729-B30D-2967BF3732FE}" name="Column5085"/>
    <tableColumn id="5092" xr3:uid="{5781CC2B-D91B-4DAC-B4CB-153641080A31}" name="Column5086"/>
    <tableColumn id="5093" xr3:uid="{667DA331-A865-4D76-8933-3A772E5246DA}" name="Column5087"/>
    <tableColumn id="5094" xr3:uid="{39103D4B-289D-40E3-9FBD-1539D0B6557C}" name="Column5088"/>
    <tableColumn id="5095" xr3:uid="{E2883421-D590-4AF8-9B90-C106AFF05D92}" name="Column5089"/>
    <tableColumn id="5096" xr3:uid="{B2C819C8-1440-40C4-B231-5615B473DA70}" name="Column5090"/>
    <tableColumn id="5097" xr3:uid="{00AB1D3C-4620-4F35-989F-35485911831F}" name="Column5091"/>
    <tableColumn id="5098" xr3:uid="{179DE982-2226-4889-A2F8-E17ABDE79271}" name="Column5092"/>
    <tableColumn id="5099" xr3:uid="{B4861D24-FA94-4A44-81FD-B1AF94CF2F46}" name="Column5093"/>
    <tableColumn id="5100" xr3:uid="{67E711DD-EE4D-4067-8424-3E4ED9DC173D}" name="Column5094"/>
    <tableColumn id="5101" xr3:uid="{C992AF47-3D25-4528-8C14-CDD2902F8CEA}" name="Column5095"/>
    <tableColumn id="5102" xr3:uid="{CFAA6F79-0CD6-4AF7-8EFE-F8BA83432FF9}" name="Column5096"/>
    <tableColumn id="5103" xr3:uid="{86701CE5-7332-4C19-8650-932F26D2B899}" name="Column5097"/>
    <tableColumn id="5104" xr3:uid="{0563F893-3063-474D-95C5-A7BD063B646C}" name="Column5098"/>
    <tableColumn id="5105" xr3:uid="{3D44135C-67C5-4504-AD20-7F7840AFCCD9}" name="Column5099"/>
    <tableColumn id="5106" xr3:uid="{1A7EF9AD-579C-4933-AA66-23A77E0D580D}" name="Column5100"/>
    <tableColumn id="5107" xr3:uid="{572775AC-2C6F-4814-9AB9-86D8C9711EA6}" name="Column5101"/>
    <tableColumn id="5108" xr3:uid="{2152D7A4-402C-4E56-88B3-BB0D2E1C7380}" name="Column5102"/>
    <tableColumn id="5109" xr3:uid="{6BC621D4-C99E-4102-83FB-52D4E9AE72B3}" name="Column5103"/>
    <tableColumn id="5110" xr3:uid="{D9E923CF-81D3-45D6-94AD-1BCA733C157D}" name="Column5104"/>
    <tableColumn id="5111" xr3:uid="{45F4530B-4EDC-4B78-BE32-36C2C8F5CFCB}" name="Column5105"/>
    <tableColumn id="5112" xr3:uid="{A4D9406D-00F0-4667-A958-404AE8836C55}" name="Column5106"/>
    <tableColumn id="5113" xr3:uid="{F1E345BB-5D92-46EC-A961-23A56329BDEB}" name="Column5107"/>
    <tableColumn id="5114" xr3:uid="{A063E0BA-EC57-4164-92FC-9CB88EF0F26D}" name="Column5108"/>
    <tableColumn id="5115" xr3:uid="{DA51A63A-096D-48DF-B542-4B077A2816D8}" name="Column5109"/>
    <tableColumn id="5116" xr3:uid="{E70534A5-4789-468B-8EEA-E69E5134624E}" name="Column5110"/>
    <tableColumn id="5117" xr3:uid="{23377CFD-90E3-4FBE-8AC0-D2A9BB7BB4CA}" name="Column5111"/>
    <tableColumn id="5118" xr3:uid="{EBB48862-CA8C-414C-8483-773ADA494776}" name="Column5112"/>
    <tableColumn id="5119" xr3:uid="{62A8F0B0-A623-4B60-ADE2-C9DC5E171279}" name="Column5113"/>
    <tableColumn id="5120" xr3:uid="{94C81F94-1725-4768-82AC-BF08C6D4CC8A}" name="Column5114"/>
    <tableColumn id="5121" xr3:uid="{26C2FA81-426C-4CEC-B97A-4482A876BD3B}" name="Column5115"/>
    <tableColumn id="5122" xr3:uid="{B54626EC-7600-44BA-B129-CA6DB2D47344}" name="Column5116"/>
    <tableColumn id="5123" xr3:uid="{656776BF-67C2-4996-A4BC-F7668842B55F}" name="Column5117"/>
    <tableColumn id="5124" xr3:uid="{F8F6A25B-2CB6-4FB1-8E45-6807D031EF0C}" name="Column5118"/>
    <tableColumn id="5125" xr3:uid="{7E15AC64-6ECB-4107-BD2B-3A5D8E99AE9D}" name="Column5119"/>
    <tableColumn id="5126" xr3:uid="{F1A0EBC8-46BD-4D10-B0E6-316792FA7C53}" name="Column5120"/>
    <tableColumn id="5127" xr3:uid="{76E43471-7ACB-42D8-A90A-E2D33FC710D2}" name="Column5121"/>
    <tableColumn id="5128" xr3:uid="{B8C3FF4A-C491-4BF8-873A-39040ABC35A3}" name="Column5122"/>
    <tableColumn id="5129" xr3:uid="{DB2AB83A-9C35-4E0E-AEB5-76820619C892}" name="Column5123"/>
    <tableColumn id="5130" xr3:uid="{2B417AAD-F752-45AF-AFC5-F067AF8D0028}" name="Column5124"/>
    <tableColumn id="5131" xr3:uid="{D45A6717-F471-4B66-B05A-76F7027D9811}" name="Column5125"/>
    <tableColumn id="5132" xr3:uid="{CB57283A-0822-4ED9-A666-4BBE605DD3E6}" name="Column5126"/>
    <tableColumn id="5133" xr3:uid="{CFB7B9FC-E88B-46D6-81A1-CF0F39DA7A0C}" name="Column5127"/>
    <tableColumn id="5134" xr3:uid="{1325CA16-5486-4B98-8A59-1D68685A9911}" name="Column5128"/>
    <tableColumn id="5135" xr3:uid="{57CEFBE1-50AA-4EA3-AEE9-7ECC5A1DB94C}" name="Column5129"/>
    <tableColumn id="5136" xr3:uid="{2096496E-F6EF-4B49-AD83-5693B3D9AC25}" name="Column5130"/>
    <tableColumn id="5137" xr3:uid="{D3BC8786-B835-444F-B557-5387505BCDD8}" name="Column5131"/>
    <tableColumn id="5138" xr3:uid="{A42DDA8A-50DF-4895-9AF4-2BEAC9DBA142}" name="Column5132"/>
    <tableColumn id="5139" xr3:uid="{5B800B0F-FB76-4006-BB98-1405F0FDDF43}" name="Column5133"/>
    <tableColumn id="5140" xr3:uid="{01E7AF29-D980-44D1-9E27-E483827B4C9D}" name="Column5134"/>
    <tableColumn id="5141" xr3:uid="{247A3D8D-11F0-4343-8285-986CD3259FF2}" name="Column5135"/>
    <tableColumn id="5142" xr3:uid="{8AFAF4F4-8AEF-41EC-89CC-D4A22E44B300}" name="Column5136"/>
    <tableColumn id="5143" xr3:uid="{F01A5B98-7050-4970-B992-90D09D336B66}" name="Column5137"/>
    <tableColumn id="5144" xr3:uid="{FDBF0751-7C31-4CD7-A56C-1DC008DA6ABF}" name="Column5138"/>
    <tableColumn id="5145" xr3:uid="{89D4C754-E362-4E1A-A452-04A9F1FE37FE}" name="Column5139"/>
    <tableColumn id="5146" xr3:uid="{41C3ED3E-F0EE-47B6-A04E-176CC5EB2AF8}" name="Column5140"/>
    <tableColumn id="5147" xr3:uid="{7EB2E105-B168-44D5-A12D-9004F3059592}" name="Column5141"/>
    <tableColumn id="5148" xr3:uid="{BE5222D4-8266-4D90-9C74-C3BD32FE781D}" name="Column5142"/>
    <tableColumn id="5149" xr3:uid="{0DEB3EFC-E42B-4FF4-9A35-44FAF5CDDD40}" name="Column5143"/>
    <tableColumn id="5150" xr3:uid="{3430FF9F-F669-4863-AD6B-9068CFB6D6BB}" name="Column5144"/>
    <tableColumn id="5151" xr3:uid="{E4211966-BB66-472B-96F6-4EF118493498}" name="Column5145"/>
    <tableColumn id="5152" xr3:uid="{7881E7A9-7103-4AF6-A3EB-EAC6567F6A0D}" name="Column5146"/>
    <tableColumn id="5153" xr3:uid="{98789D54-5B11-4D32-BE66-297BC07ECC8E}" name="Column5147"/>
    <tableColumn id="5154" xr3:uid="{84F26AD1-1778-4E0B-BE21-F3CEE45EFA2C}" name="Column5148"/>
    <tableColumn id="5155" xr3:uid="{B710FBB8-59EA-4515-A73B-81013CB99A57}" name="Column5149"/>
    <tableColumn id="5156" xr3:uid="{9AEABDDC-F40B-4B04-8423-1E389C875780}" name="Column5150"/>
    <tableColumn id="5157" xr3:uid="{4CBA1246-4EDF-478B-ACF2-7734A352B25F}" name="Column5151"/>
    <tableColumn id="5158" xr3:uid="{C200D7B1-E913-40BA-85EA-ABA9F28F0B09}" name="Column5152"/>
    <tableColumn id="5159" xr3:uid="{A72A122C-6868-40C7-A41E-FEB10F447789}" name="Column5153"/>
    <tableColumn id="5160" xr3:uid="{43A577A7-961C-473E-9EBF-54EA07AB3AD3}" name="Column5154"/>
    <tableColumn id="5161" xr3:uid="{640D26C6-7726-421F-B3C0-C06FE012594B}" name="Column5155"/>
    <tableColumn id="5162" xr3:uid="{7C7BBF77-D2C7-434B-BCF5-13B55F24D3B3}" name="Column5156"/>
    <tableColumn id="5163" xr3:uid="{E39FE737-E2DE-4401-B111-F8529A1BA532}" name="Column5157"/>
    <tableColumn id="5164" xr3:uid="{62600C74-554A-4596-B421-0CC099CD883E}" name="Column5158"/>
    <tableColumn id="5165" xr3:uid="{A916E6DC-795B-4D63-9B27-121B991C179C}" name="Column5159"/>
    <tableColumn id="5166" xr3:uid="{1EDD82BE-EEB2-4BE3-9868-BCE6A68B010A}" name="Column5160"/>
    <tableColumn id="5167" xr3:uid="{FCD4B427-F81F-45A3-BF40-D2F0E97C36D3}" name="Column5161"/>
    <tableColumn id="5168" xr3:uid="{15619FDE-754F-4C1F-95B2-6EECA7F44391}" name="Column5162"/>
    <tableColumn id="5169" xr3:uid="{24D3B6C9-20EB-44AD-B136-9B314C4417A7}" name="Column5163"/>
    <tableColumn id="5170" xr3:uid="{059440FA-A6AC-4551-AB66-EFD46D5EC9D2}" name="Column5164"/>
    <tableColumn id="5171" xr3:uid="{41553A34-845B-4DB5-A0B0-7EC50B8BED82}" name="Column5165"/>
    <tableColumn id="5172" xr3:uid="{4AE1582D-0931-4EB7-B690-291BC4A6A213}" name="Column5166"/>
    <tableColumn id="5173" xr3:uid="{D40E759F-4710-49B2-8DEB-744E99C452BB}" name="Column5167"/>
    <tableColumn id="5174" xr3:uid="{4F7D371A-15BA-45C4-B29E-72EA550782DF}" name="Column5168"/>
    <tableColumn id="5175" xr3:uid="{D4B0CBEF-82C8-4C0B-B0C6-B0446360D0C1}" name="Column5169"/>
    <tableColumn id="5176" xr3:uid="{72848A71-D862-4916-9AAC-E1D47BA7323F}" name="Column5170"/>
    <tableColumn id="5177" xr3:uid="{072DD3B4-3423-42B5-9180-F275F5FA7A89}" name="Column5171"/>
    <tableColumn id="5178" xr3:uid="{EDAC731F-4898-41BD-9EC4-D3E71FDA849B}" name="Column5172"/>
    <tableColumn id="5179" xr3:uid="{528DA8BE-97C6-4A25-B88E-53E30FBFE3A4}" name="Column5173"/>
    <tableColumn id="5180" xr3:uid="{8C6DAFD5-DA88-4AA5-A3B3-987533ACB7AF}" name="Column5174"/>
    <tableColumn id="5181" xr3:uid="{B03A20DA-AE2A-406F-BFFD-BA0125DBB0A0}" name="Column5175"/>
    <tableColumn id="5182" xr3:uid="{A21B5470-58B5-4557-A376-95AD85B35CEA}" name="Column5176"/>
    <tableColumn id="5183" xr3:uid="{6EC067B0-7C93-40C2-94E9-8D7865F193AE}" name="Column5177"/>
    <tableColumn id="5184" xr3:uid="{5404EE06-FC26-40A8-BE6D-0BEFA96DADB4}" name="Column5178"/>
    <tableColumn id="5185" xr3:uid="{270F5245-7693-4E53-BA8D-D9E34162E4C0}" name="Column5179"/>
    <tableColumn id="5186" xr3:uid="{E6F8C9F1-AE36-4FDB-8173-409E023468F8}" name="Column5180"/>
    <tableColumn id="5187" xr3:uid="{E5DAA2AB-FBB3-4789-B842-DC274C865802}" name="Column5181"/>
    <tableColumn id="5188" xr3:uid="{60C22BEC-7306-432A-8C05-0A486838FA50}" name="Column5182"/>
    <tableColumn id="5189" xr3:uid="{2C11C44B-5BBA-41D3-8BC5-8ECF81C01314}" name="Column5183"/>
    <tableColumn id="5190" xr3:uid="{5A031049-780C-4A2D-9760-34538A9005A8}" name="Column5184"/>
    <tableColumn id="5191" xr3:uid="{0C5E6F6F-DCB7-4B5A-A1BA-5E785736B830}" name="Column5185"/>
    <tableColumn id="5192" xr3:uid="{1D3F17D4-9C28-45B3-89FF-0FDE28C9B45E}" name="Column5186"/>
    <tableColumn id="5193" xr3:uid="{AFEFE15C-0D1E-4F47-8BE9-2E241B9090A3}" name="Column5187"/>
    <tableColumn id="5194" xr3:uid="{C76DCCDC-186B-47F0-9398-BB2EA39D55EB}" name="Column5188"/>
    <tableColumn id="5195" xr3:uid="{78BDAC0B-0559-4F3A-B24F-CCE4AFBEF2BC}" name="Column5189"/>
    <tableColumn id="5196" xr3:uid="{247E8EE7-9262-4B25-B10C-06A17C7A1528}" name="Column5190"/>
    <tableColumn id="5197" xr3:uid="{44C1DA2A-EB02-4FE3-BE17-6D197AC927A2}" name="Column5191"/>
    <tableColumn id="5198" xr3:uid="{7C943BF9-0C71-4EB2-8D7D-CA570178B637}" name="Column5192"/>
    <tableColumn id="5199" xr3:uid="{FFD47BB0-A616-41A7-86C0-B0C3793557A3}" name="Column5193"/>
    <tableColumn id="5200" xr3:uid="{4F5EA52F-C29B-4B32-B398-8741D53D73F9}" name="Column5194"/>
    <tableColumn id="5201" xr3:uid="{B81D3178-CBEB-4129-B82B-7A584EB3036A}" name="Column5195"/>
    <tableColumn id="5202" xr3:uid="{FC84EDF6-148F-40B3-9862-BC52AFA74043}" name="Column5196"/>
    <tableColumn id="5203" xr3:uid="{21F5DA32-D266-4442-A296-F6B35CEEC1CE}" name="Column5197"/>
    <tableColumn id="5204" xr3:uid="{C6C36B36-83F0-49A1-8AA6-265C1DAB5130}" name="Column5198"/>
    <tableColumn id="5205" xr3:uid="{18667298-89E2-4F0D-AA5E-6E475BE0711A}" name="Column5199"/>
    <tableColumn id="5206" xr3:uid="{DD1C54CF-67BF-4A07-8F95-1A48AC338BC6}" name="Column5200"/>
    <tableColumn id="5207" xr3:uid="{44C5CF2B-A24B-4B24-9ED7-D1C6ED91BA36}" name="Column5201"/>
    <tableColumn id="5208" xr3:uid="{7B3CF221-7545-43B6-B682-71D5A7376BA7}" name="Column5202"/>
    <tableColumn id="5209" xr3:uid="{77271205-78A4-462C-909F-B2D87F7F7D07}" name="Column5203"/>
    <tableColumn id="5210" xr3:uid="{C87DE2D3-6518-4239-A3BC-3BB43962F9D9}" name="Column5204"/>
    <tableColumn id="5211" xr3:uid="{B6BDB7A5-5CF7-4E8A-9262-86D584142AEF}" name="Column5205"/>
    <tableColumn id="5212" xr3:uid="{844E040C-A08D-4E7F-AC93-4C2D2806B138}" name="Column5206"/>
    <tableColumn id="5213" xr3:uid="{7582DE26-BAF4-4BBE-9ED1-21055003CF96}" name="Column5207"/>
    <tableColumn id="5214" xr3:uid="{3C715423-09A6-4885-8F35-FEB53173C21A}" name="Column5208"/>
    <tableColumn id="5215" xr3:uid="{F9D67AC6-473A-49A6-BCA2-A5C8425E678E}" name="Column5209"/>
    <tableColumn id="5216" xr3:uid="{AA3C4E22-A850-43DE-8A6F-B1D251F6BFA3}" name="Column5210"/>
    <tableColumn id="5217" xr3:uid="{9B0C0089-29FE-46DA-A0BE-9E702B7FE9EB}" name="Column5211"/>
    <tableColumn id="5218" xr3:uid="{D7055D80-68FD-4223-857E-C1AFCE87DD43}" name="Column5212"/>
    <tableColumn id="5219" xr3:uid="{D0B6BCCB-9A2F-4F9B-B7E2-A4BD5DC51E59}" name="Column5213"/>
    <tableColumn id="5220" xr3:uid="{B8B453DC-FBC9-43FE-B949-407130DC30B4}" name="Column5214"/>
    <tableColumn id="5221" xr3:uid="{86B72E32-AB4C-47CA-9D95-4AEA1F469BF1}" name="Column5215"/>
    <tableColumn id="5222" xr3:uid="{A2C9450F-0B57-4E3B-A730-EBA5667B5DE9}" name="Column5216"/>
    <tableColumn id="5223" xr3:uid="{A5BD2F37-353E-45A3-9518-F6ADD9AB017D}" name="Column5217"/>
    <tableColumn id="5224" xr3:uid="{1222FE1F-1615-4D68-9E35-AEC515D61D4E}" name="Column5218"/>
    <tableColumn id="5225" xr3:uid="{17A2496A-635E-4DB7-A624-FED850E118C6}" name="Column5219"/>
    <tableColumn id="5226" xr3:uid="{1C2D091D-3542-4411-8497-891B086BD124}" name="Column5220"/>
    <tableColumn id="5227" xr3:uid="{26820B32-0897-42C0-9555-2422FD3876D5}" name="Column5221"/>
    <tableColumn id="5228" xr3:uid="{0DC6FDC1-B83E-4725-BE6E-9B125918E697}" name="Column5222"/>
    <tableColumn id="5229" xr3:uid="{B40CE345-8FA7-4A06-A628-06F5C6CF9782}" name="Column5223"/>
    <tableColumn id="5230" xr3:uid="{88D5B3D5-FDD8-45A5-A63B-66C449C60446}" name="Column5224"/>
    <tableColumn id="5231" xr3:uid="{04C33B36-0693-4AB4-B329-B045D9CF7391}" name="Column5225"/>
    <tableColumn id="5232" xr3:uid="{041C9EF2-EB97-4E01-A341-08AAAC225CB9}" name="Column5226"/>
    <tableColumn id="5233" xr3:uid="{5AB9D7DF-E058-4491-87F2-BF3EA35F3042}" name="Column5227"/>
    <tableColumn id="5234" xr3:uid="{502C18E4-183B-4CC6-B2A9-3495A548FCFE}" name="Column5228"/>
    <tableColumn id="5235" xr3:uid="{8CB532F2-F699-4FE0-BA82-31CC07CEE603}" name="Column5229"/>
    <tableColumn id="5236" xr3:uid="{CB91CE3E-E269-4A5B-A10F-7E3E4C010AE3}" name="Column5230"/>
    <tableColumn id="5237" xr3:uid="{2ACAA55D-4E6A-485C-ADFB-88D21AA0A7B4}" name="Column5231"/>
    <tableColumn id="5238" xr3:uid="{7255679B-9C58-4E9C-AB2C-A7F766CE2B95}" name="Column5232"/>
    <tableColumn id="5239" xr3:uid="{C3F74541-6DE6-4E87-BD99-48CE18F4D01D}" name="Column5233"/>
    <tableColumn id="5240" xr3:uid="{56380EAA-3427-455E-90C0-52E3EBC9961D}" name="Column5234"/>
    <tableColumn id="5241" xr3:uid="{73C6C074-4D29-466B-926F-39703BCD9665}" name="Column5235"/>
    <tableColumn id="5242" xr3:uid="{C59C4815-3BD5-41EC-819E-55CA472D5A2A}" name="Column5236"/>
    <tableColumn id="5243" xr3:uid="{B726A08F-58AA-407D-9C28-1A124AE3AF1E}" name="Column5237"/>
    <tableColumn id="5244" xr3:uid="{3CB1FD93-6648-48B7-9E24-891E9C8582F4}" name="Column5238"/>
    <tableColumn id="5245" xr3:uid="{AA0A591D-430A-47EA-9B67-0A5AB5BD45D4}" name="Column5239"/>
    <tableColumn id="5246" xr3:uid="{A8EE5583-9A79-41B6-9719-E16DCE48697E}" name="Column5240"/>
    <tableColumn id="5247" xr3:uid="{1D0B67AB-084D-469D-A265-8347310ED6C1}" name="Column5241"/>
    <tableColumn id="5248" xr3:uid="{D6CB5B58-7D46-4AB9-B496-D118B68718EB}" name="Column5242"/>
    <tableColumn id="5249" xr3:uid="{BDF07CEF-2CFB-46BC-AEDA-D4A4C5A7CB8E}" name="Column5243"/>
    <tableColumn id="5250" xr3:uid="{069E719C-B9E8-445A-A860-F72BE3456071}" name="Column5244"/>
    <tableColumn id="5251" xr3:uid="{D57706F0-226D-4CDB-9630-9753B9CFA39A}" name="Column5245"/>
    <tableColumn id="5252" xr3:uid="{89722F00-7167-4CC3-A957-8E44062772E7}" name="Column5246"/>
    <tableColumn id="5253" xr3:uid="{B8B5380E-C0B9-43AD-8F62-C8CC7BE46F77}" name="Column5247"/>
    <tableColumn id="5254" xr3:uid="{1C2521FB-0FEA-43F6-8A26-0D0A3003B035}" name="Column5248"/>
    <tableColumn id="5255" xr3:uid="{C11EAC50-CCF8-4FED-975F-76B8DB3A84B2}" name="Column5249"/>
    <tableColumn id="5256" xr3:uid="{0333C82F-33A2-487D-90CF-AAB0953110B1}" name="Column5250"/>
    <tableColumn id="5257" xr3:uid="{657E4438-5335-4D6A-9CA0-9E8ECAE7FFD1}" name="Column5251"/>
    <tableColumn id="5258" xr3:uid="{8C8953B4-A9C7-4FB1-8507-8E5A1B22062D}" name="Column5252"/>
    <tableColumn id="5259" xr3:uid="{B760C20F-CC27-449B-B6BC-7D00FDCFC3DF}" name="Column5253"/>
    <tableColumn id="5260" xr3:uid="{D6890BC4-4AD0-4E22-B74B-6A04B0F0DF5C}" name="Column5254"/>
    <tableColumn id="5261" xr3:uid="{09BAC15B-6DD3-4D78-BE70-C70FB0A8B007}" name="Column5255"/>
    <tableColumn id="5262" xr3:uid="{FB056D3C-873F-4DDF-A3D4-8B0E7FE5E957}" name="Column5256"/>
    <tableColumn id="5263" xr3:uid="{FF54F0BD-3690-4709-B9C4-C3616F0D46D4}" name="Column5257"/>
    <tableColumn id="5264" xr3:uid="{4F2D132E-BF0B-4479-9E66-780B0BC738D2}" name="Column5258"/>
    <tableColumn id="5265" xr3:uid="{5F71B28A-1A10-4A1E-AFD1-173933EFE681}" name="Column5259"/>
    <tableColumn id="5266" xr3:uid="{7C39F9CF-0348-4E96-9D5E-3437FA0E784F}" name="Column5260"/>
    <tableColumn id="5267" xr3:uid="{2DB3FA0C-1293-4981-92AD-B0F85D4ACEC8}" name="Column5261"/>
    <tableColumn id="5268" xr3:uid="{582C5A16-08CF-4E6D-B5BD-696B491BD764}" name="Column5262"/>
    <tableColumn id="5269" xr3:uid="{CFB8F5C5-E3FA-4BF0-8625-5B25278B9E47}" name="Column5263"/>
    <tableColumn id="5270" xr3:uid="{CAE6F404-E3B7-490F-97BC-2007380ABB1E}" name="Column5264"/>
    <tableColumn id="5271" xr3:uid="{2B92A1D3-63BE-4ACC-A5DE-0A9B18E5CBC5}" name="Column5265"/>
    <tableColumn id="5272" xr3:uid="{1AE3C51D-2B5A-4022-81CE-36FCD09529AA}" name="Column5266"/>
    <tableColumn id="5273" xr3:uid="{E19A2BE2-970C-40FA-BB55-29631AF01B95}" name="Column5267"/>
    <tableColumn id="5274" xr3:uid="{C90D00AB-416A-44E4-9A7D-B813719D7523}" name="Column5268"/>
    <tableColumn id="5275" xr3:uid="{C6008AA3-DCED-40A2-BF36-13CD83EFDF0A}" name="Column5269"/>
    <tableColumn id="5276" xr3:uid="{8A07D943-AD75-46DB-A715-2CC1636218E3}" name="Column5270"/>
    <tableColumn id="5277" xr3:uid="{AF61C010-2EA6-49AA-BC8F-24B44C596184}" name="Column5271"/>
    <tableColumn id="5278" xr3:uid="{DFBE464D-4D4E-41C3-98A3-B9088C3B05CA}" name="Column5272"/>
    <tableColumn id="5279" xr3:uid="{57A142D7-0B77-4ADD-BD99-A03AA3CCD22E}" name="Column5273"/>
    <tableColumn id="5280" xr3:uid="{7EB430B5-1C10-4EEA-9786-2ECB73DF1240}" name="Column5274"/>
    <tableColumn id="5281" xr3:uid="{DE6AC74C-E385-4E21-B514-97982DA462C1}" name="Column5275"/>
    <tableColumn id="5282" xr3:uid="{B143D360-9A5B-4CDF-B29A-DC5BB8FF92B0}" name="Column5276"/>
    <tableColumn id="5283" xr3:uid="{86C59CF0-AD94-4AF6-B0C6-942DDB1DCDFE}" name="Column5277"/>
    <tableColumn id="5284" xr3:uid="{3BBCC715-B80E-4A33-98E1-62108DC6A74E}" name="Column5278"/>
    <tableColumn id="5285" xr3:uid="{E39219AD-9FCE-420A-92C3-0FEDA4B98643}" name="Column5279"/>
    <tableColumn id="5286" xr3:uid="{B5642D32-4339-440B-83EE-DF22507128AF}" name="Column5280"/>
    <tableColumn id="5287" xr3:uid="{6E37227F-7C5B-42B1-BDC0-8A0778B09948}" name="Column5281"/>
    <tableColumn id="5288" xr3:uid="{BD11244C-82A6-494E-B915-344AF2ED2EA1}" name="Column5282"/>
    <tableColumn id="5289" xr3:uid="{05271FDA-6A5F-4FBE-867C-2A52CD2598C9}" name="Column5283"/>
    <tableColumn id="5290" xr3:uid="{5CB7FC0F-54B1-406F-A037-499871D85537}" name="Column5284"/>
    <tableColumn id="5291" xr3:uid="{368CA127-08EA-4A3B-80A2-F530194F5FB4}" name="Column5285"/>
    <tableColumn id="5292" xr3:uid="{470BA9B6-733B-420E-8737-65B01307CA0E}" name="Column5286"/>
    <tableColumn id="5293" xr3:uid="{63A922EF-CFBA-4424-8429-8827A4B7D067}" name="Column5287"/>
    <tableColumn id="5294" xr3:uid="{5FDE9EE9-9D9E-4D43-A84E-E5EFA4B6EB41}" name="Column5288"/>
    <tableColumn id="5295" xr3:uid="{D4E44B56-AFC9-4EC7-B7D1-90A5D701B4BB}" name="Column5289"/>
    <tableColumn id="5296" xr3:uid="{69B5973B-3157-46AD-AA70-0E45FB357A89}" name="Column5290"/>
    <tableColumn id="5297" xr3:uid="{18A74F1D-348A-4A79-8613-2A5640F65653}" name="Column5291"/>
    <tableColumn id="5298" xr3:uid="{E7D8D97A-AD45-4C11-9063-7D8EE293EE73}" name="Column5292"/>
    <tableColumn id="5299" xr3:uid="{19CFB110-C20F-4EE2-95FC-05FCBEE71772}" name="Column5293"/>
    <tableColumn id="5300" xr3:uid="{633C6F81-DCB9-4CC0-9A58-9AEE011551FE}" name="Column5294"/>
    <tableColumn id="5301" xr3:uid="{020FD78D-DA54-48F4-9D6D-5E144E41185A}" name="Column5295"/>
    <tableColumn id="5302" xr3:uid="{F37EA01F-AA15-45E9-836A-B574EA6A2FE7}" name="Column5296"/>
    <tableColumn id="5303" xr3:uid="{3FAF8443-4BDF-4E7E-AFC2-55A8B9C41346}" name="Column5297"/>
    <tableColumn id="5304" xr3:uid="{49C15E39-FB62-47BB-91FC-6A96A45E6FFD}" name="Column5298"/>
    <tableColumn id="5305" xr3:uid="{D48B64FD-9F02-4E8E-A2C2-A94D38EB2605}" name="Column5299"/>
    <tableColumn id="5306" xr3:uid="{E0C5DA2E-0577-4E71-9F26-43210737C9DA}" name="Column5300"/>
    <tableColumn id="5307" xr3:uid="{0E4951D1-27C4-43C3-9CA6-09243CA0CE97}" name="Column5301"/>
    <tableColumn id="5308" xr3:uid="{1282F1B9-7921-4779-8A82-218260649CCD}" name="Column5302"/>
    <tableColumn id="5309" xr3:uid="{8C2BE634-13B9-473D-BC7A-D77487D85F66}" name="Column5303"/>
    <tableColumn id="5310" xr3:uid="{BC5EA32C-6B57-4B1F-A4E6-D93AA84CC945}" name="Column5304"/>
    <tableColumn id="5311" xr3:uid="{B8B064B6-4926-4EEB-A808-361C7E0D70D2}" name="Column5305"/>
    <tableColumn id="5312" xr3:uid="{6264A0B6-2C6A-4A36-A105-BD6EF8D69432}" name="Column5306"/>
    <tableColumn id="5313" xr3:uid="{F330004F-640A-40B6-AC1A-E5CBE44970BE}" name="Column5307"/>
    <tableColumn id="5314" xr3:uid="{FBB31560-68C2-42CB-9AAA-F353AED456FE}" name="Column5308"/>
    <tableColumn id="5315" xr3:uid="{86F31DAB-202B-4F64-B4FF-8642511659D1}" name="Column5309"/>
    <tableColumn id="5316" xr3:uid="{7FF2640B-CE9F-4A05-B1DC-78B632F1969F}" name="Column5310"/>
    <tableColumn id="5317" xr3:uid="{692576C1-E2F8-4393-9CBA-31582F8950D7}" name="Column5311"/>
    <tableColumn id="5318" xr3:uid="{FD9E9DA9-E7E9-4E2D-B4FD-5B0E328BEE10}" name="Column5312"/>
    <tableColumn id="5319" xr3:uid="{88FDFA15-3CD8-4757-9654-7AF5E2A2C5B5}" name="Column5313"/>
    <tableColumn id="5320" xr3:uid="{A6A84B44-B981-4EE9-BF3F-B665155E0034}" name="Column5314"/>
    <tableColumn id="5321" xr3:uid="{7B0E863E-B0AF-49AA-BBA4-DDF473A4C368}" name="Column5315"/>
    <tableColumn id="5322" xr3:uid="{4A82EFA1-ADF8-415C-886D-ED9FAB1B8D80}" name="Column5316"/>
    <tableColumn id="5323" xr3:uid="{BBC6BEFF-8A68-41D1-9BC0-6E6890D8FF02}" name="Column5317"/>
    <tableColumn id="5324" xr3:uid="{D126D3FE-8816-45E7-9A12-FC498A51DB57}" name="Column5318"/>
    <tableColumn id="5325" xr3:uid="{59362DD2-76E3-4E77-AC1C-A02FAACBBFF4}" name="Column5319"/>
    <tableColumn id="5326" xr3:uid="{5060115B-FEED-4910-BAC3-5026E968798A}" name="Column5320"/>
    <tableColumn id="5327" xr3:uid="{3F2DF73E-DECB-41DD-B812-3B40456AF1B1}" name="Column5321"/>
    <tableColumn id="5328" xr3:uid="{322D8070-00E2-4491-9F3E-98F7C1410F6B}" name="Column5322"/>
    <tableColumn id="5329" xr3:uid="{439EA1DE-B0E8-4982-899C-7EB80F81B1AD}" name="Column5323"/>
    <tableColumn id="5330" xr3:uid="{D763B543-E795-4E78-B28C-C00C9355DAAB}" name="Column5324"/>
    <tableColumn id="5331" xr3:uid="{CB3ADCA3-FFC9-4F6B-9931-6FDD09978D45}" name="Column5325"/>
    <tableColumn id="5332" xr3:uid="{C895071D-05B7-4CAC-8B9C-18F803669CCC}" name="Column5326"/>
    <tableColumn id="5333" xr3:uid="{93E6A8F3-47CA-4725-B36F-633995272FBA}" name="Column5327"/>
    <tableColumn id="5334" xr3:uid="{E12A61C9-5705-41C9-B2EB-9114A36E34DF}" name="Column5328"/>
    <tableColumn id="5335" xr3:uid="{DCFB6723-7BF9-4D5C-88BC-8E74F692353B}" name="Column5329"/>
    <tableColumn id="5336" xr3:uid="{2053041E-B775-47C8-85A2-EE0248D38054}" name="Column5330"/>
    <tableColumn id="5337" xr3:uid="{D287B781-ECF9-4217-9425-EB598139BA6C}" name="Column5331"/>
    <tableColumn id="5338" xr3:uid="{D6C6BDA7-20F5-4BEF-A16A-CCBA875949BD}" name="Column5332"/>
    <tableColumn id="5339" xr3:uid="{547F32D8-6389-433A-9629-DFD6537AC02E}" name="Column5333"/>
    <tableColumn id="5340" xr3:uid="{736733E1-52D6-46A9-BF42-88EE6FC9A580}" name="Column5334"/>
    <tableColumn id="5341" xr3:uid="{39C972E2-F43F-404F-8BA5-531404A66335}" name="Column5335"/>
    <tableColumn id="5342" xr3:uid="{C5164481-766F-4BC8-BA20-81D3F96B1B93}" name="Column5336"/>
    <tableColumn id="5343" xr3:uid="{A384B07E-CABE-4C53-A4D9-92CB9D594F1D}" name="Column5337"/>
    <tableColumn id="5344" xr3:uid="{13BEB51B-DDAB-441B-9019-1CBE7005C7AE}" name="Column5338"/>
    <tableColumn id="5345" xr3:uid="{47717EDA-F204-4F99-BD54-D842AA7E692C}" name="Column5339"/>
    <tableColumn id="5346" xr3:uid="{C23EF3D0-91DB-4E0E-843E-99735E046623}" name="Column5340"/>
    <tableColumn id="5347" xr3:uid="{C094AA35-3C87-45AA-8A86-7834068F4480}" name="Column5341"/>
    <tableColumn id="5348" xr3:uid="{E20C8C56-98E7-4AEC-B5C6-5BC0367DDF01}" name="Column5342"/>
    <tableColumn id="5349" xr3:uid="{5E48D22B-344F-4242-960E-7A31391B7487}" name="Column5343"/>
    <tableColumn id="5350" xr3:uid="{82B01F19-8FBE-4512-99DC-D6ECEA4907FB}" name="Column5344"/>
    <tableColumn id="5351" xr3:uid="{B6DF37EB-19A4-4F66-8EEE-66EDA811F7E8}" name="Column5345"/>
    <tableColumn id="5352" xr3:uid="{F634A2E0-2206-41A0-B1E6-855E3DA4DD08}" name="Column5346"/>
    <tableColumn id="5353" xr3:uid="{1533A095-624B-427D-B785-4139327E3094}" name="Column5347"/>
    <tableColumn id="5354" xr3:uid="{4634F16D-42ED-4804-BFCD-A0A68B33DF24}" name="Column5348"/>
    <tableColumn id="5355" xr3:uid="{657A5ABA-B82A-449C-B45B-B3C3F09EE536}" name="Column5349"/>
    <tableColumn id="5356" xr3:uid="{9C13A796-D956-4D1B-99CB-4CFA6EB5948E}" name="Column5350"/>
    <tableColumn id="5357" xr3:uid="{86FD920F-F28A-4009-98AF-FE22A4A27308}" name="Column5351"/>
    <tableColumn id="5358" xr3:uid="{9F9A54A0-D32C-4C87-8DCC-55DDFA384CDE}" name="Column5352"/>
    <tableColumn id="5359" xr3:uid="{6B557827-A601-462A-8A78-281FECB46942}" name="Column5353"/>
    <tableColumn id="5360" xr3:uid="{E429C57A-A680-4F07-AA77-5087585C0096}" name="Column5354"/>
    <tableColumn id="5361" xr3:uid="{D4CF02DA-7938-49D6-9AFD-0C95669E3862}" name="Column5355"/>
    <tableColumn id="5362" xr3:uid="{55C5751A-405E-415A-BCAB-CEA515D16000}" name="Column5356"/>
    <tableColumn id="5363" xr3:uid="{F3CE51B3-B960-472F-AFF7-7AF0A8EB977B}" name="Column5357"/>
    <tableColumn id="5364" xr3:uid="{89278E83-50DA-42EE-AA4A-52629CA5A897}" name="Column5358"/>
    <tableColumn id="5365" xr3:uid="{917EE18C-601A-4E3D-B1B7-243BD52FACEB}" name="Column5359"/>
    <tableColumn id="5366" xr3:uid="{DA3AB6FB-8F65-4583-B604-1BCA845772C2}" name="Column5360"/>
    <tableColumn id="5367" xr3:uid="{EB6EEEFD-4CBC-4721-ABD4-DAD28D602091}" name="Column5361"/>
    <tableColumn id="5368" xr3:uid="{C3BFA0F1-F89A-4214-BD05-879EB22CEAEE}" name="Column5362"/>
    <tableColumn id="5369" xr3:uid="{283B1F27-B95B-48C8-8573-5A6277714A1E}" name="Column5363"/>
    <tableColumn id="5370" xr3:uid="{6DBB079F-95B8-4B55-B44F-929B72FA4B62}" name="Column5364"/>
    <tableColumn id="5371" xr3:uid="{3CC019FF-16CE-4F55-A3CB-5A1F0297EDF4}" name="Column5365"/>
    <tableColumn id="5372" xr3:uid="{91B99D03-8B96-4B65-A2B2-CE824C073A45}" name="Column5366"/>
    <tableColumn id="5373" xr3:uid="{C49D4BF3-E61D-4C92-8F09-9A655CED9A40}" name="Column5367"/>
    <tableColumn id="5374" xr3:uid="{ED62B574-DDC0-4837-9186-A3AB4BECC778}" name="Column5368"/>
    <tableColumn id="5375" xr3:uid="{3B377CD4-9C08-45E9-8814-24D6BE227171}" name="Column5369"/>
    <tableColumn id="5376" xr3:uid="{FA3EEE22-0F28-4F9E-9A4B-A145E4B2688F}" name="Column5370"/>
    <tableColumn id="5377" xr3:uid="{F8B2D762-EADE-49C3-B9B2-17DD92B2C42E}" name="Column5371"/>
    <tableColumn id="5378" xr3:uid="{091F8389-715B-40ED-B6CF-F29BE80F4F05}" name="Column5372"/>
    <tableColumn id="5379" xr3:uid="{71476CAC-5970-488A-A040-9A513E96F2B5}" name="Column5373"/>
    <tableColumn id="5380" xr3:uid="{B9B739CC-E3BD-4065-A40C-275CD4B4D009}" name="Column5374"/>
    <tableColumn id="5381" xr3:uid="{607B8645-0062-43C3-96A5-BDF4FC3D6859}" name="Column5375"/>
    <tableColumn id="5382" xr3:uid="{088C4F55-E87C-460A-8DAC-33AD1A15443B}" name="Column5376"/>
    <tableColumn id="5383" xr3:uid="{5E12F8A7-216E-4040-81BE-0243248C52E6}" name="Column5377"/>
    <tableColumn id="5384" xr3:uid="{2F26BE0E-6CF3-4400-B39D-D6BD94699A6B}" name="Column5378"/>
    <tableColumn id="5385" xr3:uid="{C7AEB33E-FC22-433A-B6F5-AD4A046AEA82}" name="Column5379"/>
    <tableColumn id="5386" xr3:uid="{62149EAC-EB55-4AB5-ADA6-88B2F689BB4B}" name="Column5380"/>
    <tableColumn id="5387" xr3:uid="{CAB5F554-C3A6-4576-A945-DC72973C1036}" name="Column5381"/>
    <tableColumn id="5388" xr3:uid="{83127C3D-4C8A-4881-9CE0-2B4981F2A6D5}" name="Column5382"/>
    <tableColumn id="5389" xr3:uid="{9BD41ACC-AE46-476B-B2AC-352F162D649C}" name="Column5383"/>
    <tableColumn id="5390" xr3:uid="{3499E6F1-DC7A-4898-8A4E-FAE79A9D9EF0}" name="Column5384"/>
    <tableColumn id="5391" xr3:uid="{2AFEAEF5-BE92-4343-BF8C-2D6E75E56741}" name="Column5385"/>
    <tableColumn id="5392" xr3:uid="{4E04E23C-8BCB-4EF3-8E6F-0CE9B41C8936}" name="Column5386"/>
    <tableColumn id="5393" xr3:uid="{65548E42-6111-43CE-9A74-307EBFDF3D16}" name="Column5387"/>
    <tableColumn id="5394" xr3:uid="{CB9BB544-0A9C-4983-84C5-75A7FA20E50B}" name="Column5388"/>
    <tableColumn id="5395" xr3:uid="{3C9BC18E-FEA7-423A-BE4C-5544C2CB7742}" name="Column5389"/>
    <tableColumn id="5396" xr3:uid="{07BA2210-1417-4552-9493-405C4B947868}" name="Column5390"/>
    <tableColumn id="5397" xr3:uid="{D77A918B-1F59-4F1B-82B3-E1DF13622CA4}" name="Column5391"/>
    <tableColumn id="5398" xr3:uid="{8E917A0D-B2EE-4BDF-B2B7-6B365846ABB6}" name="Column5392"/>
    <tableColumn id="5399" xr3:uid="{2DF6E3A2-683A-4673-9B3F-BFFD3B99E8D0}" name="Column5393"/>
    <tableColumn id="5400" xr3:uid="{B89DCFA6-07F0-4015-B3D2-E157EDA9C757}" name="Column5394"/>
    <tableColumn id="5401" xr3:uid="{512192BD-7D86-4F8F-9770-F135BA5089CC}" name="Column5395"/>
    <tableColumn id="5402" xr3:uid="{D6123251-84E6-489C-AF69-2E69F6CDD28E}" name="Column5396"/>
    <tableColumn id="5403" xr3:uid="{9737BF4F-C763-4712-AC22-A95BC7210467}" name="Column5397"/>
    <tableColumn id="5404" xr3:uid="{1438025B-4E08-41F7-9FD7-06AC052A64D4}" name="Column5398"/>
    <tableColumn id="5405" xr3:uid="{05B51434-E06D-4F7B-8D6D-6675FA8F78AA}" name="Column5399"/>
    <tableColumn id="5406" xr3:uid="{FD49A073-5F8E-40AA-964A-9313C38C6FDD}" name="Column5400"/>
    <tableColumn id="5407" xr3:uid="{A601508F-CF8A-48C3-8CE5-4A42F697F65C}" name="Column5401"/>
    <tableColumn id="5408" xr3:uid="{A906D608-C173-4D86-B1D4-A9176BE10E95}" name="Column5402"/>
    <tableColumn id="5409" xr3:uid="{F10F643F-2B42-49D3-BBE1-CD27C52D24ED}" name="Column5403"/>
    <tableColumn id="5410" xr3:uid="{E8A8D5EA-1A17-4DB3-A69B-41B2BC6755AD}" name="Column5404"/>
    <tableColumn id="5411" xr3:uid="{E15A447D-E5EE-4D69-BB18-CB676175D217}" name="Column5405"/>
    <tableColumn id="5412" xr3:uid="{D690FD18-8432-4764-8F68-81704B528307}" name="Column5406"/>
    <tableColumn id="5413" xr3:uid="{695FC773-5F14-4E3A-92CC-75C149591BC5}" name="Column5407"/>
    <tableColumn id="5414" xr3:uid="{33F06847-A760-4B67-AFD4-B9DD575B48DC}" name="Column5408"/>
    <tableColumn id="5415" xr3:uid="{84789E49-8706-4A98-8350-8B75CA17FB99}" name="Column5409"/>
    <tableColumn id="5416" xr3:uid="{B99CD47C-B293-42FF-A93A-16A70CFCC040}" name="Column5410"/>
    <tableColumn id="5417" xr3:uid="{0DDFB3C2-D302-4840-9024-7F0DD969BAFB}" name="Column5411"/>
    <tableColumn id="5418" xr3:uid="{E231330E-892F-460A-AE47-FEEE23F2021B}" name="Column5412"/>
    <tableColumn id="5419" xr3:uid="{315733C1-A653-4CF6-870B-6D0DAD32EBFE}" name="Column5413"/>
    <tableColumn id="5420" xr3:uid="{D38B9EEB-FC57-4599-AC96-5324B802B58D}" name="Column5414"/>
    <tableColumn id="5421" xr3:uid="{46FA2CF7-FEC2-4D42-AE13-0CBDE8E4F571}" name="Column5415"/>
    <tableColumn id="5422" xr3:uid="{01DB2CFC-7FB2-477C-8C85-85058BA24D85}" name="Column5416"/>
    <tableColumn id="5423" xr3:uid="{6E584F6F-A967-4DB5-83A6-C2B81285E8B7}" name="Column5417"/>
    <tableColumn id="5424" xr3:uid="{8482E7B1-8D4F-4861-AA62-D1C4EAC5D15A}" name="Column5418"/>
    <tableColumn id="5425" xr3:uid="{ABE345EA-8D45-4671-BAE3-36D946559CC3}" name="Column5419"/>
    <tableColumn id="5426" xr3:uid="{0544062F-483C-45A2-95CC-CDE9806C6D1D}" name="Column5420"/>
    <tableColumn id="5427" xr3:uid="{A3F9B054-97D8-4180-AD81-667ED1811C03}" name="Column5421"/>
    <tableColumn id="5428" xr3:uid="{981E011B-4A10-4461-B173-721FDF75CB8F}" name="Column5422"/>
    <tableColumn id="5429" xr3:uid="{8BA1DAEE-7038-4541-90F7-6A40A051E16B}" name="Column5423"/>
    <tableColumn id="5430" xr3:uid="{F444C24A-4DD7-405B-8149-FA3EA9834A92}" name="Column5424"/>
    <tableColumn id="5431" xr3:uid="{21182924-9F17-48C4-BAB2-5428261E66F1}" name="Column5425"/>
    <tableColumn id="5432" xr3:uid="{894C71D3-EC2B-4651-8164-245DAA978C04}" name="Column5426"/>
    <tableColumn id="5433" xr3:uid="{3BADA176-3802-4FFF-9DF6-81304F5E4A65}" name="Column5427"/>
    <tableColumn id="5434" xr3:uid="{D2A414FC-B9CF-4953-B8FC-C08130138BCC}" name="Column5428"/>
    <tableColumn id="5435" xr3:uid="{86D5FB47-83A6-446B-A971-11011069623E}" name="Column5429"/>
    <tableColumn id="5436" xr3:uid="{450F0B68-356C-46A3-AB26-45F9FB1284B8}" name="Column5430"/>
    <tableColumn id="5437" xr3:uid="{77ED4BB1-54EE-4AA6-9D24-2CC9020672D9}" name="Column5431"/>
    <tableColumn id="5438" xr3:uid="{5545A963-7B16-4883-95C1-0B9ADF276838}" name="Column5432"/>
    <tableColumn id="5439" xr3:uid="{5235B09A-D2E4-48AD-8379-C40A5FF1C3EA}" name="Column5433"/>
    <tableColumn id="5440" xr3:uid="{DA5D9BD0-4DD7-4764-B5A4-1EC22BDD1C90}" name="Column5434"/>
    <tableColumn id="5441" xr3:uid="{FFE07EE5-BB28-4F03-B8DA-79848EFDF16C}" name="Column5435"/>
    <tableColumn id="5442" xr3:uid="{06EA7B33-5FEE-4138-866E-C8DA2B72E06F}" name="Column5436"/>
    <tableColumn id="5443" xr3:uid="{C85CD4D4-D190-4933-8A88-9FFBDBFFF77A}" name="Column5437"/>
    <tableColumn id="5444" xr3:uid="{609B9C09-7A0C-4A07-9A89-97E2C59F8F49}" name="Column5438"/>
    <tableColumn id="5445" xr3:uid="{AC60835C-0CAC-45FD-9674-22E3D642E737}" name="Column5439"/>
    <tableColumn id="5446" xr3:uid="{93D645C1-3026-4E27-905D-C76F129EBD6B}" name="Column5440"/>
    <tableColumn id="5447" xr3:uid="{41289940-E4BE-45DA-8FF4-0414775D48AD}" name="Column5441"/>
    <tableColumn id="5448" xr3:uid="{B3FF5482-F69F-4826-8D43-80C940C1A2B5}" name="Column5442"/>
    <tableColumn id="5449" xr3:uid="{F9BDE637-EA96-488E-A254-1FC732C24E67}" name="Column5443"/>
    <tableColumn id="5450" xr3:uid="{72374205-8A49-4E3B-AE5A-D8E68B9F8379}" name="Column5444"/>
    <tableColumn id="5451" xr3:uid="{B0D200A1-6D3D-4864-9C06-0136411A3DD3}" name="Column5445"/>
    <tableColumn id="5452" xr3:uid="{72DC9893-8B49-4EAF-95B3-2ECF11B7B93E}" name="Column5446"/>
    <tableColumn id="5453" xr3:uid="{7CF127C2-F5CC-46F1-8AB6-601A638E9918}" name="Column5447"/>
    <tableColumn id="5454" xr3:uid="{74336887-09B1-4679-9BAF-E413C16A5CB8}" name="Column5448"/>
    <tableColumn id="5455" xr3:uid="{40206F26-C504-49D8-B7B2-E8EF07B4B83A}" name="Column5449"/>
    <tableColumn id="5456" xr3:uid="{C5A39436-F569-443A-A1AA-F3A7D164900D}" name="Column5450"/>
    <tableColumn id="5457" xr3:uid="{75FD9AD8-1037-4A90-B91C-7F0104ED25DB}" name="Column5451"/>
    <tableColumn id="5458" xr3:uid="{170B2B94-10C3-4CBD-AE79-3011888C3354}" name="Column5452"/>
    <tableColumn id="5459" xr3:uid="{1D2B747C-C123-468D-955B-0EFA9B961821}" name="Column5453"/>
    <tableColumn id="5460" xr3:uid="{576D2718-58C5-4874-88D8-166628E4D785}" name="Column5454"/>
    <tableColumn id="5461" xr3:uid="{3D3FF2A5-C2B3-41CE-8C38-AA258556935C}" name="Column5455"/>
    <tableColumn id="5462" xr3:uid="{3EADA1FD-D71A-4084-A05D-6409682D9B01}" name="Column5456"/>
    <tableColumn id="5463" xr3:uid="{A056BC32-DA6C-49AC-B473-80A6978EEFE9}" name="Column5457"/>
    <tableColumn id="5464" xr3:uid="{B49D6BF7-D8A4-4796-A4F1-7CE370178581}" name="Column5458"/>
    <tableColumn id="5465" xr3:uid="{D3CEA013-DB12-4028-A647-9C198D8A4838}" name="Column5459"/>
    <tableColumn id="5466" xr3:uid="{FDDA7017-9A5C-4087-AC20-8646CAF3087E}" name="Column5460"/>
    <tableColumn id="5467" xr3:uid="{31B12F00-7CD3-4DE7-BC39-CAC926873900}" name="Column5461"/>
    <tableColumn id="5468" xr3:uid="{AB21DD0C-78BB-42BE-B52D-C768C9776479}" name="Column5462"/>
    <tableColumn id="5469" xr3:uid="{615CBDAB-29F0-453F-AE1E-3327532F8CA1}" name="Column5463"/>
    <tableColumn id="5470" xr3:uid="{270F6D3F-E0C9-4AB5-B5BC-FDDB47B9C039}" name="Column5464"/>
    <tableColumn id="5471" xr3:uid="{218443B8-777F-40E5-92B6-B13EF1C00C88}" name="Column5465"/>
    <tableColumn id="5472" xr3:uid="{0A5CF1F8-4A16-4727-9422-788A816AB3E9}" name="Column5466"/>
    <tableColumn id="5473" xr3:uid="{E690A3AA-F005-44A7-848A-DDFE39F0189E}" name="Column5467"/>
    <tableColumn id="5474" xr3:uid="{DF18FF1B-ACA6-4A9E-B266-68DAC781D2F1}" name="Column5468"/>
    <tableColumn id="5475" xr3:uid="{84E328C6-0AB0-4E72-B326-C469BE3AAB28}" name="Column5469"/>
    <tableColumn id="5476" xr3:uid="{3F3D4189-8F20-4192-8C64-983AD93FECAD}" name="Column5470"/>
    <tableColumn id="5477" xr3:uid="{7EE8B460-5F00-4E23-B45A-B291761B74D0}" name="Column5471"/>
    <tableColumn id="5478" xr3:uid="{7A6192C1-895D-4C3B-931D-87BFD479C652}" name="Column5472"/>
    <tableColumn id="5479" xr3:uid="{CD1FF5B9-B26D-49E0-9D40-7C59C103821E}" name="Column5473"/>
    <tableColumn id="5480" xr3:uid="{8D996675-1291-453C-A849-371E59A24FB5}" name="Column5474"/>
    <tableColumn id="5481" xr3:uid="{8CE3656C-819A-41A6-8E88-D4EEB6C4391B}" name="Column5475"/>
    <tableColumn id="5482" xr3:uid="{533F3AC9-EF41-4D10-AD12-2A0353B459BE}" name="Column5476"/>
    <tableColumn id="5483" xr3:uid="{3A35D04E-54EC-4DAE-9804-F713AF0A43FD}" name="Column5477"/>
    <tableColumn id="5484" xr3:uid="{3C841585-762D-466B-A80E-24B9844C1967}" name="Column5478"/>
    <tableColumn id="5485" xr3:uid="{70D86BA1-2714-4A7A-A7F0-412F336878B2}" name="Column5479"/>
    <tableColumn id="5486" xr3:uid="{FA3E574F-E802-4614-9BBE-BB7FC25A1C91}" name="Column5480"/>
    <tableColumn id="5487" xr3:uid="{7C7B07A6-2F48-4F64-8F21-835AF1903B51}" name="Column5481"/>
    <tableColumn id="5488" xr3:uid="{F4C2904F-8666-4FE4-8039-5A699DDB3843}" name="Column5482"/>
    <tableColumn id="5489" xr3:uid="{B4E00408-3C5F-49F2-938B-DC5F3C69EC73}" name="Column5483"/>
    <tableColumn id="5490" xr3:uid="{C840A767-4D8A-4A75-B167-6F161AB04E13}" name="Column5484"/>
    <tableColumn id="5491" xr3:uid="{687EB84E-9AB9-438E-B984-299B0C4D852C}" name="Column5485"/>
    <tableColumn id="5492" xr3:uid="{9CF7CF6D-C802-4F6D-A58E-38BA20973BE4}" name="Column5486"/>
    <tableColumn id="5493" xr3:uid="{4549B0C1-9533-492D-BF0E-480FFF0C6BB0}" name="Column5487"/>
    <tableColumn id="5494" xr3:uid="{42AB1478-218F-47E8-BF7E-DF8080D8B692}" name="Column5488"/>
    <tableColumn id="5495" xr3:uid="{DE4CBA66-A733-4632-86F1-A5841C66EAC3}" name="Column5489"/>
    <tableColumn id="5496" xr3:uid="{216E16B0-B701-4394-89AD-3D57C40857F7}" name="Column5490"/>
    <tableColumn id="5497" xr3:uid="{1D4D4B03-97EE-4FDC-87D9-0402418DC848}" name="Column5491"/>
    <tableColumn id="5498" xr3:uid="{66CC5046-D55F-430C-8325-AA0D143641A6}" name="Column5492"/>
    <tableColumn id="5499" xr3:uid="{E1E8F0F4-9E73-42B9-BD4B-FD76E5271FFF}" name="Column5493"/>
    <tableColumn id="5500" xr3:uid="{7C643362-BE97-4425-8F88-BB89E93C748B}" name="Column5494"/>
    <tableColumn id="5501" xr3:uid="{8D9E78A5-2FDD-4B21-A716-C24846EBF78B}" name="Column5495"/>
    <tableColumn id="5502" xr3:uid="{4AE46415-19F4-4861-BE09-DFBA09CBF9EE}" name="Column5496"/>
    <tableColumn id="5503" xr3:uid="{FB420BE9-1810-4FF4-974F-02972408F359}" name="Column5497"/>
    <tableColumn id="5504" xr3:uid="{BFA6D89F-7D6B-4EBA-8969-BB61CE8D63AC}" name="Column5498"/>
    <tableColumn id="5505" xr3:uid="{4DDD93CE-C0A4-48CE-A115-09115096AC85}" name="Column5499"/>
    <tableColumn id="5506" xr3:uid="{DC28E6EC-86B9-424D-9F8A-7A7A2FE40FDA}" name="Column5500"/>
    <tableColumn id="5507" xr3:uid="{96FEFF9E-0221-4B91-B338-039987FE8E01}" name="Column5501"/>
    <tableColumn id="5508" xr3:uid="{FBE29347-DFE3-4B5E-9B2C-F0B18A405FC2}" name="Column5502"/>
    <tableColumn id="5509" xr3:uid="{D99F1B32-4F0D-45D4-8C7A-8C4E7BE56A19}" name="Column5503"/>
    <tableColumn id="5510" xr3:uid="{F45BBCC2-47E5-4635-AFEF-360B2D2F0582}" name="Column5504"/>
    <tableColumn id="5511" xr3:uid="{D5F0F490-1969-4BB6-AF65-F16B176F3128}" name="Column5505"/>
    <tableColumn id="5512" xr3:uid="{E59B8E64-5A35-4E77-B636-DC506BB87B4B}" name="Column5506"/>
    <tableColumn id="5513" xr3:uid="{CB1F043B-69B2-44EE-B7CD-D53E35E716C3}" name="Column5507"/>
    <tableColumn id="5514" xr3:uid="{E3A71AD5-BE0C-4B65-A325-758B0A4A69C9}" name="Column5508"/>
    <tableColumn id="5515" xr3:uid="{ECD5717C-132F-4247-9FF6-72E31EDBBC59}" name="Column5509"/>
    <tableColumn id="5516" xr3:uid="{3FCB9F83-8922-41F2-9485-0E77E3F4EE86}" name="Column5510"/>
    <tableColumn id="5517" xr3:uid="{A6CB1343-402A-4B9E-AD2D-0FF1F78DF13A}" name="Column5511"/>
    <tableColumn id="5518" xr3:uid="{26E92F49-C639-428E-A486-2D210842DCDE}" name="Column5512"/>
    <tableColumn id="5519" xr3:uid="{64A1AE62-856B-4AA6-91F3-8A06A4FCAB69}" name="Column5513"/>
    <tableColumn id="5520" xr3:uid="{56A1DB26-8AE0-41D5-9EA9-93E7AF602E97}" name="Column5514"/>
    <tableColumn id="5521" xr3:uid="{2A241169-3F46-4C94-A95F-AB81B0E8A764}" name="Column5515"/>
    <tableColumn id="5522" xr3:uid="{E23A9C98-C37E-41D2-9D02-6A9D9CA8FA58}" name="Column5516"/>
    <tableColumn id="5523" xr3:uid="{77620222-7FAE-43C7-BF5C-63809C27B21F}" name="Column5517"/>
    <tableColumn id="5524" xr3:uid="{8067263F-F7ED-49EF-8C55-9713C3D07C26}" name="Column5518"/>
    <tableColumn id="5525" xr3:uid="{7915DBE2-34E2-49A2-8523-D33B5CAE4CFD}" name="Column5519"/>
    <tableColumn id="5526" xr3:uid="{A70DC4CB-F22E-491A-8930-8D1EBE2E7DA6}" name="Column5520"/>
    <tableColumn id="5527" xr3:uid="{12B3413B-FBB8-400F-B72B-2DE08815CB6B}" name="Column5521"/>
    <tableColumn id="5528" xr3:uid="{3D70F6F9-0AA4-4199-92EF-3263FCA6FFE6}" name="Column5522"/>
    <tableColumn id="5529" xr3:uid="{7D9F5EE5-DAA5-433B-AE67-E9F4719F32D0}" name="Column5523"/>
    <tableColumn id="5530" xr3:uid="{C4008C7F-2EF8-400B-96DC-CB1EF6413D1A}" name="Column5524"/>
    <tableColumn id="5531" xr3:uid="{334E1EA6-7524-46A5-BD62-7E1CB547AD3E}" name="Column5525"/>
    <tableColumn id="5532" xr3:uid="{A2698B45-1D5B-4ECB-961E-C44E312CB287}" name="Column5526"/>
    <tableColumn id="5533" xr3:uid="{F346864F-8B9D-4510-B116-45ADD607574E}" name="Column5527"/>
    <tableColumn id="5534" xr3:uid="{89A75BE4-86F0-43B3-B231-BB3D1B1D0B5A}" name="Column5528"/>
    <tableColumn id="5535" xr3:uid="{F69DDF9D-D295-48E4-82FD-B5BB4342C656}" name="Column5529"/>
    <tableColumn id="5536" xr3:uid="{56473D25-7974-4803-9379-7D69001C7E3D}" name="Column5530"/>
    <tableColumn id="5537" xr3:uid="{F3127C40-62D2-4176-B9FC-C75E0C949164}" name="Column5531"/>
    <tableColumn id="5538" xr3:uid="{7FE11B18-6643-47BD-936A-ED56A4F56E68}" name="Column5532"/>
    <tableColumn id="5539" xr3:uid="{EEBD414C-7428-48AA-80AC-9F3AC073E992}" name="Column5533"/>
    <tableColumn id="5540" xr3:uid="{1A4D5AF9-7F64-4073-A60F-4A154A395BD7}" name="Column5534"/>
    <tableColumn id="5541" xr3:uid="{EDB51390-5C8C-4012-A637-33425C345973}" name="Column5535"/>
    <tableColumn id="5542" xr3:uid="{D11A4421-8697-40E2-9F93-02F1FFF0B916}" name="Column5536"/>
    <tableColumn id="5543" xr3:uid="{75B0E66E-D015-40E9-8342-9526AA0A9C3E}" name="Column5537"/>
    <tableColumn id="5544" xr3:uid="{C2AB7AF3-68AB-435D-9A58-446145ADD498}" name="Column5538"/>
    <tableColumn id="5545" xr3:uid="{EF88EA89-5B87-4B07-ADF7-F1A99FC5B904}" name="Column5539"/>
    <tableColumn id="5546" xr3:uid="{E1A9754D-CD03-439A-98B9-D8C3B5F9397B}" name="Column5540"/>
    <tableColumn id="5547" xr3:uid="{3A897A41-1E01-4A78-8682-D39C35196D62}" name="Column5541"/>
    <tableColumn id="5548" xr3:uid="{9F4E2BFC-77B9-40AA-A8D3-5EFACACCFDCB}" name="Column5542"/>
    <tableColumn id="5549" xr3:uid="{FED959C6-8304-4F18-A1D2-C2D3513DA32B}" name="Column5543"/>
    <tableColumn id="5550" xr3:uid="{42FE6810-E0B9-4300-BEE4-91C6416721D4}" name="Column5544"/>
    <tableColumn id="5551" xr3:uid="{5C14FDFE-40D1-4DFC-B3B3-D25D08C6DA1B}" name="Column5545"/>
    <tableColumn id="5552" xr3:uid="{A5DC6517-9428-408A-A113-79AC175C37CD}" name="Column5546"/>
    <tableColumn id="5553" xr3:uid="{1292053B-3A83-47CD-B8CE-CE936B14E2F6}" name="Column5547"/>
    <tableColumn id="5554" xr3:uid="{B275F2E5-7A23-4ADD-8798-47F633B5BE40}" name="Column5548"/>
    <tableColumn id="5555" xr3:uid="{C8FE03AD-58F3-468F-9E62-8A52BB836C7D}" name="Column5549"/>
    <tableColumn id="5556" xr3:uid="{16DE378B-59B4-440C-A76E-8B87FC9C98C0}" name="Column5550"/>
    <tableColumn id="5557" xr3:uid="{8B5173D2-F3CB-40B1-A081-CD817B0FFC39}" name="Column5551"/>
    <tableColumn id="5558" xr3:uid="{98405A04-42AB-4361-A7A6-C7C944261E6A}" name="Column5552"/>
    <tableColumn id="5559" xr3:uid="{4592FF6A-9CCC-438F-A991-72500E124DD5}" name="Column5553"/>
    <tableColumn id="5560" xr3:uid="{BC58B020-2F3C-4361-A1F6-69E4B0ECF4F5}" name="Column5554"/>
    <tableColumn id="5561" xr3:uid="{FC0C6972-ABD2-49DC-A4E6-C56B045F6A4E}" name="Column5555"/>
    <tableColumn id="5562" xr3:uid="{DC5D1A70-A480-425C-B4D9-6371B5139BD9}" name="Column5556"/>
    <tableColumn id="5563" xr3:uid="{ECDEE5FB-7BB6-481C-BEFD-B184392BC621}" name="Column5557"/>
    <tableColumn id="5564" xr3:uid="{0652483B-739F-4078-810E-76D3CE56CC57}" name="Column5558"/>
    <tableColumn id="5565" xr3:uid="{96ACAADD-9C37-4443-96BF-345239472380}" name="Column5559"/>
    <tableColumn id="5566" xr3:uid="{78480664-2291-40FF-8F52-250C40D78CF8}" name="Column5560"/>
    <tableColumn id="5567" xr3:uid="{2416427D-B1A6-4BFA-B651-9A9E8668AF67}" name="Column5561"/>
    <tableColumn id="5568" xr3:uid="{8FAD7FC3-FFE4-46BE-B759-8CDFA34B956F}" name="Column5562"/>
    <tableColumn id="5569" xr3:uid="{1020C652-3AEA-44E6-AB05-21ADA8BF50CF}" name="Column5563"/>
    <tableColumn id="5570" xr3:uid="{86AB1F94-8D2C-4BEA-A261-BAF62B9ADFA4}" name="Column5564"/>
    <tableColumn id="5571" xr3:uid="{BDE86753-EBA4-49B6-B35D-59E5549548E5}" name="Column5565"/>
    <tableColumn id="5572" xr3:uid="{3B25E832-29F3-4E04-AAA1-E5E94C82D242}" name="Column5566"/>
    <tableColumn id="5573" xr3:uid="{5737A279-B134-439C-9634-16C33DD8D24C}" name="Column5567"/>
    <tableColumn id="5574" xr3:uid="{6C60052F-64B7-4FA0-ACB4-D3E01DED587F}" name="Column5568"/>
    <tableColumn id="5575" xr3:uid="{E944ADE2-85B9-4F8F-95B8-5B4427E1C3C2}" name="Column5569"/>
    <tableColumn id="5576" xr3:uid="{DDEE3DD1-ED03-4972-ACAB-346486972E27}" name="Column5570"/>
    <tableColumn id="5577" xr3:uid="{A55834E5-99CE-42F8-B774-7004372A18D5}" name="Column5571"/>
    <tableColumn id="5578" xr3:uid="{A8E56D17-122D-4D13-B271-E25B20075AA7}" name="Column5572"/>
    <tableColumn id="5579" xr3:uid="{08E2F1DC-30D6-4AF1-BD72-6B1AC78CC29E}" name="Column5573"/>
    <tableColumn id="5580" xr3:uid="{4FF9BA2B-0B23-49A5-982D-C669315FD601}" name="Column5574"/>
    <tableColumn id="5581" xr3:uid="{3E9DD256-BA11-4E9D-8ABE-6303B1A07A24}" name="Column5575"/>
    <tableColumn id="5582" xr3:uid="{D1A7A3FF-F6D1-4A90-88D5-071E75E90EBE}" name="Column5576"/>
    <tableColumn id="5583" xr3:uid="{530C4B44-8A74-42C9-9860-B9C811897471}" name="Column5577"/>
    <tableColumn id="5584" xr3:uid="{E9041B59-5304-41E9-895F-4BC4F1CE0931}" name="Column5578"/>
    <tableColumn id="5585" xr3:uid="{463417A0-B866-456D-9E5F-F8E70BBCB095}" name="Column5579"/>
    <tableColumn id="5586" xr3:uid="{3F017397-3608-439F-AA94-19789B12E2B5}" name="Column5580"/>
    <tableColumn id="5587" xr3:uid="{CD1CF4EE-C87A-4CB0-B4CF-2721AE5C1296}" name="Column5581"/>
    <tableColumn id="5588" xr3:uid="{E89FB2E6-9E13-4AF5-8DEE-5F5A29392716}" name="Column5582"/>
    <tableColumn id="5589" xr3:uid="{A816FB2D-053D-4862-9B0E-01CDD65812FB}" name="Column5583"/>
    <tableColumn id="5590" xr3:uid="{C8D96BD6-EC35-40DC-91D3-1C466ABF7F3A}" name="Column5584"/>
    <tableColumn id="5591" xr3:uid="{99DA0D23-1FB4-44A7-B9DC-6AAF67EE2A79}" name="Column5585"/>
    <tableColumn id="5592" xr3:uid="{78B0F03C-25EB-4A11-B8DC-B4D3705D68FA}" name="Column5586"/>
    <tableColumn id="5593" xr3:uid="{2D8A4023-5292-4A37-A9E4-B1729B5541A3}" name="Column5587"/>
    <tableColumn id="5594" xr3:uid="{5A7792EA-C8DF-4703-AED9-F3F38D3750BB}" name="Column5588"/>
    <tableColumn id="5595" xr3:uid="{30EF30BB-0C1F-4FE9-9C2F-8D8BD24C253D}" name="Column5589"/>
    <tableColumn id="5596" xr3:uid="{6F8B97FC-6064-4704-AD96-471A69365BF9}" name="Column5590"/>
    <tableColumn id="5597" xr3:uid="{0416C0CD-2995-4E51-BC1A-86467A2C3DA5}" name="Column5591"/>
    <tableColumn id="5598" xr3:uid="{B7D3D7F3-C1ED-480A-9489-5E343DA9EA4D}" name="Column5592"/>
    <tableColumn id="5599" xr3:uid="{017D93B7-E808-4366-8118-2567F1EDCB2A}" name="Column5593"/>
    <tableColumn id="5600" xr3:uid="{0273026C-53C1-48D4-BAAF-B0A01D68244E}" name="Column5594"/>
    <tableColumn id="5601" xr3:uid="{F23911A8-545B-424A-B36C-3C6AE2A5AB2B}" name="Column5595"/>
    <tableColumn id="5602" xr3:uid="{C93DB9F2-827F-43C6-BA9E-58B4CFBFD949}" name="Column5596"/>
    <tableColumn id="5603" xr3:uid="{0E8E4607-ED21-4C27-8320-6A87189E4417}" name="Column5597"/>
    <tableColumn id="5604" xr3:uid="{89F21DD4-901B-43A1-AE91-7D660C26FD20}" name="Column5598"/>
    <tableColumn id="5605" xr3:uid="{EC69120B-6082-4525-ADD0-D505D107395F}" name="Column5599"/>
    <tableColumn id="5606" xr3:uid="{AACB3E49-6A73-4EED-9CF5-5E6D54324926}" name="Column5600"/>
    <tableColumn id="5607" xr3:uid="{2572E3E4-5C16-4150-AF40-8BCB4A6F6F32}" name="Column5601"/>
    <tableColumn id="5608" xr3:uid="{43F3376C-29A6-49B7-AE6E-F48855A91267}" name="Column5602"/>
    <tableColumn id="5609" xr3:uid="{68D18B47-55E4-46A2-85FB-B0D0007615B8}" name="Column5603"/>
    <tableColumn id="5610" xr3:uid="{5FAC43B8-55F7-4C9E-B9D5-01DE79901452}" name="Column5604"/>
    <tableColumn id="5611" xr3:uid="{1BB00C48-3A80-4B02-8A1A-152A6DF099A6}" name="Column5605"/>
    <tableColumn id="5612" xr3:uid="{64B907CF-321F-454A-9EE9-5E4C1CEE2667}" name="Column5606"/>
    <tableColumn id="5613" xr3:uid="{E5A9A837-2209-4D1E-9EE4-60D50CD0E9C7}" name="Column5607"/>
    <tableColumn id="5614" xr3:uid="{1535D89C-C52B-4199-AA0B-C242C405B39C}" name="Column5608"/>
    <tableColumn id="5615" xr3:uid="{9CDE43F3-F5D7-491F-B103-366915897901}" name="Column5609"/>
    <tableColumn id="5616" xr3:uid="{6C35DDED-A7CB-4AF9-A5C2-5686822C60D6}" name="Column5610"/>
    <tableColumn id="5617" xr3:uid="{3955DD99-38CF-44C3-B91D-F41D33BB3E0B}" name="Column5611"/>
    <tableColumn id="5618" xr3:uid="{7E089D33-906E-4EB4-B95F-485597B2E6BC}" name="Column5612"/>
    <tableColumn id="5619" xr3:uid="{FFB2000E-12A6-48B8-9E3E-20CF30F18E25}" name="Column5613"/>
    <tableColumn id="5620" xr3:uid="{15EE01DC-37BB-462C-8A83-B1AEFDE79257}" name="Column5614"/>
    <tableColumn id="5621" xr3:uid="{14335A37-0689-4B0F-9D31-F1DA905A7A75}" name="Column5615"/>
    <tableColumn id="5622" xr3:uid="{53298251-3919-4DA5-AA7B-B832B0BDA482}" name="Column5616"/>
    <tableColumn id="5623" xr3:uid="{78F26173-E5B9-4CDA-A826-16DB281DD350}" name="Column5617"/>
    <tableColumn id="5624" xr3:uid="{F4D46CAD-CB9B-4A75-9706-466820615107}" name="Column5618"/>
    <tableColumn id="5625" xr3:uid="{3B605FE2-F8EE-46E7-A039-D284C7AAC31C}" name="Column5619"/>
    <tableColumn id="5626" xr3:uid="{BFA71FFF-7EE2-4407-B8C4-F713F80D8E84}" name="Column5620"/>
    <tableColumn id="5627" xr3:uid="{E86F0707-2D7A-4FF8-8F07-C1FFD8E978DB}" name="Column5621"/>
    <tableColumn id="5628" xr3:uid="{066FDCF3-17C6-401B-B081-6BFB001B4F3A}" name="Column5622"/>
    <tableColumn id="5629" xr3:uid="{39F265C1-DC1C-4A4E-AF6D-E7681EB7905E}" name="Column5623"/>
    <tableColumn id="5630" xr3:uid="{7BBF1BE9-3FF0-4530-80F0-2A7A92277944}" name="Column5624"/>
    <tableColumn id="5631" xr3:uid="{1C443DD7-1951-4879-AF9B-E08A260005B1}" name="Column5625"/>
    <tableColumn id="5632" xr3:uid="{8F848BC3-104E-42E6-83FE-93331BBE5F4E}" name="Column5626"/>
    <tableColumn id="5633" xr3:uid="{C9EFBEEC-5AA7-4964-98CC-A8B43E5E69DE}" name="Column5627"/>
    <tableColumn id="5634" xr3:uid="{1B81CBA1-3E82-4F22-85F4-D68E871671F1}" name="Column5628"/>
    <tableColumn id="5635" xr3:uid="{E6B53015-F609-40BD-9574-8A0AABC6CEE9}" name="Column5629"/>
    <tableColumn id="5636" xr3:uid="{FEE58AF9-E1D7-4069-AA28-6378534435E5}" name="Column5630"/>
    <tableColumn id="5637" xr3:uid="{4298EE15-288D-4374-8D2E-2CD3C2DD0723}" name="Column5631"/>
    <tableColumn id="5638" xr3:uid="{C7B60A04-2426-4288-A670-9E35A12BFE0E}" name="Column5632"/>
    <tableColumn id="5639" xr3:uid="{8BED27EA-1C9D-4240-9213-70D291C80D6C}" name="Column5633"/>
    <tableColumn id="5640" xr3:uid="{F9BC3E05-F846-40BF-B815-4AB3917D247F}" name="Column5634"/>
    <tableColumn id="5641" xr3:uid="{FEF49FFD-239C-423C-9264-E79E673213B6}" name="Column5635"/>
    <tableColumn id="5642" xr3:uid="{BA0CEE59-E1F9-4019-AEA1-C88E6380A4D2}" name="Column5636"/>
    <tableColumn id="5643" xr3:uid="{258DE70A-28A2-43CE-9A4F-CA0B8BCC89FB}" name="Column5637"/>
    <tableColumn id="5644" xr3:uid="{38996CD7-1222-4A38-8A99-BDE05CD86DAA}" name="Column5638"/>
    <tableColumn id="5645" xr3:uid="{6DD23B17-9DB4-414E-9FEE-F640DA63DA64}" name="Column5639"/>
    <tableColumn id="5646" xr3:uid="{F00DBF36-065D-4228-A20F-156D245FFD55}" name="Column5640"/>
    <tableColumn id="5647" xr3:uid="{1EC05BCF-5784-4B4D-B81C-415F43C31203}" name="Column5641"/>
    <tableColumn id="5648" xr3:uid="{91249722-CD17-4965-8D75-946A190D66C5}" name="Column5642"/>
    <tableColumn id="5649" xr3:uid="{C9ED67FF-02CB-4FEC-B015-1D0CBDE6E05E}" name="Column5643"/>
    <tableColumn id="5650" xr3:uid="{41D3B920-9E72-44E6-99E5-A5C24118CA87}" name="Column5644"/>
    <tableColumn id="5651" xr3:uid="{4B378E33-E685-48BF-9D4D-CEB05A95D666}" name="Column5645"/>
    <tableColumn id="5652" xr3:uid="{D3D0E990-9889-45AC-B214-4538CAA3E528}" name="Column5646"/>
    <tableColumn id="5653" xr3:uid="{624A4534-E3BC-4EF0-943E-96A006A529C6}" name="Column5647"/>
    <tableColumn id="5654" xr3:uid="{02E30E7C-2C82-4571-9707-CE00C63347B4}" name="Column5648"/>
    <tableColumn id="5655" xr3:uid="{8E7624F1-41B3-42DB-B28C-B55C1A108DEB}" name="Column5649"/>
    <tableColumn id="5656" xr3:uid="{DBA15A6B-FED3-4270-AA37-1111DE18977D}" name="Column5650"/>
    <tableColumn id="5657" xr3:uid="{76B3259B-CA5F-4E7D-8C00-22DC14A6A9A8}" name="Column5651"/>
    <tableColumn id="5658" xr3:uid="{101B379D-0368-475D-A3F0-276E38B106C5}" name="Column5652"/>
    <tableColumn id="5659" xr3:uid="{CC684980-DCF2-4BAB-8A5A-A534643830E0}" name="Column5653"/>
    <tableColumn id="5660" xr3:uid="{F0C15540-345F-4DE9-8D70-EDE3497A7876}" name="Column5654"/>
    <tableColumn id="5661" xr3:uid="{C4C52CA7-0963-44E3-AC08-E48E4ABEA1F8}" name="Column5655"/>
    <tableColumn id="5662" xr3:uid="{6B51B75C-989A-4892-B76A-121FA3447AAC}" name="Column5656"/>
    <tableColumn id="5663" xr3:uid="{61664F47-0D7D-4EEF-ADEC-078D9DD03973}" name="Column5657"/>
    <tableColumn id="5664" xr3:uid="{15C8544D-4FDE-49CC-A696-20542E4CC0D2}" name="Column5658"/>
    <tableColumn id="5665" xr3:uid="{7CA104BF-B28E-44DB-A8CF-D439FAFA6602}" name="Column5659"/>
    <tableColumn id="5666" xr3:uid="{87EE6055-941B-4DBA-B26E-48A9DC0EE1D0}" name="Column5660"/>
    <tableColumn id="5667" xr3:uid="{C84E375E-C9F1-4CD6-931E-7DF95A5F6721}" name="Column5661"/>
    <tableColumn id="5668" xr3:uid="{2BFAE07C-89CB-402C-9828-6E226272D60C}" name="Column5662"/>
    <tableColumn id="5669" xr3:uid="{2B175EF5-EEFE-4C65-822F-017D1A9272A5}" name="Column5663"/>
    <tableColumn id="5670" xr3:uid="{3D313D62-EF51-495F-885F-AF563635CC89}" name="Column5664"/>
    <tableColumn id="5671" xr3:uid="{5BC4987F-8FFE-45C6-9217-50234A81FAB0}" name="Column5665"/>
    <tableColumn id="5672" xr3:uid="{6E8F47FD-88C1-4AAA-A5F1-06A2636A3C14}" name="Column5666"/>
    <tableColumn id="5673" xr3:uid="{F537DC10-C556-4857-9C0C-CEE0C6C22586}" name="Column5667"/>
    <tableColumn id="5674" xr3:uid="{99C4C5C2-25BF-4022-9294-26D31F3867B8}" name="Column5668"/>
    <tableColumn id="5675" xr3:uid="{88DE6BBB-5018-46F0-9BF6-FCFC3C0F81B6}" name="Column5669"/>
    <tableColumn id="5676" xr3:uid="{181A10E4-2E9F-441A-96DA-5144C3857CD9}" name="Column5670"/>
    <tableColumn id="5677" xr3:uid="{C0DBC08C-B404-49C8-9F33-F992353ADD69}" name="Column5671"/>
    <tableColumn id="5678" xr3:uid="{042ACB27-9890-4764-B084-1C4316F3E15E}" name="Column5672"/>
    <tableColumn id="5679" xr3:uid="{8B1F5CC2-ACE2-41C8-BCB0-0FC0699E1F42}" name="Column5673"/>
    <tableColumn id="5680" xr3:uid="{F12658E6-13F6-4E5B-B00F-F1563B7C7CF6}" name="Column5674"/>
    <tableColumn id="5681" xr3:uid="{92AD749C-4AB8-40B0-9D27-6516FAF21055}" name="Column5675"/>
    <tableColumn id="5682" xr3:uid="{1A868023-5658-43BB-A0AC-66BBF8EBDBD0}" name="Column5676"/>
    <tableColumn id="5683" xr3:uid="{BE08894C-4F16-4AF3-BBAF-E8DA9AD58D73}" name="Column5677"/>
    <tableColumn id="5684" xr3:uid="{7174B7CF-C363-4C18-91A4-CA5F11058A06}" name="Column5678"/>
    <tableColumn id="5685" xr3:uid="{84791053-9D56-4670-8BAD-10EE16FEE240}" name="Column5679"/>
    <tableColumn id="5686" xr3:uid="{44D87043-23C4-4DD1-8057-092DFBCFA44E}" name="Column5680"/>
    <tableColumn id="5687" xr3:uid="{B57D6FFF-2812-45FA-A07F-0BBFCA5246A1}" name="Column5681"/>
    <tableColumn id="5688" xr3:uid="{BEA886D3-118E-4129-BCDA-043302E54A71}" name="Column5682"/>
    <tableColumn id="5689" xr3:uid="{404FAE79-0B4B-4E53-AFCA-CADBA5A84B28}" name="Column5683"/>
    <tableColumn id="5690" xr3:uid="{E71A8DA7-5DC9-4522-AE3F-F1A7A682B7A7}" name="Column5684"/>
    <tableColumn id="5691" xr3:uid="{2A117196-2C2A-4927-8F19-8C82A2EEE31A}" name="Column5685"/>
    <tableColumn id="5692" xr3:uid="{BD1440BC-C517-47E3-AF9D-452856F97865}" name="Column5686"/>
    <tableColumn id="5693" xr3:uid="{4F9190D5-7B78-4715-857B-7F104CBB6B53}" name="Column5687"/>
    <tableColumn id="5694" xr3:uid="{82082E6E-DEBE-4020-ACC7-DB7A24561915}" name="Column5688"/>
    <tableColumn id="5695" xr3:uid="{7AA65F2B-1F06-4919-94E1-E3EF476CBB52}" name="Column5689"/>
    <tableColumn id="5696" xr3:uid="{DAD23D13-922C-45C0-9C46-691E8D55D535}" name="Column5690"/>
    <tableColumn id="5697" xr3:uid="{A7571A36-4AA4-4AB7-BB38-7B26662AE9FE}" name="Column5691"/>
    <tableColumn id="5698" xr3:uid="{A3A9A990-9C86-4DA6-9C3A-085BD992A778}" name="Column5692"/>
    <tableColumn id="5699" xr3:uid="{C702EFE0-A382-43CD-B10B-B46C738EFF9B}" name="Column5693"/>
    <tableColumn id="5700" xr3:uid="{9250105E-2F10-475A-94B2-64556D065FE2}" name="Column5694"/>
    <tableColumn id="5701" xr3:uid="{95762A2E-BC78-4CFE-A52B-C0000B531A86}" name="Column5695"/>
    <tableColumn id="5702" xr3:uid="{5508277F-2296-4C3C-9BD9-8FEF30DF3021}" name="Column5696"/>
    <tableColumn id="5703" xr3:uid="{B3D39957-4F4C-42C6-8EE6-7A744E7C5F62}" name="Column5697"/>
    <tableColumn id="5704" xr3:uid="{7F10BAC3-F33B-4782-BC34-06233C9160F3}" name="Column5698"/>
    <tableColumn id="5705" xr3:uid="{D5B59274-BE41-4F3E-ADDC-4FBBB3450F12}" name="Column5699"/>
    <tableColumn id="5706" xr3:uid="{7D92995B-8F85-4F1E-9C9E-18F25E00754E}" name="Column5700"/>
    <tableColumn id="5707" xr3:uid="{D4EE6760-8235-41F2-BC20-A9265DB4A7A5}" name="Column5701"/>
    <tableColumn id="5708" xr3:uid="{58D03C2E-2E74-4843-A9A2-82364995E0AC}" name="Column5702"/>
    <tableColumn id="5709" xr3:uid="{D20778FE-8606-4C2E-8725-4D29E3A63AE2}" name="Column5703"/>
    <tableColumn id="5710" xr3:uid="{99A6378D-DF64-4557-BEB4-B86D31A78129}" name="Column5704"/>
    <tableColumn id="5711" xr3:uid="{B3E1CF3F-4E80-4AAB-890F-6E08B7DE59AC}" name="Column5705"/>
    <tableColumn id="5712" xr3:uid="{9CC45B9B-1A76-4876-909D-D965CDBBA7E2}" name="Column5706"/>
    <tableColumn id="5713" xr3:uid="{19491C89-F9A9-465C-9F37-D1A53F586385}" name="Column5707"/>
    <tableColumn id="5714" xr3:uid="{70FFFAB6-EBD0-42CC-A53D-AD3B794831DF}" name="Column5708"/>
    <tableColumn id="5715" xr3:uid="{6AECA981-6992-4929-B15F-308D6CBC0AAA}" name="Column5709"/>
    <tableColumn id="5716" xr3:uid="{139BE9EE-F7AC-4731-97E1-A49420BFD1D7}" name="Column5710"/>
    <tableColumn id="5717" xr3:uid="{CBFB54D0-F357-4CFA-8727-12AD9FAF853C}" name="Column5711"/>
    <tableColumn id="5718" xr3:uid="{02ABBE01-7D82-4094-8142-63205487BFF2}" name="Column5712"/>
    <tableColumn id="5719" xr3:uid="{4C7E2F48-5366-420A-A720-F1C3221B01C9}" name="Column5713"/>
    <tableColumn id="5720" xr3:uid="{DEBCC082-FC2C-4BB5-89A0-E82E79628F6D}" name="Column5714"/>
    <tableColumn id="5721" xr3:uid="{0B2DF298-5820-4F99-AA99-11DC4164B1BB}" name="Column5715"/>
    <tableColumn id="5722" xr3:uid="{23534C02-7EEB-47F9-9203-38F36E35F41D}" name="Column5716"/>
    <tableColumn id="5723" xr3:uid="{75F57054-D16A-48A3-8BD2-52730C070AF8}" name="Column5717"/>
    <tableColumn id="5724" xr3:uid="{D7FC9860-2B94-402C-A11B-60B5C3034215}" name="Column5718"/>
    <tableColumn id="5725" xr3:uid="{754CFC5C-751F-450A-A5C7-8E8D49DDC610}" name="Column5719"/>
    <tableColumn id="5726" xr3:uid="{3070CC55-2FEF-4CEC-9411-1E66701FADC1}" name="Column5720"/>
    <tableColumn id="5727" xr3:uid="{6192EE62-3E3D-4CD3-9C36-D37EF57D71EE}" name="Column5721"/>
    <tableColumn id="5728" xr3:uid="{9D2580BE-7AB4-452D-8414-2E12FE465AC7}" name="Column5722"/>
    <tableColumn id="5729" xr3:uid="{8CC4D3BF-DB05-469E-854F-A673AD1F9E5E}" name="Column5723"/>
    <tableColumn id="5730" xr3:uid="{1EF17CA6-C748-4B79-AD2B-A3C79DBD13D0}" name="Column5724"/>
    <tableColumn id="5731" xr3:uid="{BCF2CD6E-E19D-470A-A6B0-9F6FAA3E03D0}" name="Column5725"/>
    <tableColumn id="5732" xr3:uid="{3EF448BC-0F69-4DBB-A298-7A703B55FAA7}" name="Column5726"/>
    <tableColumn id="5733" xr3:uid="{5FA8229E-0E18-4225-87D5-9448D307CA75}" name="Column5727"/>
    <tableColumn id="5734" xr3:uid="{801AED58-5EA6-48B4-BFDD-B0477C95C935}" name="Column5728"/>
    <tableColumn id="5735" xr3:uid="{5CA28FD1-626E-42F8-9E7D-FF6C7200C36A}" name="Column5729"/>
    <tableColumn id="5736" xr3:uid="{2E8BEC74-5082-4603-88E5-9B6541938925}" name="Column5730"/>
    <tableColumn id="5737" xr3:uid="{1D7A655F-983E-4229-964F-3FE36C96038E}" name="Column5731"/>
    <tableColumn id="5738" xr3:uid="{88DAB672-1808-454F-939F-0808B8E6F34A}" name="Column5732"/>
    <tableColumn id="5739" xr3:uid="{353E9C47-6856-4FDA-B445-50EED51E8FC1}" name="Column5733"/>
    <tableColumn id="5740" xr3:uid="{3F689BC8-3459-40EB-9D0D-4CB07D57D1EF}" name="Column5734"/>
    <tableColumn id="5741" xr3:uid="{A8AAF5D6-69F2-413C-806F-A7A9F4F3AA06}" name="Column5735"/>
    <tableColumn id="5742" xr3:uid="{6E40F4C1-09CF-459E-9039-1ECA3F4809B8}" name="Column5736"/>
    <tableColumn id="5743" xr3:uid="{09259C54-DB7C-4AB7-A123-459CA77A85B1}" name="Column5737"/>
    <tableColumn id="5744" xr3:uid="{96F6D83F-68C2-4612-A79A-1F7F390F22BD}" name="Column5738"/>
    <tableColumn id="5745" xr3:uid="{F0937BFE-B4C1-4B1B-8FAE-7B7B3AE42D38}" name="Column5739"/>
    <tableColumn id="5746" xr3:uid="{BB647CDE-529E-45EF-B3CF-E8C192B69134}" name="Column5740"/>
    <tableColumn id="5747" xr3:uid="{71D4FBE3-C6BC-4089-BDA3-A2A5F58FFF75}" name="Column5741"/>
    <tableColumn id="5748" xr3:uid="{3FE85D35-2C67-4BE1-9BE5-3F52C62C16A8}" name="Column5742"/>
    <tableColumn id="5749" xr3:uid="{031F5F38-99F6-42B6-AA14-8EACAA4A4CE9}" name="Column5743"/>
    <tableColumn id="5750" xr3:uid="{6E03E404-9CAA-4742-8E6D-104B114B2E7C}" name="Column5744"/>
    <tableColumn id="5751" xr3:uid="{B21A6CB5-6FC3-4A38-8AF2-151842F1BEC0}" name="Column5745"/>
    <tableColumn id="5752" xr3:uid="{E74CAFF4-3133-45D1-BED8-09F1AA5853B9}" name="Column5746"/>
    <tableColumn id="5753" xr3:uid="{2DF9C3E1-890B-4D24-8E4B-CE41A5A54A5A}" name="Column5747"/>
    <tableColumn id="5754" xr3:uid="{A011FFD9-1C32-4541-9ED9-BFBB0E7444B4}" name="Column5748"/>
    <tableColumn id="5755" xr3:uid="{87076B9C-0E07-43C9-ACE0-C762D441E5AC}" name="Column5749"/>
    <tableColumn id="5756" xr3:uid="{1E2605E1-350E-4D12-998B-84197F5B9D8D}" name="Column5750"/>
    <tableColumn id="5757" xr3:uid="{85C77232-F419-45E7-92D7-B6B78372AA1B}" name="Column5751"/>
    <tableColumn id="5758" xr3:uid="{30BB8527-D151-4858-8104-7B61AE128491}" name="Column5752"/>
    <tableColumn id="5759" xr3:uid="{5D9555B3-549A-4F46-8B9F-85200DAA0875}" name="Column5753"/>
    <tableColumn id="5760" xr3:uid="{6CC7DE62-C25B-4BFE-8B6D-F07286AF642F}" name="Column5754"/>
    <tableColumn id="5761" xr3:uid="{84225CE7-D6B5-4BD5-AEBC-4323047BA47D}" name="Column5755"/>
    <tableColumn id="5762" xr3:uid="{24201A92-30A7-4B6A-9764-A65D201DB3B0}" name="Column5756"/>
    <tableColumn id="5763" xr3:uid="{2C435E92-5CD7-42B5-AEFE-A5D17D4124DC}" name="Column5757"/>
    <tableColumn id="5764" xr3:uid="{43B7DD72-AAA1-420C-88AF-F45DFAB3B096}" name="Column5758"/>
    <tableColumn id="5765" xr3:uid="{B0417EF8-CD78-4C93-AE76-5D79BF0BF8E5}" name="Column5759"/>
    <tableColumn id="5766" xr3:uid="{4B7DC486-6595-48CD-9383-ED77FB0EE156}" name="Column5760"/>
    <tableColumn id="5767" xr3:uid="{FD44A45A-5E41-41C0-93AB-34C7D1E45CB5}" name="Column5761"/>
    <tableColumn id="5768" xr3:uid="{4757D5E9-8314-4188-919E-C18C6F9A126E}" name="Column5762"/>
    <tableColumn id="5769" xr3:uid="{683B4CA5-5654-42A9-877D-7BB94CA47490}" name="Column5763"/>
    <tableColumn id="5770" xr3:uid="{427768E2-A2CB-44EB-A3FC-F8C6CE3956B0}" name="Column5764"/>
    <tableColumn id="5771" xr3:uid="{658CB10C-8324-4F6E-B128-14E598133F7D}" name="Column5765"/>
    <tableColumn id="5772" xr3:uid="{89A9F5C8-BFCF-4841-B7F4-133057EE59DA}" name="Column5766"/>
    <tableColumn id="5773" xr3:uid="{004DB3C3-761C-4CFE-96FB-6BF4A107D146}" name="Column5767"/>
    <tableColumn id="5774" xr3:uid="{5E6920C8-05CB-4466-B06C-3C59D8B10431}" name="Column5768"/>
    <tableColumn id="5775" xr3:uid="{291266B0-288E-4032-81FD-10DCE833C5BD}" name="Column5769"/>
    <tableColumn id="5776" xr3:uid="{AD3199AD-E88F-49ED-8977-BC8D9C42EFBA}" name="Column5770"/>
    <tableColumn id="5777" xr3:uid="{DC302E02-7FD3-4D4D-82F7-33F2B7939524}" name="Column5771"/>
    <tableColumn id="5778" xr3:uid="{0B0CB7B9-7192-436C-BB29-7B7C84952706}" name="Column5772"/>
    <tableColumn id="5779" xr3:uid="{F53F5765-EEC1-4DDB-B719-A200D8A9D5CE}" name="Column5773"/>
    <tableColumn id="5780" xr3:uid="{CE0474CC-BDE3-41D6-B9BE-48CC3CF87BB4}" name="Column5774"/>
    <tableColumn id="5781" xr3:uid="{D5205C37-CDFA-47E2-A56F-57A07EF771BC}" name="Column5775"/>
    <tableColumn id="5782" xr3:uid="{5BB9B21B-F359-49E3-9CF7-A5729F06EBA9}" name="Column5776"/>
    <tableColumn id="5783" xr3:uid="{97E624AA-ED68-4DDA-86CD-73AEA694AC98}" name="Column5777"/>
    <tableColumn id="5784" xr3:uid="{00FF028D-9DB6-4EA5-8FE2-60D623F8AAA3}" name="Column5778"/>
    <tableColumn id="5785" xr3:uid="{BAF39D92-D139-4C0B-9474-1DD372ABF5E3}" name="Column5779"/>
    <tableColumn id="5786" xr3:uid="{0FEBE394-A93A-44C0-8D8D-51E25A623330}" name="Column5780"/>
    <tableColumn id="5787" xr3:uid="{AB77A28D-AFF7-4856-A524-83BDA37E51CD}" name="Column5781"/>
    <tableColumn id="5788" xr3:uid="{75B71D62-2FA7-4984-BAF4-FF0869E6B9CC}" name="Column5782"/>
    <tableColumn id="5789" xr3:uid="{B6919BC6-82F9-4725-A459-20F5D45F85DB}" name="Column5783"/>
    <tableColumn id="5790" xr3:uid="{78045853-32C3-4473-B99A-7C4F9641065A}" name="Column5784"/>
    <tableColumn id="5791" xr3:uid="{5D6E7ABE-A045-4569-8641-700E72517B3B}" name="Column5785"/>
    <tableColumn id="5792" xr3:uid="{2E296D91-3363-41E0-8482-CA40C04C12D4}" name="Column5786"/>
    <tableColumn id="5793" xr3:uid="{205FB56A-76C2-4A47-B109-CC18FB613388}" name="Column5787"/>
    <tableColumn id="5794" xr3:uid="{C0A23A66-B6F5-4D67-B4A1-9EE4C32F960A}" name="Column5788"/>
    <tableColumn id="5795" xr3:uid="{59584CD9-3C9F-4FF6-9085-6DED645176BF}" name="Column5789"/>
    <tableColumn id="5796" xr3:uid="{4C3F9FE8-DA02-4AE7-8F7F-A471F477533B}" name="Column5790"/>
    <tableColumn id="5797" xr3:uid="{F7FC21ED-CEF0-4559-8B31-3964EF748DA2}" name="Column5791"/>
    <tableColumn id="5798" xr3:uid="{4390CF89-FC3A-432B-A4D3-0CDF5EE4EE2F}" name="Column5792"/>
    <tableColumn id="5799" xr3:uid="{6D13DA79-F656-43FA-AEB0-554D25FE21CA}" name="Column5793"/>
    <tableColumn id="5800" xr3:uid="{DB1EC470-2E6E-4ED2-8A98-691CD863F6B4}" name="Column5794"/>
    <tableColumn id="5801" xr3:uid="{F7DFB6A7-59AD-435F-BDBE-6877C5DE412A}" name="Column5795"/>
    <tableColumn id="5802" xr3:uid="{95C40136-6A44-4351-B04A-8E3FEB38536E}" name="Column5796"/>
    <tableColumn id="5803" xr3:uid="{E55A68DF-6A07-47C2-A59B-FDD68378AF96}" name="Column5797"/>
    <tableColumn id="5804" xr3:uid="{3721A67C-2AC2-4C56-9A41-3E31236F3009}" name="Column5798"/>
    <tableColumn id="5805" xr3:uid="{FE6ABF4E-A400-48F1-9A38-59523DA4A920}" name="Column5799"/>
    <tableColumn id="5806" xr3:uid="{154D6898-3C60-4AD2-8290-142D87E1F015}" name="Column5800"/>
    <tableColumn id="5807" xr3:uid="{837177B2-105E-4946-86D4-CAA9CB8251C3}" name="Column5801"/>
    <tableColumn id="5808" xr3:uid="{D408308F-8919-4859-83E4-D82B2F50D8E8}" name="Column5802"/>
    <tableColumn id="5809" xr3:uid="{B2BB28A7-3681-4DEC-BC1C-85264093884C}" name="Column5803"/>
    <tableColumn id="5810" xr3:uid="{BAFCF648-AFA0-4BBE-AD1B-69C4C67C58DC}" name="Column5804"/>
    <tableColumn id="5811" xr3:uid="{50E73798-ED88-481C-9EE7-66BA9D4681BD}" name="Column5805"/>
    <tableColumn id="5812" xr3:uid="{5D09B87F-85BE-411E-974C-C1B4684946AF}" name="Column5806"/>
    <tableColumn id="5813" xr3:uid="{F68C88DE-2EAF-4221-A1DB-5D01A4F301E1}" name="Column5807"/>
    <tableColumn id="5814" xr3:uid="{2D6E8AF1-0494-4A25-ABD5-D2476B90EDFB}" name="Column5808"/>
    <tableColumn id="5815" xr3:uid="{1D99DA85-4B36-48A2-8B07-1ACF2B0BFB77}" name="Column5809"/>
    <tableColumn id="5816" xr3:uid="{EDF5C67D-567C-4CB8-907D-204AEE6285F2}" name="Column5810"/>
    <tableColumn id="5817" xr3:uid="{66511E92-39D7-4862-88C4-AECA67C75544}" name="Column5811"/>
    <tableColumn id="5818" xr3:uid="{2ABE655A-56A5-411C-A417-83813AD07D55}" name="Column5812"/>
    <tableColumn id="5819" xr3:uid="{C700A678-CCC8-400F-80A1-900A0F794494}" name="Column5813"/>
    <tableColumn id="5820" xr3:uid="{CE03FE3A-6F91-4E5E-86C6-42ED3AE9952F}" name="Column5814"/>
    <tableColumn id="5821" xr3:uid="{4BF9AE07-67B2-4D85-A3A3-3E5BAF9B48E2}" name="Column5815"/>
    <tableColumn id="5822" xr3:uid="{A8EC6033-4224-4C36-B6A6-FB88D5FF4808}" name="Column5816"/>
    <tableColumn id="5823" xr3:uid="{0B873750-82D6-4710-A176-68918C2B3273}" name="Column5817"/>
    <tableColumn id="5824" xr3:uid="{38ED4C93-1E5B-4555-9497-95647B55A1BD}" name="Column5818"/>
    <tableColumn id="5825" xr3:uid="{69C320B5-8E60-469F-801B-CCF5746AAC7D}" name="Column5819"/>
    <tableColumn id="5826" xr3:uid="{6C466A98-E85A-4F7E-A88F-7ED715BDEFF9}" name="Column5820"/>
    <tableColumn id="5827" xr3:uid="{CA1274BA-485B-47FF-B67F-4358DE526948}" name="Column5821"/>
    <tableColumn id="5828" xr3:uid="{52FC108C-D96C-4F06-AC03-A99CDF98F9E0}" name="Column5822"/>
    <tableColumn id="5829" xr3:uid="{D789002C-2291-4401-A51B-D4CB7858B025}" name="Column5823"/>
    <tableColumn id="5830" xr3:uid="{B16B9C7D-6D3A-4AC0-9DE1-9348627FC873}" name="Column5824"/>
    <tableColumn id="5831" xr3:uid="{9524F6E6-A54C-4E63-9B67-C36ACA911934}" name="Column5825"/>
    <tableColumn id="5832" xr3:uid="{AE06E970-E741-46F2-B1F3-AE0E91FE31EE}" name="Column5826"/>
    <tableColumn id="5833" xr3:uid="{A172E04F-AD96-472F-A4B6-0AE7F89E636B}" name="Column5827"/>
    <tableColumn id="5834" xr3:uid="{E45A1279-A843-4950-8C4D-9BA6701B86E5}" name="Column5828"/>
    <tableColumn id="5835" xr3:uid="{887681BE-E4CC-47D1-820B-6C9CBCF32DDA}" name="Column5829"/>
    <tableColumn id="5836" xr3:uid="{424EA7F0-3393-4125-A43C-6391137D1EDF}" name="Column5830"/>
    <tableColumn id="5837" xr3:uid="{1833F6A9-988E-4A24-B66A-D77D72153231}" name="Column5831"/>
    <tableColumn id="5838" xr3:uid="{65F353A6-0631-48CA-9ACC-A4DCAE49E881}" name="Column5832"/>
    <tableColumn id="5839" xr3:uid="{F8AC5719-9F29-4C09-87E1-523A3C76821F}" name="Column5833"/>
    <tableColumn id="5840" xr3:uid="{4DAD3839-539E-4B85-BF32-483B284C81DC}" name="Column5834"/>
    <tableColumn id="5841" xr3:uid="{E71483B5-43D9-4443-9546-2A63AB814812}" name="Column5835"/>
    <tableColumn id="5842" xr3:uid="{39718571-DE11-4215-BE1B-D9E654F46E10}" name="Column5836"/>
    <tableColumn id="5843" xr3:uid="{AC6FD77F-BC65-473E-BAA5-8256DED41555}" name="Column5837"/>
    <tableColumn id="5844" xr3:uid="{D13EF7C0-CCE8-4025-B5A3-84438A81F4EC}" name="Column5838"/>
    <tableColumn id="5845" xr3:uid="{083F6A94-B9D9-46F2-A79C-2B96E6225B9F}" name="Column5839"/>
    <tableColumn id="5846" xr3:uid="{F2AE0CD6-A942-4982-9249-9636548CCB01}" name="Column5840"/>
    <tableColumn id="5847" xr3:uid="{82E724EA-12A9-445B-9C5B-080BD9BDD5E9}" name="Column5841"/>
    <tableColumn id="5848" xr3:uid="{6E5C4C54-09F8-4F2E-BA0D-D0F85F0DB117}" name="Column5842"/>
    <tableColumn id="5849" xr3:uid="{D90E96CE-FF25-409C-992A-9274E56E809E}" name="Column5843"/>
    <tableColumn id="5850" xr3:uid="{6A57CADF-D008-458C-AAE0-7DE5DD0F887B}" name="Column5844"/>
    <tableColumn id="5851" xr3:uid="{1844FF29-E4AC-4ADC-86EA-DBEFF97DB5DE}" name="Column5845"/>
    <tableColumn id="5852" xr3:uid="{FF276D6D-94FA-4969-85F4-E16917DF93D0}" name="Column5846"/>
    <tableColumn id="5853" xr3:uid="{9E99754A-E168-4FE5-8316-EE7D7EC96116}" name="Column5847"/>
    <tableColumn id="5854" xr3:uid="{8AF3182C-AE57-408A-AB81-6F78A4F2217D}" name="Column5848"/>
    <tableColumn id="5855" xr3:uid="{4D3C307A-3D83-47C0-BAE0-74BFF8085375}" name="Column5849"/>
    <tableColumn id="5856" xr3:uid="{CA019C7E-20D5-4441-94FC-B782D8661062}" name="Column5850"/>
    <tableColumn id="5857" xr3:uid="{88BFD6D1-7F5F-430D-A411-637B39DFD28D}" name="Column5851"/>
    <tableColumn id="5858" xr3:uid="{88B3CB28-95AC-4BAB-9A57-A6D0B4CD8829}" name="Column5852"/>
    <tableColumn id="5859" xr3:uid="{C61E7D0B-E43F-4049-8E59-8CD8B12FE3CD}" name="Column5853"/>
    <tableColumn id="5860" xr3:uid="{BB0F7061-786E-4697-9E1B-8F78892C447C}" name="Column5854"/>
    <tableColumn id="5861" xr3:uid="{A7F8BD68-E766-489B-B22C-B48B6E781AEE}" name="Column5855"/>
    <tableColumn id="5862" xr3:uid="{1685B5F3-389D-420F-A79E-CA4A561D599B}" name="Column5856"/>
    <tableColumn id="5863" xr3:uid="{975E1765-D2A1-4244-9C6C-B999A8EBE1C1}" name="Column5857"/>
    <tableColumn id="5864" xr3:uid="{B441CF88-6E87-4889-AE3B-3BEB5180EB76}" name="Column5858"/>
    <tableColumn id="5865" xr3:uid="{E444C455-539C-48E1-8317-4F703F530267}" name="Column5859"/>
    <tableColumn id="5866" xr3:uid="{7BB72319-D9EC-4B43-83CC-0279D52FEC18}" name="Column5860"/>
    <tableColumn id="5867" xr3:uid="{88D9C1A4-3266-437F-B8F4-15C6268C8162}" name="Column5861"/>
    <tableColumn id="5868" xr3:uid="{731B1722-8910-4337-AA6B-DF59EED8863E}" name="Column5862"/>
    <tableColumn id="5869" xr3:uid="{51736687-66B0-40F8-8989-A279C80F0537}" name="Column5863"/>
    <tableColumn id="5870" xr3:uid="{27D5EB0C-81CB-4DAB-AABE-89F657DB7C96}" name="Column5864"/>
    <tableColumn id="5871" xr3:uid="{A8B9D331-4ED5-4818-B907-24DD856DA549}" name="Column5865"/>
    <tableColumn id="5872" xr3:uid="{A4D9ABB9-94DB-4C2A-972C-8DA67940D816}" name="Column5866"/>
    <tableColumn id="5873" xr3:uid="{8D7069FA-54B4-4377-B351-1122B755512C}" name="Column5867"/>
    <tableColumn id="5874" xr3:uid="{921A29A8-F26F-41BF-AF6D-3A59596F93EE}" name="Column5868"/>
    <tableColumn id="5875" xr3:uid="{3A628F6E-0327-424F-8558-1F96B137672B}" name="Column5869"/>
    <tableColumn id="5876" xr3:uid="{6A176EC1-9B3D-4B42-B7F3-CDCA68B4EED9}" name="Column5870"/>
    <tableColumn id="5877" xr3:uid="{1EB44ED0-392E-4BBE-852B-88FAAAB588DB}" name="Column5871"/>
    <tableColumn id="5878" xr3:uid="{104BC483-372B-436E-AAEE-61B974815F79}" name="Column5872"/>
    <tableColumn id="5879" xr3:uid="{C8D6231A-DF1F-45F1-874D-DD4BF670C637}" name="Column5873"/>
    <tableColumn id="5880" xr3:uid="{2820223F-CA2A-4065-A931-ACE41B357879}" name="Column5874"/>
    <tableColumn id="5881" xr3:uid="{E8C64001-0186-4CF3-AF71-D9C58CF23497}" name="Column5875"/>
    <tableColumn id="5882" xr3:uid="{C243E78B-C2F8-46BA-B5F1-2CBD76EF788D}" name="Column5876"/>
    <tableColumn id="5883" xr3:uid="{7722F729-71E8-4EE8-A063-179A69875E23}" name="Column5877"/>
    <tableColumn id="5884" xr3:uid="{AD8EE19E-EDB4-4A9D-AF80-98258D53FBB6}" name="Column5878"/>
    <tableColumn id="5885" xr3:uid="{543549C0-9102-4FC8-BB9E-88BA276B2231}" name="Column5879"/>
    <tableColumn id="5886" xr3:uid="{807020F4-BA9C-4262-9C25-B273AF76885A}" name="Column5880"/>
    <tableColumn id="5887" xr3:uid="{065EBDD9-4C49-472A-ADA3-47077E80A26D}" name="Column5881"/>
    <tableColumn id="5888" xr3:uid="{C76B1536-DB04-4974-889D-155BF18353B9}" name="Column5882"/>
    <tableColumn id="5889" xr3:uid="{5D7DCFB6-09B1-4296-93F7-0FA468D0A192}" name="Column5883"/>
    <tableColumn id="5890" xr3:uid="{C7E78678-BB70-41BF-BD4E-5520515FE2F6}" name="Column5884"/>
    <tableColumn id="5891" xr3:uid="{1FC78EC5-2679-4B68-8C6D-B359F39DD741}" name="Column5885"/>
    <tableColumn id="5892" xr3:uid="{C56B71B9-A27A-4BD9-B5D3-9923A8B8AAF9}" name="Column5886"/>
    <tableColumn id="5893" xr3:uid="{2F5906E9-F71C-4116-8443-89A9309DD448}" name="Column5887"/>
    <tableColumn id="5894" xr3:uid="{204DE55F-FE8B-4E5C-A2EB-0960FB43DFD8}" name="Column5888"/>
    <tableColumn id="5895" xr3:uid="{E2BB6B61-6179-416F-BD12-204F6B2C1EB7}" name="Column5889"/>
    <tableColumn id="5896" xr3:uid="{FFA1E2A2-7524-463A-9443-CD61E949F8DD}" name="Column5890"/>
    <tableColumn id="5897" xr3:uid="{B04EEB9D-9230-44C1-A8AB-DD33F292367C}" name="Column5891"/>
    <tableColumn id="5898" xr3:uid="{5A2F1932-D78D-4314-80DA-A138FFB402E9}" name="Column5892"/>
    <tableColumn id="5899" xr3:uid="{A14FB533-22C0-455C-B398-321EA5B06648}" name="Column5893"/>
    <tableColumn id="5900" xr3:uid="{DCCC9847-7409-450C-AA73-291CC24DB243}" name="Column5894"/>
    <tableColumn id="5901" xr3:uid="{1B28BF60-2AAB-407F-8009-44A229099F18}" name="Column5895"/>
    <tableColumn id="5902" xr3:uid="{DB3BE034-3E7F-41E9-AC58-FCE35313B59E}" name="Column5896"/>
    <tableColumn id="5903" xr3:uid="{643F2DCE-6582-4152-8999-F3CB59AFE7E1}" name="Column5897"/>
    <tableColumn id="5904" xr3:uid="{F8034ADF-31C7-44EC-B965-6779990F7C85}" name="Column5898"/>
    <tableColumn id="5905" xr3:uid="{925B94BF-2C31-48B7-A2E6-2C6093BCA9A2}" name="Column5899"/>
    <tableColumn id="5906" xr3:uid="{14D3EF60-0DB2-4C5B-91D0-8712AFC799B4}" name="Column5900"/>
    <tableColumn id="5907" xr3:uid="{AB856FA2-6A5C-4A29-B164-E9C8F6F52494}" name="Column5901"/>
    <tableColumn id="5908" xr3:uid="{57DB8CAF-6ACF-427D-9C75-23C8B3EF8BE3}" name="Column5902"/>
    <tableColumn id="5909" xr3:uid="{A8B030F1-4459-4DD1-8C49-32D2AA5437A7}" name="Column5903"/>
    <tableColumn id="5910" xr3:uid="{183F788A-8872-40B9-B8CF-92C3F09707D0}" name="Column5904"/>
    <tableColumn id="5911" xr3:uid="{89A7D40E-D4FE-4AD2-A97A-B085BED6CB62}" name="Column5905"/>
    <tableColumn id="5912" xr3:uid="{3FF5C052-D7E8-4C9C-AA6C-FD134C27F8E1}" name="Column5906"/>
    <tableColumn id="5913" xr3:uid="{CF25DB5C-A51D-4CEE-94E1-EABC6FB6C6DC}" name="Column5907"/>
    <tableColumn id="5914" xr3:uid="{5DDE0DC9-E36A-4CA2-98C0-84A9D7D123EE}" name="Column5908"/>
    <tableColumn id="5915" xr3:uid="{2AAA7B14-4A79-43AB-BE71-29427C142ED0}" name="Column5909"/>
    <tableColumn id="5916" xr3:uid="{7745BADE-DC87-478D-BDB3-CC7286A85791}" name="Column5910"/>
    <tableColumn id="5917" xr3:uid="{297AB5D1-2113-4F6C-91D4-BDC4F8A45735}" name="Column5911"/>
    <tableColumn id="5918" xr3:uid="{1BC7C9BD-E3F2-4CE7-B139-F4C47AB08532}" name="Column5912"/>
    <tableColumn id="5919" xr3:uid="{2F732D0A-C794-4116-A62B-C9ADBBC176B5}" name="Column5913"/>
    <tableColumn id="5920" xr3:uid="{E57F177D-2192-42B7-A7A3-A5CEDEB1F2E3}" name="Column5914"/>
    <tableColumn id="5921" xr3:uid="{72CA84A0-0C65-4EA5-B62F-6B574331FC11}" name="Column5915"/>
    <tableColumn id="5922" xr3:uid="{67EE495B-9399-4EE2-A38A-412595654345}" name="Column5916"/>
    <tableColumn id="5923" xr3:uid="{FE56DB66-2103-4A33-A415-0450A23E4666}" name="Column5917"/>
    <tableColumn id="5924" xr3:uid="{94312123-63A0-49F6-9DDA-8A45BD8A3401}" name="Column5918"/>
    <tableColumn id="5925" xr3:uid="{A37CBE41-2271-43FA-84D8-C70E809A55AE}" name="Column5919"/>
    <tableColumn id="5926" xr3:uid="{123EF129-92AD-4A2D-815E-7ED90B620635}" name="Column5920"/>
    <tableColumn id="5927" xr3:uid="{21FBE630-143C-48C1-8A20-03A339616469}" name="Column5921"/>
    <tableColumn id="5928" xr3:uid="{9C9041C5-05E7-4FC2-A978-901A7EBE5794}" name="Column5922"/>
    <tableColumn id="5929" xr3:uid="{75618B54-70D9-4422-BF29-1F994D572A50}" name="Column5923"/>
    <tableColumn id="5930" xr3:uid="{0542BB58-63F5-46D7-BBF4-B5EC2C8762F5}" name="Column5924"/>
    <tableColumn id="5931" xr3:uid="{E3429859-E226-47D5-AEE6-139532675CBE}" name="Column5925"/>
    <tableColumn id="5932" xr3:uid="{76E56C9D-2B0A-4A8E-AE42-EA93DAA873C9}" name="Column5926"/>
    <tableColumn id="5933" xr3:uid="{B263D4A8-DFE4-416F-AFE8-CAE2C78C7D81}" name="Column5927"/>
    <tableColumn id="5934" xr3:uid="{2D62E02E-B875-4E63-8B00-AD1B7D8EA631}" name="Column5928"/>
    <tableColumn id="5935" xr3:uid="{BF36EBFF-496E-4DBE-81AD-05502CCA85AC}" name="Column5929"/>
    <tableColumn id="5936" xr3:uid="{EB0026BF-AE19-43D6-9732-85C668845FD5}" name="Column5930"/>
    <tableColumn id="5937" xr3:uid="{02DDECC6-ED0B-4939-AF62-A1AFF7B202D0}" name="Column5931"/>
    <tableColumn id="5938" xr3:uid="{3D1318E6-DDBB-4F99-B511-B8102A607F9B}" name="Column5932"/>
    <tableColumn id="5939" xr3:uid="{4F20E8EC-DEE6-448D-B40F-827CEFA2C022}" name="Column5933"/>
    <tableColumn id="5940" xr3:uid="{44F68212-12AA-4067-B16B-B2DEAA649492}" name="Column5934"/>
    <tableColumn id="5941" xr3:uid="{C1627079-4054-49EF-B24D-0CF5539126E6}" name="Column5935"/>
    <tableColumn id="5942" xr3:uid="{2DBE97E1-D501-43AC-9F2E-2046D862E3CA}" name="Column5936"/>
    <tableColumn id="5943" xr3:uid="{264E4BA0-58B1-4EF2-8FCB-971335C0243F}" name="Column5937"/>
    <tableColumn id="5944" xr3:uid="{0DFD1B27-7442-44BC-B722-ACC8396E531F}" name="Column5938"/>
    <tableColumn id="5945" xr3:uid="{D92D1185-CA77-426E-B4C3-F744B3F9973F}" name="Column5939"/>
    <tableColumn id="5946" xr3:uid="{CA3AC53B-618A-490A-8419-3C7DD890CC06}" name="Column5940"/>
    <tableColumn id="5947" xr3:uid="{E05BE7B3-9D83-4330-9B78-1758F8925BB2}" name="Column5941"/>
    <tableColumn id="5948" xr3:uid="{979AD5BB-EEBD-4AF0-9E64-64DF49737B12}" name="Column5942"/>
    <tableColumn id="5949" xr3:uid="{B99C7C64-2C36-4E89-A767-56913AFBA56E}" name="Column5943"/>
    <tableColumn id="5950" xr3:uid="{4CEFDF48-FFCA-4809-9B17-EE3A35EB1860}" name="Column5944"/>
    <tableColumn id="5951" xr3:uid="{B07B831C-B63B-432A-97BF-2D7CBDA669AC}" name="Column5945"/>
    <tableColumn id="5952" xr3:uid="{826109D4-D624-47B5-85A8-ED0460DF68A9}" name="Column5946"/>
    <tableColumn id="5953" xr3:uid="{AA36D2B0-31F5-43E9-B190-5CBF0FE01AD2}" name="Column5947"/>
    <tableColumn id="5954" xr3:uid="{E4342EF7-EF7B-44D2-B1A0-856AA8222935}" name="Column5948"/>
    <tableColumn id="5955" xr3:uid="{04A1E90C-CE51-4A1E-A6A6-E1A5B62BA7A8}" name="Column5949"/>
    <tableColumn id="5956" xr3:uid="{C5D923E1-7F0F-4389-AE16-3BD67CB54E19}" name="Column5950"/>
    <tableColumn id="5957" xr3:uid="{5CAC96BC-757D-4E06-B5C6-CBDF8D438518}" name="Column5951"/>
    <tableColumn id="5958" xr3:uid="{2D046E61-BD7E-4A01-A57A-190BAA9E2F8E}" name="Column5952"/>
    <tableColumn id="5959" xr3:uid="{33B739B3-8B50-49F0-A8D0-870AEBA9B62D}" name="Column5953"/>
    <tableColumn id="5960" xr3:uid="{52712535-7428-4094-9AB3-4393E0286C75}" name="Column5954"/>
    <tableColumn id="5961" xr3:uid="{33943FCA-4E91-4E49-BB79-078BA4C86285}" name="Column5955"/>
    <tableColumn id="5962" xr3:uid="{6904403C-CA66-4824-AECB-866C7D621AF8}" name="Column5956"/>
    <tableColumn id="5963" xr3:uid="{CC9321A8-D47E-454F-B52A-F7E654FA1987}" name="Column5957"/>
    <tableColumn id="5964" xr3:uid="{EB4542E3-662F-4D3E-936B-A02C6141A4FF}" name="Column5958"/>
    <tableColumn id="5965" xr3:uid="{3C760155-6391-44E2-9625-96CF844393A8}" name="Column5959"/>
    <tableColumn id="5966" xr3:uid="{2EE9A543-8850-444A-A796-8CF72BA84985}" name="Column5960"/>
    <tableColumn id="5967" xr3:uid="{4DE0B0E9-DB53-4298-A42C-26F2DBE51D83}" name="Column5961"/>
    <tableColumn id="5968" xr3:uid="{7AEA69CC-CBAD-46F6-AD4F-71A6B795C03D}" name="Column5962"/>
    <tableColumn id="5969" xr3:uid="{96E3A5C4-9DFB-4B9C-9E42-99132F838763}" name="Column5963"/>
    <tableColumn id="5970" xr3:uid="{D6D1CB32-780A-4EE1-95E4-0FD6BB0281D4}" name="Column5964"/>
    <tableColumn id="5971" xr3:uid="{60BE382C-0641-4939-9ACC-A006A43ED6D7}" name="Column5965"/>
    <tableColumn id="5972" xr3:uid="{7CAF9AAF-CF3D-4BF4-93D4-2013C09AF843}" name="Column5966"/>
    <tableColumn id="5973" xr3:uid="{7BB63DA0-1C6B-47CD-9B1D-D7522A054F74}" name="Column5967"/>
    <tableColumn id="5974" xr3:uid="{52AEC836-A713-418B-912A-92F3DB38C9FE}" name="Column5968"/>
    <tableColumn id="5975" xr3:uid="{2E4521A3-1DBF-4A75-9D27-0071E84ADA79}" name="Column5969"/>
    <tableColumn id="5976" xr3:uid="{7D5983FC-A81A-46A7-8F93-92DE53DF56F5}" name="Column5970"/>
    <tableColumn id="5977" xr3:uid="{74715916-872C-45D2-B8D3-6C319264A76E}" name="Column5971"/>
    <tableColumn id="5978" xr3:uid="{31A2DF1D-C868-4F75-8C3F-D12FD8A843CF}" name="Column5972"/>
    <tableColumn id="5979" xr3:uid="{F8B56E39-9949-460A-B80E-427F4130F22E}" name="Column5973"/>
    <tableColumn id="5980" xr3:uid="{06BE49FC-BADE-4DFC-8D5B-B45364AF057A}" name="Column5974"/>
    <tableColumn id="5981" xr3:uid="{E18E4418-CEAB-4D9D-A874-2AC5776263E7}" name="Column5975"/>
    <tableColumn id="5982" xr3:uid="{C950A6ED-F0F0-4924-A858-5A50F09DD6EE}" name="Column5976"/>
    <tableColumn id="5983" xr3:uid="{5F44496C-C774-4CFE-8D02-E02196CACD4D}" name="Column5977"/>
    <tableColumn id="5984" xr3:uid="{204E8D1F-66D2-4B9B-AE41-0C16E44129F1}" name="Column5978"/>
    <tableColumn id="5985" xr3:uid="{E95E329E-A3C3-467A-8784-4C37ED1A7E87}" name="Column5979"/>
    <tableColumn id="5986" xr3:uid="{457A8F0A-8729-4E8C-B413-E1A3219C56B3}" name="Column5980"/>
    <tableColumn id="5987" xr3:uid="{E8BDFF20-A140-4A66-BF6D-3F057AEB7F29}" name="Column5981"/>
    <tableColumn id="5988" xr3:uid="{6E8B4EDE-5518-47DD-B03F-031A726DC4A0}" name="Column5982"/>
    <tableColumn id="5989" xr3:uid="{8779A3F4-498E-4CAA-9B6E-51857E9F4B25}" name="Column5983"/>
    <tableColumn id="5990" xr3:uid="{D638BD01-92D0-4544-A3B6-C8B7B1EE31C6}" name="Column5984"/>
    <tableColumn id="5991" xr3:uid="{FE5E8F79-3822-48CE-8A8A-114761E71A02}" name="Column5985"/>
    <tableColumn id="5992" xr3:uid="{BE847AAF-A808-4B33-A4A6-C1F841652244}" name="Column5986"/>
    <tableColumn id="5993" xr3:uid="{1E63613D-854F-416F-AD25-CE7122C93D7D}" name="Column5987"/>
    <tableColumn id="5994" xr3:uid="{AC1CF2F7-6B8D-497F-99C3-FCEA0C35B38A}" name="Column5988"/>
    <tableColumn id="5995" xr3:uid="{50A97232-CCC3-4E1F-8D04-30A00BEE6446}" name="Column5989"/>
    <tableColumn id="5996" xr3:uid="{4B25AB05-2B1A-48D3-BA95-2464EE5B89D2}" name="Column5990"/>
    <tableColumn id="5997" xr3:uid="{A683346C-F302-432C-BB51-E2BD1A9BB045}" name="Column5991"/>
    <tableColumn id="5998" xr3:uid="{4DCB6018-448D-4262-8D9F-224F5025A852}" name="Column5992"/>
    <tableColumn id="5999" xr3:uid="{931FFD5D-394F-48E8-A861-DC3AD4B3FF67}" name="Column5993"/>
    <tableColumn id="6000" xr3:uid="{7CDDA8BC-7FA4-448F-9B67-CEB4F415464A}" name="Column5994"/>
    <tableColumn id="6001" xr3:uid="{96508D63-7134-46AC-9CB8-E2F0FE0DD832}" name="Column5995"/>
    <tableColumn id="6002" xr3:uid="{E21A8275-E462-4385-BB64-24B78E09064D}" name="Column5996"/>
    <tableColumn id="6003" xr3:uid="{C5B5FC27-B3A8-4B3D-8A44-EA254211EC3C}" name="Column5997"/>
    <tableColumn id="6004" xr3:uid="{72B9F12D-B3AB-4F81-AB1B-F76521679189}" name="Column5998"/>
    <tableColumn id="6005" xr3:uid="{EF80CAF2-2258-4908-8EB2-AFC931EAAE2E}" name="Column5999"/>
    <tableColumn id="6006" xr3:uid="{06CC5D2A-1933-45C9-B11B-F738190A3EAD}" name="Column6000"/>
    <tableColumn id="6007" xr3:uid="{318C2DC2-83FA-42F7-9B6D-A1B0E38689F5}" name="Column6001"/>
    <tableColumn id="6008" xr3:uid="{D9C7AF36-F00C-40BD-A5B6-1F24773C57DA}" name="Column6002"/>
    <tableColumn id="6009" xr3:uid="{835BB4D4-D44A-488F-8BA4-94E106F3272A}" name="Column6003"/>
    <tableColumn id="6010" xr3:uid="{E3A42E0E-65BA-4B3D-A8BA-EFE544F03D40}" name="Column6004"/>
    <tableColumn id="6011" xr3:uid="{D055A5F4-D9F1-4BE6-B06A-013CF44E8B7B}" name="Column6005"/>
    <tableColumn id="6012" xr3:uid="{B212BB92-9589-4B28-B630-D315760D0A68}" name="Column6006"/>
    <tableColumn id="6013" xr3:uid="{95A9DE79-0F48-4B93-BF6E-E9417D9B2654}" name="Column6007"/>
    <tableColumn id="6014" xr3:uid="{6875E3DB-D83E-41EB-897D-61E43DB7E25F}" name="Column6008"/>
    <tableColumn id="6015" xr3:uid="{C0FE56FE-37D4-4DD7-ADEE-9DAD06D562FE}" name="Column6009"/>
    <tableColumn id="6016" xr3:uid="{B0D64F95-A543-454E-98D0-D889A0FF163F}" name="Column6010"/>
    <tableColumn id="6017" xr3:uid="{211007A8-372E-48BD-957E-6835882BAC86}" name="Column6011"/>
    <tableColumn id="6018" xr3:uid="{E8764E9C-1178-4D6D-8335-795D218A9CBF}" name="Column6012"/>
    <tableColumn id="6019" xr3:uid="{5D5B220C-3886-4033-837A-4D4C95EE1507}" name="Column6013"/>
    <tableColumn id="6020" xr3:uid="{BB3CC941-83B2-44B5-9904-C802F32A679E}" name="Column6014"/>
    <tableColumn id="6021" xr3:uid="{20A691FB-25FB-47E6-BA2E-A26644B87D4A}" name="Column6015"/>
    <tableColumn id="6022" xr3:uid="{DB4B7302-FA19-4027-8F38-413CAF0DD464}" name="Column6016"/>
    <tableColumn id="6023" xr3:uid="{925D5688-D6F5-47F3-9BB6-9F486EE479BF}" name="Column6017"/>
    <tableColumn id="6024" xr3:uid="{2C025F4F-B353-4E72-BEFC-62E905B27210}" name="Column6018"/>
    <tableColumn id="6025" xr3:uid="{21F856CF-DDF3-4DBB-ACB8-2BE80D63EA28}" name="Column6019"/>
    <tableColumn id="6026" xr3:uid="{6C912624-9E3F-4A9F-9FD8-491B00288CF0}" name="Column6020"/>
    <tableColumn id="6027" xr3:uid="{02CE9344-4B18-459A-ADE4-A02BAC397115}" name="Column6021"/>
    <tableColumn id="6028" xr3:uid="{0C0E52A3-B9D5-4661-96C5-2984B452BE85}" name="Column6022"/>
    <tableColumn id="6029" xr3:uid="{09BE9BEB-B7A4-41D6-918B-020B04DFE78D}" name="Column6023"/>
    <tableColumn id="6030" xr3:uid="{03F1C246-E8AD-4DED-8F44-E086EAACB086}" name="Column6024"/>
    <tableColumn id="6031" xr3:uid="{6C047E39-2609-4500-A666-F9ADCF1F5D50}" name="Column6025"/>
    <tableColumn id="6032" xr3:uid="{5B983B90-E093-4241-B4ED-601D927F4921}" name="Column6026"/>
    <tableColumn id="6033" xr3:uid="{F9AEDA84-13D2-40B7-9FD0-CFDB67A33D61}" name="Column6027"/>
    <tableColumn id="6034" xr3:uid="{F91BC943-8CEB-44A9-BB70-B04373582953}" name="Column6028"/>
    <tableColumn id="6035" xr3:uid="{0BA63389-579F-43A9-AD2D-FAB6BDFE051C}" name="Column6029"/>
    <tableColumn id="6036" xr3:uid="{FBA3C5E3-ED5C-4C59-9D60-38CB49CFBF38}" name="Column6030"/>
    <tableColumn id="6037" xr3:uid="{08AE9355-9356-4C31-9ACB-340BB67F52B6}" name="Column6031"/>
    <tableColumn id="6038" xr3:uid="{9B98AA7A-11A4-45E6-BD3E-11EBDCA2894C}" name="Column6032"/>
    <tableColumn id="6039" xr3:uid="{A14560B0-CC5C-468D-B37E-334D6CF947E6}" name="Column6033"/>
    <tableColumn id="6040" xr3:uid="{1A607F2F-8992-4B30-9310-83ABB609DB24}" name="Column6034"/>
    <tableColumn id="6041" xr3:uid="{E40A22ED-5AE1-4683-B702-5FF3A3DB7145}" name="Column6035"/>
    <tableColumn id="6042" xr3:uid="{58277DCD-322A-465B-A832-405C8CC077B2}" name="Column6036"/>
    <tableColumn id="6043" xr3:uid="{1C015DE3-7B79-4079-B541-9C330845B971}" name="Column6037"/>
    <tableColumn id="6044" xr3:uid="{7CAA6F43-DC57-4DC7-A8B0-9B7EAD8670CC}" name="Column6038"/>
    <tableColumn id="6045" xr3:uid="{FABF3A5C-DA74-4F7A-A0FD-A59CDAA0FC2D}" name="Column6039"/>
    <tableColumn id="6046" xr3:uid="{565E6878-B742-4DB5-B693-C0284F305904}" name="Column6040"/>
    <tableColumn id="6047" xr3:uid="{A3CEA63D-3CF2-49ED-9694-3DA3981826FB}" name="Column6041"/>
    <tableColumn id="6048" xr3:uid="{47195143-E398-4B14-9F88-5B422992BA1A}" name="Column6042"/>
    <tableColumn id="6049" xr3:uid="{8627E96C-5A89-4A57-97F4-D985719C6698}" name="Column6043"/>
    <tableColumn id="6050" xr3:uid="{680C840C-FD59-449D-A0A8-96F9C3B10B56}" name="Column6044"/>
    <tableColumn id="6051" xr3:uid="{BD7935DA-17D7-42C3-9496-9545DDD8306F}" name="Column6045"/>
    <tableColumn id="6052" xr3:uid="{57632CCB-F037-4758-B56F-B87EF4E83AE9}" name="Column6046"/>
    <tableColumn id="6053" xr3:uid="{6BCF7CBD-E656-4825-8B52-8C6659DA695C}" name="Column6047"/>
    <tableColumn id="6054" xr3:uid="{279A0740-6C76-4307-9F64-88A727F6DC73}" name="Column6048"/>
    <tableColumn id="6055" xr3:uid="{F431978A-FFFF-4E40-B29D-429354E0624A}" name="Column6049"/>
    <tableColumn id="6056" xr3:uid="{6029958B-C6B1-4880-B057-AE1CC5A9994A}" name="Column6050"/>
    <tableColumn id="6057" xr3:uid="{A7655F0A-0690-46C5-9A2A-CE38F474A275}" name="Column6051"/>
    <tableColumn id="6058" xr3:uid="{FAEE2E71-BFF2-404F-AA5A-12D7E6945565}" name="Column6052"/>
    <tableColumn id="6059" xr3:uid="{0CEAF2AE-F6FA-406F-8951-75A4D5487120}" name="Column6053"/>
    <tableColumn id="6060" xr3:uid="{BB072B20-D1ED-434A-8D1E-3C6E47A131E0}" name="Column6054"/>
    <tableColumn id="6061" xr3:uid="{22B5BA03-4616-4DEB-9FCB-B2235DA76596}" name="Column6055"/>
    <tableColumn id="6062" xr3:uid="{07E1E019-F8BC-490D-96F1-687C35A6D3E6}" name="Column6056"/>
    <tableColumn id="6063" xr3:uid="{D9D6F8AB-9A45-428C-9B23-CBE879551DD2}" name="Column6057"/>
    <tableColumn id="6064" xr3:uid="{09522196-12B8-49A9-8E23-5DD6E9F9C43A}" name="Column6058"/>
    <tableColumn id="6065" xr3:uid="{73709FB7-A8EB-4C52-813F-7EE88A81D51E}" name="Column6059"/>
    <tableColumn id="6066" xr3:uid="{11110935-D460-4057-B06B-67C1D28FF7AE}" name="Column6060"/>
    <tableColumn id="6067" xr3:uid="{FF9216A1-0C2E-4B5E-B7E4-4FE40761333D}" name="Column6061"/>
    <tableColumn id="6068" xr3:uid="{5D7DA351-5469-4B66-A7D9-1B738742DE35}" name="Column6062"/>
    <tableColumn id="6069" xr3:uid="{3A3BFF37-F56C-442A-8ED7-2DA1D4DBC8F3}" name="Column6063"/>
    <tableColumn id="6070" xr3:uid="{AC79C68A-5617-49DC-9A7F-207ABB84668D}" name="Column6064"/>
    <tableColumn id="6071" xr3:uid="{04FEE0D8-C048-44F4-8360-96A92E2CBBC8}" name="Column6065"/>
    <tableColumn id="6072" xr3:uid="{2FF1E788-24E3-49E3-A006-DAB7324AC5E4}" name="Column6066"/>
    <tableColumn id="6073" xr3:uid="{8B22D994-069F-4E2D-826D-41700C572EE6}" name="Column6067"/>
    <tableColumn id="6074" xr3:uid="{13C6EB8A-E8C2-41C1-965F-94A285FD7897}" name="Column6068"/>
    <tableColumn id="6075" xr3:uid="{8373182D-3F21-4D87-92C9-0F6AD5F97E78}" name="Column6069"/>
    <tableColumn id="6076" xr3:uid="{63CA7AEA-66A6-4684-982A-64C232BB78C5}" name="Column6070"/>
    <tableColumn id="6077" xr3:uid="{FDA2D7E6-08B6-49D8-A2E4-F6F059857FAA}" name="Column6071"/>
    <tableColumn id="6078" xr3:uid="{969F89C4-A0FA-45EF-8C9D-D94D29D40E64}" name="Column6072"/>
    <tableColumn id="6079" xr3:uid="{98E09ED2-AB47-409B-9D20-E35961641F65}" name="Column6073"/>
    <tableColumn id="6080" xr3:uid="{FBD88BCF-AADE-456A-A4B0-F04C488FC6B4}" name="Column6074"/>
    <tableColumn id="6081" xr3:uid="{C059355F-AD90-4DE6-B247-98F07F81710E}" name="Column6075"/>
    <tableColumn id="6082" xr3:uid="{783E38F6-BE54-4FCD-A435-773BCB26F753}" name="Column6076"/>
    <tableColumn id="6083" xr3:uid="{7D6DA88F-C9AB-4A53-BDB8-B4ADCAB44AA1}" name="Column6077"/>
    <tableColumn id="6084" xr3:uid="{F5BF4328-B0E0-4E05-8C12-050E308BD839}" name="Column6078"/>
    <tableColumn id="6085" xr3:uid="{81B76A17-B5EC-4EEF-8530-70880856C33B}" name="Column6079"/>
    <tableColumn id="6086" xr3:uid="{A0C06996-6C9C-4AB2-A927-EA70F4B03A61}" name="Column6080"/>
    <tableColumn id="6087" xr3:uid="{4E0C2EB2-F346-48E4-A828-37D285E9E4B9}" name="Column6081"/>
    <tableColumn id="6088" xr3:uid="{2EEE4FB7-0DB4-4E40-95D1-652A10040BF1}" name="Column6082"/>
    <tableColumn id="6089" xr3:uid="{EB537B8F-30C0-4FF1-825A-23C31616FCB1}" name="Column6083"/>
    <tableColumn id="6090" xr3:uid="{18441C54-ECEA-479B-8BB3-3784E7E914F4}" name="Column6084"/>
    <tableColumn id="6091" xr3:uid="{083A58D7-3330-433A-BA44-A3C258DF85DC}" name="Column6085"/>
    <tableColumn id="6092" xr3:uid="{34376C3B-D3FA-45C5-8875-5B4FA05B96F8}" name="Column6086"/>
    <tableColumn id="6093" xr3:uid="{F2CB67FD-3738-47C0-A50F-CCB77D730535}" name="Column6087"/>
    <tableColumn id="6094" xr3:uid="{E48656CF-3888-4900-A3B9-E5A81D8C0629}" name="Column6088"/>
    <tableColumn id="6095" xr3:uid="{0BC40CC6-2EA6-4DF7-B08C-36A89609EFE4}" name="Column6089"/>
    <tableColumn id="6096" xr3:uid="{C7BF63CF-8901-43BF-84C3-4FC1B1807770}" name="Column6090"/>
    <tableColumn id="6097" xr3:uid="{87A12A86-1A82-4102-9EA5-672696ABC8B4}" name="Column6091"/>
    <tableColumn id="6098" xr3:uid="{9E44CE41-F2E8-48BB-B8D4-A468BEF4F1C9}" name="Column6092"/>
    <tableColumn id="6099" xr3:uid="{C15323FA-214B-445B-BEFB-AC1C72075EF6}" name="Column6093"/>
    <tableColumn id="6100" xr3:uid="{4D59D7AD-4E84-4E01-9E40-3CA8C03FD8A1}" name="Column6094"/>
    <tableColumn id="6101" xr3:uid="{EC581B2A-F089-4E1B-83DF-FBE37C745A95}" name="Column6095"/>
    <tableColumn id="6102" xr3:uid="{928F1378-FA4C-4D4E-B12B-934E14D5754B}" name="Column6096"/>
    <tableColumn id="6103" xr3:uid="{FD4F9EC4-AFD9-48A4-BA0D-6ABE80213743}" name="Column6097"/>
    <tableColumn id="6104" xr3:uid="{BE59D4C2-C064-4AB3-9510-A9A2E0F13A65}" name="Column6098"/>
    <tableColumn id="6105" xr3:uid="{DD40EC9C-097B-4D33-89D3-0C04F7026407}" name="Column6099"/>
    <tableColumn id="6106" xr3:uid="{33442E02-BA4F-47FB-A4D6-C22FA026E362}" name="Column6100"/>
    <tableColumn id="6107" xr3:uid="{A76BAE30-8D3B-4AF8-92D3-069683894387}" name="Column6101"/>
    <tableColumn id="6108" xr3:uid="{DD7CB5A7-DD28-47E9-B2D1-9C8C911867D2}" name="Column6102"/>
    <tableColumn id="6109" xr3:uid="{AC338532-8588-4605-A132-F2749668B167}" name="Column6103"/>
    <tableColumn id="6110" xr3:uid="{180BE373-F683-4B6F-A876-2AAA6EC3AC3D}" name="Column6104"/>
    <tableColumn id="6111" xr3:uid="{1AF7E3FF-F79C-4E96-B545-81B05B19DFCC}" name="Column6105"/>
    <tableColumn id="6112" xr3:uid="{89997393-7AE8-4B4A-9323-706B3129E2F9}" name="Column6106"/>
    <tableColumn id="6113" xr3:uid="{B8DC961E-FF99-4114-8244-B651F98698E0}" name="Column6107"/>
    <tableColumn id="6114" xr3:uid="{B66A57A1-D0C0-426F-B56E-EB15AE9AAA89}" name="Column6108"/>
    <tableColumn id="6115" xr3:uid="{0E561BA7-A77E-41DF-934D-C3FF0B85FC0D}" name="Column6109"/>
    <tableColumn id="6116" xr3:uid="{F2EAD246-1C86-4EBD-93FD-19A32D060DD4}" name="Column6110"/>
    <tableColumn id="6117" xr3:uid="{3431BC5C-D78E-47B9-B767-4524CA85802B}" name="Column6111"/>
    <tableColumn id="6118" xr3:uid="{BF8BB100-C9D7-4AEE-AE51-FA71067A7D8F}" name="Column6112"/>
    <tableColumn id="6119" xr3:uid="{CAD8CC12-761D-4791-8190-47CAC02F1070}" name="Column6113"/>
    <tableColumn id="6120" xr3:uid="{A5682367-DC83-4C7A-B43E-5991DD82C827}" name="Column6114"/>
    <tableColumn id="6121" xr3:uid="{3F46B3B0-5615-42ED-B223-028E6C36B84F}" name="Column6115"/>
    <tableColumn id="6122" xr3:uid="{E6CA2BFB-4697-44A8-A929-7AF80C6234E8}" name="Column6116"/>
    <tableColumn id="6123" xr3:uid="{26FBB1EF-ECB2-4385-A180-BDF8304CCF70}" name="Column6117"/>
    <tableColumn id="6124" xr3:uid="{FFAF647C-3A52-4832-B4D3-7746B29AE8A7}" name="Column6118"/>
    <tableColumn id="6125" xr3:uid="{8B943EE0-C08E-404D-8E31-1C312888FF8F}" name="Column6119"/>
    <tableColumn id="6126" xr3:uid="{80D1DFA9-A08C-4CE7-BECB-5DC3AB0512A9}" name="Column6120"/>
    <tableColumn id="6127" xr3:uid="{1244AC1C-8F83-49D9-AA24-8B5A42009E94}" name="Column6121"/>
    <tableColumn id="6128" xr3:uid="{C8A5F282-E48C-44B0-9E34-85F697942364}" name="Column6122"/>
    <tableColumn id="6129" xr3:uid="{BB82AD6D-6E4D-4A11-BAB3-5F10C3969142}" name="Column6123"/>
    <tableColumn id="6130" xr3:uid="{84978565-59A6-416C-8274-BDDE19F11BB4}" name="Column6124"/>
    <tableColumn id="6131" xr3:uid="{BB8C5853-10EE-4609-A40C-CA602708B8AD}" name="Column6125"/>
    <tableColumn id="6132" xr3:uid="{319A44F7-CD02-477C-BC7C-B7771B3D9C26}" name="Column6126"/>
    <tableColumn id="6133" xr3:uid="{54E1E045-8E64-442C-BACA-C1A328D4E5AC}" name="Column6127"/>
    <tableColumn id="6134" xr3:uid="{650D593F-1D23-4812-9B78-29E087B6E2B4}" name="Column6128"/>
    <tableColumn id="6135" xr3:uid="{513BA1BA-DF0F-4666-B67F-59A2A0FC7E71}" name="Column6129"/>
    <tableColumn id="6136" xr3:uid="{55F6F6E3-A4C6-4E3B-8E83-D6B6189B5DDF}" name="Column6130"/>
    <tableColumn id="6137" xr3:uid="{BD7737BD-334A-4337-BF43-097BDBAAE474}" name="Column6131"/>
    <tableColumn id="6138" xr3:uid="{88889D2A-ECA8-444C-88EA-A2309E280B9E}" name="Column6132"/>
    <tableColumn id="6139" xr3:uid="{5F31921E-BCEC-4411-953E-9924B80205BB}" name="Column6133"/>
    <tableColumn id="6140" xr3:uid="{31BE2078-0050-4A2F-8561-2580CC3EB610}" name="Column6134"/>
    <tableColumn id="6141" xr3:uid="{CFCFD59C-6279-4D78-A6F5-25233ED83574}" name="Column6135"/>
    <tableColumn id="6142" xr3:uid="{EC27BD52-5880-451A-B70D-EB1568CE5CA3}" name="Column6136"/>
    <tableColumn id="6143" xr3:uid="{449D2614-67C0-4E47-A7E9-B361E2B4B6E6}" name="Column6137"/>
    <tableColumn id="6144" xr3:uid="{74349E89-8B56-48D2-8025-70D51B79CEFC}" name="Column6138"/>
    <tableColumn id="6145" xr3:uid="{228D47FA-55A4-4A0D-AB6B-AB828CF07B82}" name="Column6139"/>
    <tableColumn id="6146" xr3:uid="{2A619B12-3ECB-4EBC-A539-B3FD97F38891}" name="Column6140"/>
    <tableColumn id="6147" xr3:uid="{DBB8687C-7745-415A-887E-7EEABA048F05}" name="Column6141"/>
    <tableColumn id="6148" xr3:uid="{4BDBC88B-FFC6-4EA7-AE2F-BB2B95A1EAA8}" name="Column6142"/>
    <tableColumn id="6149" xr3:uid="{BC1D604A-2DCC-4040-9D2E-DB0525BD0B0E}" name="Column6143"/>
    <tableColumn id="6150" xr3:uid="{1C6D8FE3-AF9A-42D7-9604-B55341A2E496}" name="Column6144"/>
    <tableColumn id="6151" xr3:uid="{6DC8DC6D-FB8B-4618-9811-3F6981E7A994}" name="Column6145"/>
    <tableColumn id="6152" xr3:uid="{579FF9C9-2CC2-4D50-B2B8-F26969192343}" name="Column6146"/>
    <tableColumn id="6153" xr3:uid="{F2D5A4D6-B469-418D-96B6-8C7BB6CA151D}" name="Column6147"/>
    <tableColumn id="6154" xr3:uid="{7A984CAF-57B9-4392-88B9-60631587ED78}" name="Column6148"/>
    <tableColumn id="6155" xr3:uid="{7772302E-5FBD-491B-B639-30AEB4F09DEB}" name="Column6149"/>
    <tableColumn id="6156" xr3:uid="{A050A0C2-6DBE-4CDF-B5F6-9DA0B7EA3F34}" name="Column6150"/>
    <tableColumn id="6157" xr3:uid="{5E9E65C1-E6F8-4EF2-9FEF-DC397A3E02C6}" name="Column6151"/>
    <tableColumn id="6158" xr3:uid="{B05C3418-00DC-412C-A70B-5135228DECBF}" name="Column6152"/>
    <tableColumn id="6159" xr3:uid="{7E67AAEF-7278-4B64-8388-3E6018909854}" name="Column6153"/>
    <tableColumn id="6160" xr3:uid="{1769C51E-5E07-4F02-99AA-0F3EE3B1D974}" name="Column6154"/>
    <tableColumn id="6161" xr3:uid="{6684FEFE-A3EF-4AE9-8C46-7B749BA9DA06}" name="Column6155"/>
    <tableColumn id="6162" xr3:uid="{0F816D78-276C-4305-A5DF-7F1F4C3418A3}" name="Column6156"/>
    <tableColumn id="6163" xr3:uid="{DAE7CB2C-1B70-4652-967D-FB60BF53BF78}" name="Column6157"/>
    <tableColumn id="6164" xr3:uid="{9D49331A-916C-45BF-96A1-E438DBB0DEE7}" name="Column6158"/>
    <tableColumn id="6165" xr3:uid="{D2A055CF-9995-45F9-B490-E478606E52B6}" name="Column6159"/>
    <tableColumn id="6166" xr3:uid="{E44ADB36-4ADC-497A-9AC9-71B9C68F4BEF}" name="Column6160"/>
    <tableColumn id="6167" xr3:uid="{488F05D4-F09F-40D2-8DCF-A48677670DFC}" name="Column6161"/>
    <tableColumn id="6168" xr3:uid="{BE4436C4-8F34-409C-A8E7-FC82B8D2DE6D}" name="Column6162"/>
    <tableColumn id="6169" xr3:uid="{DDF9FCF9-B9E0-4B63-B1AC-8C111DF38949}" name="Column6163"/>
    <tableColumn id="6170" xr3:uid="{2AC50EFF-E1A4-4106-85D5-D74012B8D974}" name="Column6164"/>
    <tableColumn id="6171" xr3:uid="{8E645DC8-809C-46F7-A49C-8435F8698905}" name="Column6165"/>
    <tableColumn id="6172" xr3:uid="{8E6F5AE7-6806-43F5-80A8-A2A31FCE2B87}" name="Column6166"/>
    <tableColumn id="6173" xr3:uid="{42F4C51D-B2CA-48A7-A305-C1E329DC2D41}" name="Column6167"/>
    <tableColumn id="6174" xr3:uid="{F6A2A37E-1FB3-47C0-86D8-3EE286AB88C3}" name="Column6168"/>
    <tableColumn id="6175" xr3:uid="{4B720B37-FA47-4612-9C47-6FB6A3A6DC1D}" name="Column6169"/>
    <tableColumn id="6176" xr3:uid="{AD51B4F7-FFFB-46E7-A1B7-9DEA4EE8948B}" name="Column6170"/>
    <tableColumn id="6177" xr3:uid="{EFBA0AB5-D2EC-49F0-8A51-84F5AC6602E8}" name="Column6171"/>
    <tableColumn id="6178" xr3:uid="{EF83BAA1-6D53-44D7-A82A-752EADC1D16B}" name="Column6172"/>
    <tableColumn id="6179" xr3:uid="{5D2FBD0A-9C88-4A8E-8B6D-F9F214B2D8CA}" name="Column6173"/>
    <tableColumn id="6180" xr3:uid="{931AA731-468C-4DC8-81DB-3958A7A379B5}" name="Column6174"/>
    <tableColumn id="6181" xr3:uid="{88849578-DBC1-4282-98CC-44BCECDBD200}" name="Column6175"/>
    <tableColumn id="6182" xr3:uid="{76569533-1167-4F93-B500-A24E2454ACF8}" name="Column6176"/>
    <tableColumn id="6183" xr3:uid="{CFA0C01C-D5CA-409D-B3A1-C9682BABDFFF}" name="Column6177"/>
    <tableColumn id="6184" xr3:uid="{AC3EAF10-D82D-4BCE-8D9E-16C563168F9D}" name="Column6178"/>
    <tableColumn id="6185" xr3:uid="{D35BDD5C-2F18-4F37-A5E6-EDEA8767D8A9}" name="Column6179"/>
    <tableColumn id="6186" xr3:uid="{D9956EC3-BF6E-4E16-8E07-D93380F56FFD}" name="Column6180"/>
    <tableColumn id="6187" xr3:uid="{83A64858-2381-4B5F-A367-B322A2E86BA4}" name="Column6181"/>
    <tableColumn id="6188" xr3:uid="{37F31BF9-76F4-46F1-945B-263971E070EA}" name="Column6182"/>
    <tableColumn id="6189" xr3:uid="{F00DBC31-8670-4A81-8522-FF587A644986}" name="Column6183"/>
    <tableColumn id="6190" xr3:uid="{1D231EE9-5C81-4FD6-9EEC-F0801EA9926F}" name="Column6184"/>
    <tableColumn id="6191" xr3:uid="{6BA6029A-3CB4-45B9-8BF0-5E0822533BEE}" name="Column6185"/>
    <tableColumn id="6192" xr3:uid="{FCDA6160-1354-452F-91D4-D48BABD4115D}" name="Column6186"/>
    <tableColumn id="6193" xr3:uid="{312036C0-9DA6-44A0-BD91-1777243F3E2D}" name="Column6187"/>
    <tableColumn id="6194" xr3:uid="{EF769089-1622-49B6-AA79-F0848FBD3939}" name="Column6188"/>
    <tableColumn id="6195" xr3:uid="{6163353B-49F8-47E7-AB32-4A7319B9A553}" name="Column6189"/>
    <tableColumn id="6196" xr3:uid="{91FAC1A1-D511-4EBC-887A-3EA3B12B103C}" name="Column6190"/>
    <tableColumn id="6197" xr3:uid="{D0C8AA4F-5C50-49B9-A6C7-EA0AE012F01B}" name="Column6191"/>
    <tableColumn id="6198" xr3:uid="{DF3651DE-615D-4E92-97AD-DBE9AB04CD30}" name="Column6192"/>
    <tableColumn id="6199" xr3:uid="{6BECA56A-BE14-4F00-A0B4-151E356AB624}" name="Column6193"/>
    <tableColumn id="6200" xr3:uid="{5AF6615B-61D7-483D-A50B-DEA4D132FBBA}" name="Column6194"/>
    <tableColumn id="6201" xr3:uid="{BAF62E1F-1D5A-4855-85B7-E9AB3DA0E1F9}" name="Column6195"/>
    <tableColumn id="6202" xr3:uid="{231506E0-6301-44A7-B0B7-23592A23603E}" name="Column6196"/>
    <tableColumn id="6203" xr3:uid="{6E047999-4B69-43B4-9A39-09A0E497811B}" name="Column6197"/>
    <tableColumn id="6204" xr3:uid="{30EE0B3F-56F4-4F8C-BC27-B47BA46A1EF2}" name="Column6198"/>
    <tableColumn id="6205" xr3:uid="{50387C8A-1509-4B8F-BE6F-E7D5BD0A6B7D}" name="Column6199"/>
    <tableColumn id="6206" xr3:uid="{18AE7356-8F08-4559-B6D7-860A973C4994}" name="Column6200"/>
    <tableColumn id="6207" xr3:uid="{C7D7A6FC-F7D2-444B-8C8E-ED73E8F78908}" name="Column6201"/>
    <tableColumn id="6208" xr3:uid="{3D756399-4D99-4578-ACA3-8868D1939386}" name="Column6202"/>
    <tableColumn id="6209" xr3:uid="{3B20059E-64B9-4D7D-AA61-AE135AB608F4}" name="Column6203"/>
    <tableColumn id="6210" xr3:uid="{3958177E-00BE-40D9-B892-5DA17CEAD4C6}" name="Column6204"/>
    <tableColumn id="6211" xr3:uid="{93E2A734-0AD8-4D7E-8F95-0780716378AA}" name="Column6205"/>
    <tableColumn id="6212" xr3:uid="{71087F4A-1D6D-4C67-B16F-4F853FA09236}" name="Column6206"/>
    <tableColumn id="6213" xr3:uid="{AFBF0348-208A-4EB8-A241-3B2AB39C42F7}" name="Column6207"/>
    <tableColumn id="6214" xr3:uid="{EF38F34C-C341-4FB6-8185-F521FAA85424}" name="Column6208"/>
    <tableColumn id="6215" xr3:uid="{1EF7A99D-7E9E-4298-904B-E8A2E0D916F1}" name="Column6209"/>
    <tableColumn id="6216" xr3:uid="{42F589DF-FA2A-4A5B-8132-BE62B4E77926}" name="Column6210"/>
    <tableColumn id="6217" xr3:uid="{69080811-D134-429A-BD58-C74698291CF3}" name="Column6211"/>
    <tableColumn id="6218" xr3:uid="{21919711-D668-4268-A4A3-63B6274A6E90}" name="Column6212"/>
    <tableColumn id="6219" xr3:uid="{235A82F5-A819-4450-A49B-E42CBA671244}" name="Column6213"/>
    <tableColumn id="6220" xr3:uid="{22BE0FE5-B9E8-41FA-9B95-2505A07125F9}" name="Column6214"/>
    <tableColumn id="6221" xr3:uid="{6B102CDD-C85C-4DB0-8DEC-C9DFAB181B26}" name="Column6215"/>
    <tableColumn id="6222" xr3:uid="{71F7570C-2EE2-4929-853A-8345A44BD9A4}" name="Column6216"/>
    <tableColumn id="6223" xr3:uid="{8BE5F6EE-D2C5-4A83-9662-7A73410D1E1D}" name="Column6217"/>
    <tableColumn id="6224" xr3:uid="{0026C652-7C2E-4113-8632-8ADA5B28265A}" name="Column6218"/>
    <tableColumn id="6225" xr3:uid="{5A70A8CA-552D-456F-B0E3-CC797E5C35BF}" name="Column6219"/>
    <tableColumn id="6226" xr3:uid="{AB257475-25A2-4215-869A-3F36915536B9}" name="Column6220"/>
    <tableColumn id="6227" xr3:uid="{00797119-C136-49AC-B63D-684B2A74BFA4}" name="Column6221"/>
    <tableColumn id="6228" xr3:uid="{5A6984D6-0F6E-4FB6-9E90-5633460F8825}" name="Column6222"/>
    <tableColumn id="6229" xr3:uid="{982120CD-4A2E-47DE-90B0-A3525B32117E}" name="Column6223"/>
    <tableColumn id="6230" xr3:uid="{74397549-76A4-4F8E-9A42-CAEE4C4496BA}" name="Column6224"/>
    <tableColumn id="6231" xr3:uid="{69E816D5-5777-4C61-BF56-ED1EB04C4A5C}" name="Column6225"/>
    <tableColumn id="6232" xr3:uid="{DECC0A87-F525-41A5-8304-0A2B00FF7B59}" name="Column6226"/>
    <tableColumn id="6233" xr3:uid="{E38A6E62-FEED-48D6-8CB5-E2F3C21B2287}" name="Column6227"/>
    <tableColumn id="6234" xr3:uid="{7E413C2B-9515-4E40-8D03-BBF28408EF47}" name="Column6228"/>
    <tableColumn id="6235" xr3:uid="{78C62021-0DFF-42D4-B97B-92861137AC5B}" name="Column6229"/>
    <tableColumn id="6236" xr3:uid="{E18D8F51-36D4-4DE7-9F98-5F1E2C24488B}" name="Column6230"/>
    <tableColumn id="6237" xr3:uid="{0DB1B7DD-AA51-4811-8996-D85091563E0F}" name="Column6231"/>
    <tableColumn id="6238" xr3:uid="{75E38720-FAFB-4487-95DE-B8B84A9E4529}" name="Column6232"/>
    <tableColumn id="6239" xr3:uid="{984FEF0C-06AB-4ACF-BE12-84AA8A35ED50}" name="Column6233"/>
    <tableColumn id="6240" xr3:uid="{01595A01-389A-4AE2-A8B7-F5059D42C2EB}" name="Column6234"/>
    <tableColumn id="6241" xr3:uid="{FEFB73EB-1DB1-4347-8D67-1F8CD6AE08C1}" name="Column6235"/>
    <tableColumn id="6242" xr3:uid="{CC9BF808-CA00-47C3-8054-42DB77017F4F}" name="Column6236"/>
    <tableColumn id="6243" xr3:uid="{89CA566E-5A39-495F-8846-87655055A0B5}" name="Column6237"/>
    <tableColumn id="6244" xr3:uid="{BE5C8F0A-C023-4A6B-AD41-5E7970F1E439}" name="Column6238"/>
    <tableColumn id="6245" xr3:uid="{21209C28-B08A-4862-BBBC-B51BEAD040E4}" name="Column6239"/>
    <tableColumn id="6246" xr3:uid="{2D028B2E-DEEE-4E99-A011-F9C2C8A74BCA}" name="Column6240"/>
    <tableColumn id="6247" xr3:uid="{14EA5AC7-5E4E-43BF-8A75-60901D273D9A}" name="Column6241"/>
    <tableColumn id="6248" xr3:uid="{B5EAD063-3547-4C47-9265-6A6190B5F13E}" name="Column6242"/>
    <tableColumn id="6249" xr3:uid="{A32B17F4-DD38-47F6-BEA5-156FC040DE2D}" name="Column6243"/>
    <tableColumn id="6250" xr3:uid="{C64C2169-420C-4043-963D-26C3147B6D7D}" name="Column6244"/>
    <tableColumn id="6251" xr3:uid="{3B177022-A9FF-455C-B6AE-84A36422D4D1}" name="Column6245"/>
    <tableColumn id="6252" xr3:uid="{AEEA44C6-14DF-426A-B79D-47B958FF6D1F}" name="Column6246"/>
    <tableColumn id="6253" xr3:uid="{3AED24CC-F913-4618-AB0F-D0C957F22730}" name="Column6247"/>
    <tableColumn id="6254" xr3:uid="{8EA24A0C-8C78-4A8E-8B1F-3D05BB860A0B}" name="Column6248"/>
    <tableColumn id="6255" xr3:uid="{0E83846A-6044-41DB-A9C2-ACAB67222E41}" name="Column6249"/>
    <tableColumn id="6256" xr3:uid="{099896AB-3DC3-41F0-946F-33812EE33926}" name="Column6250"/>
    <tableColumn id="6257" xr3:uid="{846C1929-5035-432D-8C96-6340DCA05B80}" name="Column6251"/>
    <tableColumn id="6258" xr3:uid="{B4239346-704E-4367-806C-35B5D6920964}" name="Column6252"/>
    <tableColumn id="6259" xr3:uid="{EF7A51FD-FE5D-4ECB-9422-92F2CD71E91E}" name="Column6253"/>
    <tableColumn id="6260" xr3:uid="{39925812-E580-4AFA-BDF5-017ABFFC14EC}" name="Column6254"/>
    <tableColumn id="6261" xr3:uid="{E99A9057-81E6-4286-AA52-032E3745EEFE}" name="Column6255"/>
    <tableColumn id="6262" xr3:uid="{5FE7276A-1858-432E-B763-9FF04B87A5DE}" name="Column6256"/>
    <tableColumn id="6263" xr3:uid="{F69B657E-6138-4EEC-B5C5-6507E85A3BD5}" name="Column6257"/>
    <tableColumn id="6264" xr3:uid="{B9D41BBB-5418-4B5E-A2C0-8531B77092D7}" name="Column6258"/>
    <tableColumn id="6265" xr3:uid="{9FB8D460-C14E-4C3D-8C69-8C640474C202}" name="Column6259"/>
    <tableColumn id="6266" xr3:uid="{AB1B4189-8D4D-46D9-B620-955624F4989D}" name="Column6260"/>
    <tableColumn id="6267" xr3:uid="{8DF803E4-FB4E-47B3-99BF-761F71A2AB3E}" name="Column6261"/>
    <tableColumn id="6268" xr3:uid="{F72012AF-838C-40B7-8C3C-B6721C68E724}" name="Column6262"/>
    <tableColumn id="6269" xr3:uid="{72FA2ED4-DEED-4CBF-AD31-8EBA1A35250C}" name="Column6263"/>
    <tableColumn id="6270" xr3:uid="{0D9C0BC7-D09F-4AEA-9787-5F2B0286F368}" name="Column6264"/>
    <tableColumn id="6271" xr3:uid="{D23520E5-70CA-4E6B-BDB0-A8ABBE037EFF}" name="Column6265"/>
    <tableColumn id="6272" xr3:uid="{00AEF569-A50A-4451-A09E-10C2241D49EC}" name="Column6266"/>
    <tableColumn id="6273" xr3:uid="{149CB9CD-5827-4110-AC9F-C616493AC814}" name="Column6267"/>
    <tableColumn id="6274" xr3:uid="{5FA00F33-30BA-4A67-B64E-F6A51F69509F}" name="Column6268"/>
    <tableColumn id="6275" xr3:uid="{1FC721F1-9119-4DAD-9E9F-3F0345B24358}" name="Column6269"/>
    <tableColumn id="6276" xr3:uid="{EBF9D724-6868-4844-BBC7-F9ED6FD03C29}" name="Column6270"/>
    <tableColumn id="6277" xr3:uid="{1380CB75-F010-430D-B5FE-057E1C83A714}" name="Column6271"/>
    <tableColumn id="6278" xr3:uid="{47DADC07-A275-4BB0-B97B-BD8734237D8C}" name="Column6272"/>
    <tableColumn id="6279" xr3:uid="{C9ADF623-30D2-40FE-B96F-B49B546F54ED}" name="Column6273"/>
    <tableColumn id="6280" xr3:uid="{66D541F2-01FD-4599-849B-0E2B2DF179D2}" name="Column6274"/>
    <tableColumn id="6281" xr3:uid="{ACFA87BC-C582-4AF3-859F-B89CDD20755E}" name="Column6275"/>
    <tableColumn id="6282" xr3:uid="{33959C8D-62A3-4C17-862F-768B9BA0505A}" name="Column6276"/>
    <tableColumn id="6283" xr3:uid="{C48B3237-2CF6-4B1D-9E4C-516053A1FB51}" name="Column6277"/>
    <tableColumn id="6284" xr3:uid="{50228D70-0F58-4EB5-91C1-461A03FF06AA}" name="Column6278"/>
    <tableColumn id="6285" xr3:uid="{3D8A5621-572D-4244-AA2E-9D876637AEBB}" name="Column6279"/>
    <tableColumn id="6286" xr3:uid="{18A86AA3-CAB3-4D6E-B384-C93FB210D9F0}" name="Column6280"/>
    <tableColumn id="6287" xr3:uid="{3072A9BB-418C-4A36-98CA-D777E005AB20}" name="Column6281"/>
    <tableColumn id="6288" xr3:uid="{53F951B9-0494-407C-9B0B-82AA53B552DB}" name="Column6282"/>
    <tableColumn id="6289" xr3:uid="{C932C7DF-C3C9-49CA-8E15-A72E56E0ABD4}" name="Column6283"/>
    <tableColumn id="6290" xr3:uid="{6ADB9CE7-261E-4391-B3FD-598219749E7D}" name="Column6284"/>
    <tableColumn id="6291" xr3:uid="{517F0BB9-BCE6-499E-95A1-A732C864FB83}" name="Column6285"/>
    <tableColumn id="6292" xr3:uid="{17B32E1B-15F6-4390-91EC-2F18DD69A863}" name="Column6286"/>
    <tableColumn id="6293" xr3:uid="{D0DB614B-713C-4F43-83F7-E16657E02EDF}" name="Column6287"/>
    <tableColumn id="6294" xr3:uid="{D3888324-F06E-443A-BCE9-F59EF72EA9D8}" name="Column6288"/>
    <tableColumn id="6295" xr3:uid="{3A79E312-79E1-424C-8D6E-78896AF02E83}" name="Column6289"/>
    <tableColumn id="6296" xr3:uid="{8C7B3090-0CC7-4F6E-B518-368E22C29998}" name="Column6290"/>
    <tableColumn id="6297" xr3:uid="{76D33AB5-B58F-462F-A235-F864C65E2FB6}" name="Column6291"/>
    <tableColumn id="6298" xr3:uid="{CFEED2EE-0BEB-46A9-A9F0-790960DBEC8C}" name="Column6292"/>
    <tableColumn id="6299" xr3:uid="{1FEA69E8-52DD-4AAC-9359-CE974F31F43C}" name="Column6293"/>
    <tableColumn id="6300" xr3:uid="{5B40F02E-EA4A-4867-A7F4-2444AB5F8FAB}" name="Column6294"/>
    <tableColumn id="6301" xr3:uid="{00143525-E6D3-4A7D-8089-DB2A93145F76}" name="Column6295"/>
    <tableColumn id="6302" xr3:uid="{2BC8F138-C5AB-462F-9CF4-B17750A17A01}" name="Column6296"/>
    <tableColumn id="6303" xr3:uid="{5843682B-D0B2-481E-8316-C5DC80D16BA1}" name="Column6297"/>
    <tableColumn id="6304" xr3:uid="{AA9DE4A6-1CD2-4966-B8D5-45AB6555E9A7}" name="Column6298"/>
    <tableColumn id="6305" xr3:uid="{5BB38D84-6CDB-441D-BCF7-3F9AE3F25DA1}" name="Column6299"/>
    <tableColumn id="6306" xr3:uid="{C028DB24-6A9C-442B-8049-F26D1A1E4160}" name="Column6300"/>
    <tableColumn id="6307" xr3:uid="{EF177994-A124-4C9B-9BCD-07731A7AB6B9}" name="Column6301"/>
    <tableColumn id="6308" xr3:uid="{8E2DF1C5-E484-42B7-9CE8-8711D371C2F5}" name="Column6302"/>
    <tableColumn id="6309" xr3:uid="{B775549B-A9D5-483D-BFB3-BD43B137DFE9}" name="Column6303"/>
    <tableColumn id="6310" xr3:uid="{31A6CAA1-875B-4D1E-B6EC-37CB6C064F2A}" name="Column6304"/>
    <tableColumn id="6311" xr3:uid="{3D8AD3F2-5534-48EB-AAA6-A7B30D7BCC94}" name="Column6305"/>
    <tableColumn id="6312" xr3:uid="{48148D79-8EFD-4947-A1C6-47F80C48B4AE}" name="Column6306"/>
    <tableColumn id="6313" xr3:uid="{4E2F0820-0B79-44DD-A191-0547F5559ADC}" name="Column6307"/>
    <tableColumn id="6314" xr3:uid="{578A8C7E-8E23-4C33-AC8F-054E161A116E}" name="Column6308"/>
    <tableColumn id="6315" xr3:uid="{542103BC-3046-4A80-8E69-A50337245FDD}" name="Column6309"/>
    <tableColumn id="6316" xr3:uid="{C5A3DD28-CC42-4957-80AF-2A6DAF26B893}" name="Column6310"/>
    <tableColumn id="6317" xr3:uid="{992A773E-917E-41CD-A007-08706B9C9086}" name="Column6311"/>
    <tableColumn id="6318" xr3:uid="{88A0153C-96BC-49F7-89F3-EA9196F037D8}" name="Column6312"/>
    <tableColumn id="6319" xr3:uid="{926EA1C2-ACF5-4115-867B-37A4BA73ECB4}" name="Column6313"/>
    <tableColumn id="6320" xr3:uid="{EC509E0B-0D1A-4BEB-ABCC-EB596132A986}" name="Column6314"/>
    <tableColumn id="6321" xr3:uid="{18ADBEA9-8A9A-4B00-A9E3-108849E869B9}" name="Column6315"/>
    <tableColumn id="6322" xr3:uid="{429E706A-E190-4261-A922-1CE9FCEA60C6}" name="Column6316"/>
    <tableColumn id="6323" xr3:uid="{6E7861DB-04F9-4ADB-8BF3-BF812F6141D0}" name="Column6317"/>
    <tableColumn id="6324" xr3:uid="{B021C961-F64F-426A-A72B-582797037679}" name="Column6318"/>
    <tableColumn id="6325" xr3:uid="{26EEFEB4-00D8-49FE-8FBB-F350310056F6}" name="Column6319"/>
    <tableColumn id="6326" xr3:uid="{D50700F4-003D-4932-AF6B-23232925FB2E}" name="Column6320"/>
    <tableColumn id="6327" xr3:uid="{10199103-381C-471B-A6BA-A59516842FA5}" name="Column6321"/>
    <tableColumn id="6328" xr3:uid="{498CEEC7-3CED-4985-A4BD-F668677A1332}" name="Column6322"/>
    <tableColumn id="6329" xr3:uid="{81231E63-462E-4A16-A78A-D8C2B030A297}" name="Column6323"/>
    <tableColumn id="6330" xr3:uid="{B38D62B1-A997-4C8C-9257-3A42431CB094}" name="Column6324"/>
    <tableColumn id="6331" xr3:uid="{EC59EAD9-C1B6-4566-83F4-4DBA4BD4B998}" name="Column6325"/>
    <tableColumn id="6332" xr3:uid="{3026FF7E-8649-4BF3-BF97-476B8F322635}" name="Column6326"/>
    <tableColumn id="6333" xr3:uid="{BA4B59A5-E698-467D-8D15-9AB64B51E107}" name="Column6327"/>
    <tableColumn id="6334" xr3:uid="{14C763A8-460D-415C-82DA-56B8944164E8}" name="Column6328"/>
    <tableColumn id="6335" xr3:uid="{9CD82B60-C97A-43E7-AC73-EF2B97B58756}" name="Column6329"/>
    <tableColumn id="6336" xr3:uid="{697A6109-C3F4-4197-8838-C7DAA67E41F0}" name="Column6330"/>
    <tableColumn id="6337" xr3:uid="{B0C73F07-7882-4832-86FD-655779C55B3A}" name="Column6331"/>
    <tableColumn id="6338" xr3:uid="{9EEAD793-C364-4E38-A863-B702A0EE4333}" name="Column6332"/>
    <tableColumn id="6339" xr3:uid="{F3104EE9-4786-4051-BB47-BBFC19BC2CF2}" name="Column6333"/>
    <tableColumn id="6340" xr3:uid="{F987666A-0EEA-4E59-8016-79653062F600}" name="Column6334"/>
    <tableColumn id="6341" xr3:uid="{E92CD9E3-5716-4BA2-B28D-1F37C36FDA1B}" name="Column6335"/>
    <tableColumn id="6342" xr3:uid="{A088F719-7D9E-4C3A-9768-DA6741A85A29}" name="Column6336"/>
    <tableColumn id="6343" xr3:uid="{434B1089-245C-418F-B1BF-9AD443E699E6}" name="Column6337"/>
    <tableColumn id="6344" xr3:uid="{22B689F3-851C-4005-88F0-55DDC093F493}" name="Column6338"/>
    <tableColumn id="6345" xr3:uid="{1C6845E9-F1A8-48C3-B264-E7EEA3330F5E}" name="Column6339"/>
    <tableColumn id="6346" xr3:uid="{DA7EA7F4-C150-46CE-A52A-A0554B6C0836}" name="Column6340"/>
    <tableColumn id="6347" xr3:uid="{E05CB5FB-5CB9-4885-9F45-EC3DBB209402}" name="Column6341"/>
    <tableColumn id="6348" xr3:uid="{115DF6CA-AB26-484D-93A8-C2BE08012848}" name="Column6342"/>
    <tableColumn id="6349" xr3:uid="{854F4FF6-875B-43B6-A981-A613A91DB163}" name="Column6343"/>
    <tableColumn id="6350" xr3:uid="{9CD06EFF-1AA1-4106-8298-A165F7989BA4}" name="Column6344"/>
    <tableColumn id="6351" xr3:uid="{9B146485-CB0B-46B3-8ECB-F62D75CC714F}" name="Column6345"/>
    <tableColumn id="6352" xr3:uid="{9A3A2107-EF96-4787-98E8-54CF8EDDF4D2}" name="Column6346"/>
    <tableColumn id="6353" xr3:uid="{4A8C3D98-EE18-4ED3-B111-A0CEFEE4CB32}" name="Column6347"/>
    <tableColumn id="6354" xr3:uid="{B38C75D0-331C-4807-9AC3-14230AF794F6}" name="Column6348"/>
    <tableColumn id="6355" xr3:uid="{F7D8CC37-2949-4F72-8264-930B57A4D4EF}" name="Column6349"/>
    <tableColumn id="6356" xr3:uid="{C2F62DF4-9757-4B04-BA09-479B24C15835}" name="Column6350"/>
    <tableColumn id="6357" xr3:uid="{807D7AF6-2506-4949-AE1C-2009F5C530E8}" name="Column6351"/>
    <tableColumn id="6358" xr3:uid="{7A8938DC-BADA-470B-BDA2-71A17B668E9B}" name="Column6352"/>
    <tableColumn id="6359" xr3:uid="{E8B53238-8F6E-425B-901D-8E48424A71B8}" name="Column6353"/>
    <tableColumn id="6360" xr3:uid="{F4450101-825A-47AF-9259-277F696F9C7C}" name="Column6354"/>
    <tableColumn id="6361" xr3:uid="{D1B312B2-0F22-4A76-8E26-E07211FF16A0}" name="Column6355"/>
    <tableColumn id="6362" xr3:uid="{4348DD66-E150-4022-9ABA-1C3663286C63}" name="Column6356"/>
    <tableColumn id="6363" xr3:uid="{2C39EBA7-F01E-48DE-A45D-433AF38911A6}" name="Column6357"/>
    <tableColumn id="6364" xr3:uid="{33ACE145-4C26-46B9-91F2-5A027D7CA283}" name="Column6358"/>
    <tableColumn id="6365" xr3:uid="{75FD7307-CA71-48F5-BFE2-737C1636FC09}" name="Column6359"/>
    <tableColumn id="6366" xr3:uid="{6402BC9A-E222-4A11-9955-E43BF748FD32}" name="Column6360"/>
    <tableColumn id="6367" xr3:uid="{A1473590-FC8B-44B8-AC58-6F7705856E8B}" name="Column6361"/>
    <tableColumn id="6368" xr3:uid="{B2C35A99-E1EC-441A-91DD-F26E6CD3D196}" name="Column6362"/>
    <tableColumn id="6369" xr3:uid="{0D4C0D7A-7A75-4F40-B0F7-511C6DA2EF21}" name="Column6363"/>
    <tableColumn id="6370" xr3:uid="{B9183718-8DBE-4877-97C2-76A717266CAD}" name="Column6364"/>
    <tableColumn id="6371" xr3:uid="{A460C49A-8B7F-42DC-B2D2-60F75709B4E3}" name="Column6365"/>
    <tableColumn id="6372" xr3:uid="{21E756C6-7E3A-411D-A8A8-EFAB8E4BB9F9}" name="Column6366"/>
    <tableColumn id="6373" xr3:uid="{9E42C58E-B02B-4DE6-AA84-23D356A90244}" name="Column6367"/>
    <tableColumn id="6374" xr3:uid="{2A8A7A9B-BD41-4530-A81A-D3D6E213C807}" name="Column6368"/>
    <tableColumn id="6375" xr3:uid="{8F519D55-5372-4772-8095-D29CA4E65F97}" name="Column6369"/>
    <tableColumn id="6376" xr3:uid="{D80DF5C5-7723-464D-B3EE-EA4883A23F35}" name="Column6370"/>
    <tableColumn id="6377" xr3:uid="{40176E76-2145-4164-BE73-B2B3F777F338}" name="Column6371"/>
    <tableColumn id="6378" xr3:uid="{7E104E1B-FDB0-45A7-8222-5BE2AF8546EA}" name="Column6372"/>
    <tableColumn id="6379" xr3:uid="{D33E5CBB-4B20-4A97-AB83-D03DEF9D0BB1}" name="Column6373"/>
    <tableColumn id="6380" xr3:uid="{9605FDC0-94F0-4B85-AC37-424AA5738BC5}" name="Column6374"/>
    <tableColumn id="6381" xr3:uid="{3FC3FC78-7ADD-4138-B997-34EECF2AB2C2}" name="Column6375"/>
    <tableColumn id="6382" xr3:uid="{C93AD131-6AEA-4541-93FC-CF9D0FCDA426}" name="Column6376"/>
    <tableColumn id="6383" xr3:uid="{0D1F56DA-9003-4476-9EB3-963EEC022242}" name="Column6377"/>
    <tableColumn id="6384" xr3:uid="{0FEE3DD0-0004-4C64-B5AF-456AB43443EA}" name="Column6378"/>
    <tableColumn id="6385" xr3:uid="{3A3EEDF5-877E-4538-9FC8-8AF2330A54EF}" name="Column6379"/>
    <tableColumn id="6386" xr3:uid="{E0125292-0228-4261-A619-0B64F9C2115D}" name="Column6380"/>
    <tableColumn id="6387" xr3:uid="{AA150693-0149-44E6-8C8F-81A6F858C678}" name="Column6381"/>
    <tableColumn id="6388" xr3:uid="{40466A6E-A6FD-430B-AA2A-ABDC3E6B6226}" name="Column6382"/>
    <tableColumn id="6389" xr3:uid="{787B3276-14BC-4B17-BC40-E616E9E7A66F}" name="Column6383"/>
    <tableColumn id="6390" xr3:uid="{65FAA401-8582-4581-B50E-595155213DAC}" name="Column6384"/>
    <tableColumn id="6391" xr3:uid="{7D081831-363E-494C-BCB4-39E4D4B538FE}" name="Column6385"/>
    <tableColumn id="6392" xr3:uid="{E8B070A2-D137-46F4-9385-8C6C058F9DB8}" name="Column6386"/>
    <tableColumn id="6393" xr3:uid="{12AD3F18-2AB8-4DC2-A033-9FFE03E594B4}" name="Column6387"/>
    <tableColumn id="6394" xr3:uid="{947095A5-0F62-495C-8D34-56C6976A6B54}" name="Column6388"/>
    <tableColumn id="6395" xr3:uid="{CF1A70EE-4BE0-45C2-A39D-D40B42277013}" name="Column6389"/>
    <tableColumn id="6396" xr3:uid="{AC62B784-4661-4FC2-B36F-5046AE60B76C}" name="Column6390"/>
    <tableColumn id="6397" xr3:uid="{90F170DB-BA60-4CF1-BCD0-626D1EAF3E31}" name="Column6391"/>
    <tableColumn id="6398" xr3:uid="{6E518C81-8FA4-4FAC-8AB1-C9BEE553C740}" name="Column6392"/>
    <tableColumn id="6399" xr3:uid="{AB575E08-FC2F-4AD7-891B-5DE662B91387}" name="Column6393"/>
    <tableColumn id="6400" xr3:uid="{2E8E68D8-2BCA-467B-A2FB-ECE3C9BA1EEC}" name="Column6394"/>
    <tableColumn id="6401" xr3:uid="{3BC150A6-3424-461D-AADB-7A2919A1837B}" name="Column6395"/>
    <tableColumn id="6402" xr3:uid="{07F28D35-27DE-41F2-A4DE-D2A51149923D}" name="Column6396"/>
    <tableColumn id="6403" xr3:uid="{DA241C0D-BAED-4D3C-8323-70D4F8160FE3}" name="Column6397"/>
    <tableColumn id="6404" xr3:uid="{48F680F0-8832-476F-B6E3-2B7C1F056492}" name="Column6398"/>
    <tableColumn id="6405" xr3:uid="{56A20A8C-F73F-41AC-AFBF-F56F9E8CE5CA}" name="Column6399"/>
    <tableColumn id="6406" xr3:uid="{C1EC6C8F-08A8-4014-904C-9B0E067E245B}" name="Column6400"/>
    <tableColumn id="6407" xr3:uid="{F411B08E-B564-4E7C-93F0-75D5AC74139B}" name="Column6401"/>
    <tableColumn id="6408" xr3:uid="{0638F687-539E-4884-AEC2-F6C751445162}" name="Column6402"/>
    <tableColumn id="6409" xr3:uid="{53014427-20E5-47CD-A1C0-4852491C7316}" name="Column6403"/>
    <tableColumn id="6410" xr3:uid="{5607164F-A5DA-4075-AAA2-5588F9911850}" name="Column6404"/>
    <tableColumn id="6411" xr3:uid="{95440C16-0C39-42CB-BE8C-2810872675EB}" name="Column6405"/>
    <tableColumn id="6412" xr3:uid="{7194CBBD-AAE0-4B55-93D5-43C7F0517818}" name="Column6406"/>
    <tableColumn id="6413" xr3:uid="{239FEDED-7C26-43EE-889B-41BD255C3802}" name="Column6407"/>
    <tableColumn id="6414" xr3:uid="{1BF1D14D-FBE6-4597-A5D5-E879BE51EF1D}" name="Column6408"/>
    <tableColumn id="6415" xr3:uid="{1FB88C77-B1FC-43CB-AF49-985EC1136A3D}" name="Column6409"/>
    <tableColumn id="6416" xr3:uid="{8D428C80-EC2A-4C4C-A1E3-3A0FBC2F9E96}" name="Column6410"/>
    <tableColumn id="6417" xr3:uid="{0019DF2F-6E5B-4227-A089-8813229BB2E4}" name="Column6411"/>
    <tableColumn id="6418" xr3:uid="{3E63E25B-1A0B-42D6-89A1-8F237143E210}" name="Column6412"/>
    <tableColumn id="6419" xr3:uid="{43B1688E-FFCE-4BB6-8099-AD09AE80E4F8}" name="Column6413"/>
    <tableColumn id="6420" xr3:uid="{6B4B1AD9-440C-415C-AD96-16814710F097}" name="Column6414"/>
    <tableColumn id="6421" xr3:uid="{18519AFA-2E42-4711-AFF7-F3FE7D9D9829}" name="Column6415"/>
    <tableColumn id="6422" xr3:uid="{DCCE86C8-3CF5-4C18-BC2D-9C7D954B6669}" name="Column6416"/>
    <tableColumn id="6423" xr3:uid="{9CA38B9D-F743-4162-A683-67F27EF85BDA}" name="Column6417"/>
    <tableColumn id="6424" xr3:uid="{8DD9AB7A-B70A-4451-8C36-4A3CEC974B3B}" name="Column6418"/>
    <tableColumn id="6425" xr3:uid="{9BFF11AF-FE4C-4738-BCC1-DA0FD848E3AF}" name="Column6419"/>
    <tableColumn id="6426" xr3:uid="{114A224C-0593-402A-BA95-54DFE33E2539}" name="Column6420"/>
    <tableColumn id="6427" xr3:uid="{631F6733-0143-4BC4-98B7-26FF392AB9A5}" name="Column6421"/>
    <tableColumn id="6428" xr3:uid="{F0B26BD9-CD4C-4CD1-879C-A02E976BC9AE}" name="Column6422"/>
    <tableColumn id="6429" xr3:uid="{8CA8CF40-E3D5-4B45-BB51-821BD5506A09}" name="Column6423"/>
    <tableColumn id="6430" xr3:uid="{F3232028-2916-462B-A259-7635A9E3159B}" name="Column6424"/>
    <tableColumn id="6431" xr3:uid="{BFB2FF8F-1134-44CE-91F3-AA51B13E6687}" name="Column6425"/>
    <tableColumn id="6432" xr3:uid="{9B444E51-C094-4FB3-8E3C-CEBFB4C92ED7}" name="Column6426"/>
    <tableColumn id="6433" xr3:uid="{0D1711B1-A8F1-4AD7-BE6F-5E3BE6C3BD04}" name="Column6427"/>
    <tableColumn id="6434" xr3:uid="{0B508309-3D26-44D1-8F85-FE712D525A73}" name="Column6428"/>
    <tableColumn id="6435" xr3:uid="{407289B1-1D90-44D3-ABD2-C29054C2948E}" name="Column6429"/>
    <tableColumn id="6436" xr3:uid="{759C18E7-C3B1-47F6-98C9-27E32A22A4F1}" name="Column6430"/>
    <tableColumn id="6437" xr3:uid="{7E682CC9-EBE5-4D30-859A-8B0323581B8F}" name="Column6431"/>
    <tableColumn id="6438" xr3:uid="{8651E101-2F85-4328-B417-0A3CC4B16CF2}" name="Column6432"/>
    <tableColumn id="6439" xr3:uid="{389D3C9D-DDFF-4221-968A-BB8ACD25A336}" name="Column6433"/>
    <tableColumn id="6440" xr3:uid="{8AE474C4-E280-48BD-8EF3-D21B3160F339}" name="Column6434"/>
    <tableColumn id="6441" xr3:uid="{73320D9E-DBEC-4642-BC9F-CB62AFE1D3F1}" name="Column6435"/>
    <tableColumn id="6442" xr3:uid="{3E526035-86D9-46B1-A4D9-CA20E24DB519}" name="Column6436"/>
    <tableColumn id="6443" xr3:uid="{2B791EC8-4AE6-47DD-85AA-9F0AD899799E}" name="Column6437"/>
    <tableColumn id="6444" xr3:uid="{974BD90D-A0A3-42BC-8048-961D34E51B1E}" name="Column6438"/>
    <tableColumn id="6445" xr3:uid="{B7788632-1B50-4788-BB91-222DC3EB4572}" name="Column6439"/>
    <tableColumn id="6446" xr3:uid="{910C1430-71E3-47D9-8CA7-6FA3B4AA9C04}" name="Column6440"/>
    <tableColumn id="6447" xr3:uid="{8D25FD83-2FE2-4A4D-B10C-B77BB244649F}" name="Column6441"/>
    <tableColumn id="6448" xr3:uid="{51697D8E-907B-4A6A-832E-705DDCACF87A}" name="Column6442"/>
    <tableColumn id="6449" xr3:uid="{5CD61318-4C7E-4E3E-AF75-C1562D54A684}" name="Column6443"/>
    <tableColumn id="6450" xr3:uid="{C4DCA849-4013-45B0-B534-AB5B1396A250}" name="Column6444"/>
    <tableColumn id="6451" xr3:uid="{91313EA0-E6D2-4A89-AEE7-774AD70A6FD0}" name="Column6445"/>
    <tableColumn id="6452" xr3:uid="{20030DC4-C533-438C-A5BC-EF40B5B4C34F}" name="Column6446"/>
    <tableColumn id="6453" xr3:uid="{31C81384-76E0-4BD2-B06A-73F29F2B180D}" name="Column6447"/>
    <tableColumn id="6454" xr3:uid="{3DF668C6-BCA1-4341-9A87-87B68A6ABFD7}" name="Column6448"/>
    <tableColumn id="6455" xr3:uid="{3AB5AA8A-F770-448B-B3E7-73D5F8A6AEB3}" name="Column6449"/>
    <tableColumn id="6456" xr3:uid="{8C09430B-D362-4D4E-AC56-4458D5D457B1}" name="Column6450"/>
    <tableColumn id="6457" xr3:uid="{1E2A3986-2997-43B5-8CDE-DD091202B278}" name="Column6451"/>
    <tableColumn id="6458" xr3:uid="{647027D2-248F-49AF-B2AB-6C8BAC8D4E8E}" name="Column6452"/>
    <tableColumn id="6459" xr3:uid="{3D22A7FC-88FF-4F3A-A4EC-1FB5B6170926}" name="Column6453"/>
    <tableColumn id="6460" xr3:uid="{3E2F5F1F-BD71-4A65-8336-63D85171D195}" name="Column6454"/>
    <tableColumn id="6461" xr3:uid="{EB10059A-42B3-433E-B12F-EBA33D295351}" name="Column6455"/>
    <tableColumn id="6462" xr3:uid="{3E4C0E59-71DC-4867-84C8-19D3B22DA8D8}" name="Column6456"/>
    <tableColumn id="6463" xr3:uid="{BA772D38-F4CE-4392-8BD3-2C80F030C321}" name="Column6457"/>
    <tableColumn id="6464" xr3:uid="{4531A60B-79BF-4F54-B667-97937F2D99CA}" name="Column6458"/>
    <tableColumn id="6465" xr3:uid="{D95128DB-79F6-4D0F-B848-D1B58C9AF483}" name="Column6459"/>
    <tableColumn id="6466" xr3:uid="{30363358-AC8F-4FCD-A6D6-0E0A19B68AA0}" name="Column6460"/>
    <tableColumn id="6467" xr3:uid="{622467FF-7371-4CCA-8253-6742D5C8BDE0}" name="Column6461"/>
    <tableColumn id="6468" xr3:uid="{A92DC5C1-A26C-490A-9F95-CE6D3FF504A7}" name="Column6462"/>
    <tableColumn id="6469" xr3:uid="{02E43AC0-D124-4F5C-B913-74928CF33196}" name="Column6463"/>
    <tableColumn id="6470" xr3:uid="{AF68EBEA-E712-4F42-9C17-612405C27182}" name="Column6464"/>
    <tableColumn id="6471" xr3:uid="{D0A1CE82-CDDE-450D-8CE1-97B33FBD4D6E}" name="Column6465"/>
    <tableColumn id="6472" xr3:uid="{29C714FE-B8C7-4E0B-B52A-D415FE74B68E}" name="Column6466"/>
    <tableColumn id="6473" xr3:uid="{44B59AA7-6842-4D5B-B559-603E860354B3}" name="Column6467"/>
    <tableColumn id="6474" xr3:uid="{C44FD03C-C034-4134-9193-97115E6B8CB4}" name="Column6468"/>
    <tableColumn id="6475" xr3:uid="{1B1C4A47-C2FB-4975-A59A-B508691A4063}" name="Column6469"/>
    <tableColumn id="6476" xr3:uid="{36397103-0A07-4C57-A59F-9803E0033031}" name="Column6470"/>
    <tableColumn id="6477" xr3:uid="{61EB5082-A803-4AE7-8752-7572FC80412C}" name="Column6471"/>
    <tableColumn id="6478" xr3:uid="{B22910FB-3369-49AA-BF8C-D89D602900A1}" name="Column6472"/>
    <tableColumn id="6479" xr3:uid="{DE2D6948-CDBC-4572-87C8-D7A66119E268}" name="Column6473"/>
    <tableColumn id="6480" xr3:uid="{4FF2D7B0-5D41-4994-BB49-FD98E83160BF}" name="Column6474"/>
    <tableColumn id="6481" xr3:uid="{C831B63C-3D93-41D4-A2A0-CFCA95CDCD36}" name="Column6475"/>
    <tableColumn id="6482" xr3:uid="{3D43142E-BD42-411A-9B04-B4F5449D48B2}" name="Column6476"/>
    <tableColumn id="6483" xr3:uid="{D5FA71AB-6D3D-4EEE-BB1E-FB683AD8ABEA}" name="Column6477"/>
    <tableColumn id="6484" xr3:uid="{F48A520F-C625-4130-B97A-F1B668096728}" name="Column6478"/>
    <tableColumn id="6485" xr3:uid="{D4CFCB09-0095-4F73-8538-E3A19F55A21B}" name="Column6479"/>
    <tableColumn id="6486" xr3:uid="{432D1A73-41AB-4D8E-B341-AAF324516013}" name="Column6480"/>
    <tableColumn id="6487" xr3:uid="{C0980C42-BAE6-4267-84DE-EAF639CBC012}" name="Column6481"/>
    <tableColumn id="6488" xr3:uid="{70AACE52-4BE4-467C-BBF7-E2DC2597BC05}" name="Column6482"/>
    <tableColumn id="6489" xr3:uid="{486C9DD9-2ED9-444A-8D4C-F6B381052F88}" name="Column6483"/>
    <tableColumn id="6490" xr3:uid="{3F9DD21A-4CD3-4B48-A5B5-FAC314FBEDBD}" name="Column6484"/>
    <tableColumn id="6491" xr3:uid="{F8E0E362-6825-4783-B923-736882896C47}" name="Column6485"/>
    <tableColumn id="6492" xr3:uid="{3D6F47C9-DDF8-44D9-B8B6-B9DEEE84AE93}" name="Column6486"/>
    <tableColumn id="6493" xr3:uid="{196FB667-154A-4998-A92C-270B35DF3FF5}" name="Column6487"/>
    <tableColumn id="6494" xr3:uid="{E6A7C970-C007-4C16-8A42-5BE47C0F1E6F}" name="Column6488"/>
    <tableColumn id="6495" xr3:uid="{EF0D5DE6-6467-4345-804C-6F3B8A3A20F4}" name="Column6489"/>
    <tableColumn id="6496" xr3:uid="{DF83AF60-2081-44FE-9E63-2B89DB1629ED}" name="Column6490"/>
    <tableColumn id="6497" xr3:uid="{8F1B8EE1-9358-418D-80A1-363EBE6783AE}" name="Column6491"/>
    <tableColumn id="6498" xr3:uid="{92FE3596-FEE6-4CFE-9E7A-B37513660C39}" name="Column6492"/>
    <tableColumn id="6499" xr3:uid="{019C1212-DC75-4804-BB9E-1E0D5BFBF829}" name="Column6493"/>
    <tableColumn id="6500" xr3:uid="{D96D9EBE-0728-4D9D-91B8-FE6180AB285B}" name="Column6494"/>
    <tableColumn id="6501" xr3:uid="{79B127F0-EBFE-4462-93CE-3AE2E8FBDCB0}" name="Column6495"/>
    <tableColumn id="6502" xr3:uid="{BDAEDD42-5DDE-45C8-8EDE-9E9CC7E09CB0}" name="Column6496"/>
    <tableColumn id="6503" xr3:uid="{6BB9E9A1-30C6-472E-AC90-16782C0005A7}" name="Column6497"/>
    <tableColumn id="6504" xr3:uid="{2EACCC1F-C1E8-4CE6-8EC0-6A4E23D297C9}" name="Column6498"/>
    <tableColumn id="6505" xr3:uid="{7FD551CA-78DE-42FB-B29F-330E2460664F}" name="Column6499"/>
    <tableColumn id="6506" xr3:uid="{35FFC78E-C6AA-4910-A49F-89E44C461D3C}" name="Column6500"/>
    <tableColumn id="6507" xr3:uid="{AE801510-FB4D-49C1-BCBA-E26984499FB5}" name="Column6501"/>
    <tableColumn id="6508" xr3:uid="{50189BCB-143B-4149-A552-9E10F29D692F}" name="Column6502"/>
    <tableColumn id="6509" xr3:uid="{85E9598A-F8D7-487E-9D3D-9C56EDCA79BD}" name="Column6503"/>
    <tableColumn id="6510" xr3:uid="{BFD668CE-C80D-428E-8A0E-AFB36686D8E9}" name="Column6504"/>
    <tableColumn id="6511" xr3:uid="{AC6316CB-17C7-4068-BF8F-B689B00B70EE}" name="Column6505"/>
    <tableColumn id="6512" xr3:uid="{47882E2E-E219-415B-9DE5-5193767CBBC7}" name="Column6506"/>
    <tableColumn id="6513" xr3:uid="{3E3AE75F-FEA8-4D83-94E2-DDAA6369D118}" name="Column6507"/>
    <tableColumn id="6514" xr3:uid="{81483A21-6610-430D-B3D5-CC25A851E7C9}" name="Column6508"/>
    <tableColumn id="6515" xr3:uid="{21B1639B-8ED9-4232-8706-5787438E50CD}" name="Column6509"/>
    <tableColumn id="6516" xr3:uid="{D0AECA6B-69C9-4596-B2EA-279D8104C220}" name="Column6510"/>
    <tableColumn id="6517" xr3:uid="{2CBBAF0B-76DF-46EF-9287-E023DF942F8D}" name="Column6511"/>
    <tableColumn id="6518" xr3:uid="{3B8862ED-2726-474B-BEF4-BE53D4409C2A}" name="Column6512"/>
    <tableColumn id="6519" xr3:uid="{9D32ECE6-ABBB-48B2-BC09-9B34D7C3E748}" name="Column6513"/>
    <tableColumn id="6520" xr3:uid="{8EF092C4-03B1-43E2-80B1-6DE4B4C2DEA8}" name="Column6514"/>
    <tableColumn id="6521" xr3:uid="{D2BCB267-527B-44AD-A1EE-B37D3988D375}" name="Column6515"/>
    <tableColumn id="6522" xr3:uid="{46E54BCB-F083-4CE5-BD10-F6FE22F8D83D}" name="Column6516"/>
    <tableColumn id="6523" xr3:uid="{4EE56A75-7454-4CD0-B6D3-B95C153D153E}" name="Column6517"/>
    <tableColumn id="6524" xr3:uid="{7914899A-0659-4900-8B2E-EAAC955E4343}" name="Column6518"/>
    <tableColumn id="6525" xr3:uid="{86279EE3-39B0-493B-8E18-1A53125B2A29}" name="Column6519"/>
    <tableColumn id="6526" xr3:uid="{1178C730-01A6-4E0D-A1E2-6A28A8DD82D3}" name="Column6520"/>
    <tableColumn id="6527" xr3:uid="{9C88F755-3EB1-4B5E-9BEB-29D74052C7C7}" name="Column6521"/>
    <tableColumn id="6528" xr3:uid="{CDD6D4D5-4083-4F46-AC80-7427972FDF86}" name="Column6522"/>
    <tableColumn id="6529" xr3:uid="{25E5CB53-8E9A-4AFA-9711-03BEE4374365}" name="Column6523"/>
    <tableColumn id="6530" xr3:uid="{067CDB88-FB1B-49FA-B8B8-9019D15FB34C}" name="Column6524"/>
    <tableColumn id="6531" xr3:uid="{EB347EFB-D345-4593-A1BA-8082A991F24A}" name="Column6525"/>
    <tableColumn id="6532" xr3:uid="{67DF67A1-1732-4A34-9D67-FCCED99F73CB}" name="Column6526"/>
    <tableColumn id="6533" xr3:uid="{627C5D6B-C7EE-4BF5-944C-307096D66139}" name="Column6527"/>
    <tableColumn id="6534" xr3:uid="{1488FE39-80AF-4E8F-9E24-86D4D1F04062}" name="Column6528"/>
    <tableColumn id="6535" xr3:uid="{2DBF833E-34DE-4816-BB71-9DD2B51E72C2}" name="Column6529"/>
    <tableColumn id="6536" xr3:uid="{FE3AFE43-358C-4ADF-B09F-5CBAF141D73E}" name="Column6530"/>
    <tableColumn id="6537" xr3:uid="{AC456828-D662-4BFC-B22E-D7FCDEC8DF5F}" name="Column6531"/>
    <tableColumn id="6538" xr3:uid="{EDE23FA0-E491-4EAA-86D3-96781EF5E0EA}" name="Column6532"/>
    <tableColumn id="6539" xr3:uid="{CD0D962F-82C7-44A8-9060-898F520349D2}" name="Column6533"/>
    <tableColumn id="6540" xr3:uid="{C8682284-72AB-406F-BD47-40AF59813E4B}" name="Column6534"/>
    <tableColumn id="6541" xr3:uid="{391CB72B-9FF5-4BB2-AB69-50365DC39178}" name="Column6535"/>
    <tableColumn id="6542" xr3:uid="{E22D906B-BCBB-47FA-A25C-2A3665483740}" name="Column6536"/>
    <tableColumn id="6543" xr3:uid="{A83009FC-4036-4F29-83EA-C9E9DFB4DEF4}" name="Column6537"/>
    <tableColumn id="6544" xr3:uid="{C958C19B-4E8B-4116-B2AF-9FF0CD7D7FA8}" name="Column6538"/>
    <tableColumn id="6545" xr3:uid="{84DA9CA3-3A77-429A-AA22-56C74AC84A71}" name="Column6539"/>
    <tableColumn id="6546" xr3:uid="{BE37BC18-8C77-4163-BD73-9F2A82C7794F}" name="Column6540"/>
    <tableColumn id="6547" xr3:uid="{AA7A503D-3712-4334-B49D-050FA51B7219}" name="Column6541"/>
    <tableColumn id="6548" xr3:uid="{5FA45858-03CC-4596-B170-E45EA37098AB}" name="Column6542"/>
    <tableColumn id="6549" xr3:uid="{8BAFED41-F6F3-4860-A46C-90DA5A073445}" name="Column6543"/>
    <tableColumn id="6550" xr3:uid="{5F542782-D12B-40D8-8D1E-0D2C23CDB4B0}" name="Column6544"/>
    <tableColumn id="6551" xr3:uid="{4925F390-04E2-4DBF-9DD7-DEA604DBC599}" name="Column6545"/>
    <tableColumn id="6552" xr3:uid="{31921299-C0DC-48D7-8ADF-7F2FE74027FD}" name="Column6546"/>
    <tableColumn id="6553" xr3:uid="{3B355A05-26D3-4D14-A8DD-5D65175ECA52}" name="Column6547"/>
    <tableColumn id="6554" xr3:uid="{A7168533-4342-41B1-A642-D029FC8CAA67}" name="Column6548"/>
    <tableColumn id="6555" xr3:uid="{F4846D88-4127-4367-BE0A-B8EB9471C09A}" name="Column6549"/>
    <tableColumn id="6556" xr3:uid="{F7E5E256-F5AF-484E-BA68-0BAD60702571}" name="Column6550"/>
    <tableColumn id="6557" xr3:uid="{9A88074A-8F6F-4547-B10E-B0B19B96C6D9}" name="Column6551"/>
    <tableColumn id="6558" xr3:uid="{869628AE-1777-4590-9F14-D33055057467}" name="Column6552"/>
    <tableColumn id="6559" xr3:uid="{FB015021-3AA1-43B0-9400-A3FC97ED9895}" name="Column6553"/>
    <tableColumn id="6560" xr3:uid="{CDB48057-0629-45F8-9405-44E9A68E1F1A}" name="Column6554"/>
    <tableColumn id="6561" xr3:uid="{A2DA4D32-37CB-46F1-8482-B06E4DBB5D32}" name="Column6555"/>
    <tableColumn id="6562" xr3:uid="{EFB3699B-1EE3-4946-B4E4-8E2220DCF66F}" name="Column6556"/>
    <tableColumn id="6563" xr3:uid="{E4D7CA3A-1EDE-411D-B9DD-31EBC093EAC7}" name="Column6557"/>
    <tableColumn id="6564" xr3:uid="{387D2CC7-A3F4-41C6-A210-E5486E46B319}" name="Column6558"/>
    <tableColumn id="6565" xr3:uid="{E15F0DF4-D6D7-42D4-AC0B-8604B637A7F6}" name="Column6559"/>
    <tableColumn id="6566" xr3:uid="{2B4D930B-FFFC-4414-A5BE-FCBBA4732508}" name="Column6560"/>
    <tableColumn id="6567" xr3:uid="{F23D3000-3583-437B-BB87-0D9C96EF8EBA}" name="Column6561"/>
    <tableColumn id="6568" xr3:uid="{F51CA54E-03A4-45A1-851F-88205C443307}" name="Column6562"/>
    <tableColumn id="6569" xr3:uid="{FA3E4BD9-6193-4A33-9589-E6C9489A1870}" name="Column6563"/>
    <tableColumn id="6570" xr3:uid="{F8A573FF-4FB4-40E9-A3F5-909A1B457D53}" name="Column6564"/>
    <tableColumn id="6571" xr3:uid="{A0FB455E-EA99-4545-AA9C-0521E5D5765E}" name="Column6565"/>
    <tableColumn id="6572" xr3:uid="{0AA60EE1-66ED-4E42-8141-09E05F4D99EE}" name="Column6566"/>
    <tableColumn id="6573" xr3:uid="{37347B51-35D8-4B72-A42B-02BE269C6460}" name="Column6567"/>
    <tableColumn id="6574" xr3:uid="{F27021CE-DE8B-4C5B-AB98-6F37D0522A8A}" name="Column6568"/>
    <tableColumn id="6575" xr3:uid="{315B6D31-341D-495C-A2E4-0AA4908A8BD6}" name="Column6569"/>
    <tableColumn id="6576" xr3:uid="{FDBE5001-5B92-42C4-8E9F-6B0C1F96CE66}" name="Column6570"/>
    <tableColumn id="6577" xr3:uid="{8D24011D-187F-43B0-94B7-20199DC86442}" name="Column6571"/>
    <tableColumn id="6578" xr3:uid="{D886D5B0-E947-4A8C-87D8-1E43FDD1D400}" name="Column6572"/>
    <tableColumn id="6579" xr3:uid="{E138C30B-04CF-41B4-BF7A-5F0CB9A871CF}" name="Column6573"/>
    <tableColumn id="6580" xr3:uid="{C70BE1BF-5E7C-4A88-BBE5-BC4B83F7130A}" name="Column6574"/>
    <tableColumn id="6581" xr3:uid="{49AC2017-A289-401F-9FB9-2AC9CA90A96A}" name="Column6575"/>
    <tableColumn id="6582" xr3:uid="{E8904E00-1FF3-4683-A24D-A8EFC6E308A9}" name="Column6576"/>
    <tableColumn id="6583" xr3:uid="{DD460AE6-55CD-45CC-B50E-44E025B30669}" name="Column6577"/>
    <tableColumn id="6584" xr3:uid="{E7EB0323-D8E1-49F7-837F-CB7F177399AC}" name="Column6578"/>
    <tableColumn id="6585" xr3:uid="{E991C882-E5D7-44A6-BF76-7CB7BD1B80C7}" name="Column6579"/>
    <tableColumn id="6586" xr3:uid="{814BEA3A-7BFF-48FB-BAED-C40079078869}" name="Column6580"/>
    <tableColumn id="6587" xr3:uid="{395CA5B2-D8ED-428A-A3EB-E2B3E17F7827}" name="Column6581"/>
    <tableColumn id="6588" xr3:uid="{7AC08140-40DD-4649-B796-785C71ED5654}" name="Column6582"/>
    <tableColumn id="6589" xr3:uid="{DC280265-7149-440E-91E7-51ADC5ED1DCB}" name="Column6583"/>
    <tableColumn id="6590" xr3:uid="{0991BF9A-5624-4155-9190-C01E95357282}" name="Column6584"/>
    <tableColumn id="6591" xr3:uid="{F105E2E2-4AF9-4EFB-AC2D-038F834BB870}" name="Column6585"/>
    <tableColumn id="6592" xr3:uid="{FEE35C60-D6E0-4CE4-9ADF-405A6C43327B}" name="Column6586"/>
    <tableColumn id="6593" xr3:uid="{1823ECCD-DE89-4295-A88A-B203F7E2DE62}" name="Column6587"/>
    <tableColumn id="6594" xr3:uid="{A3E2BE8C-268C-4955-986D-BA2AC0543845}" name="Column6588"/>
    <tableColumn id="6595" xr3:uid="{6A02013D-0085-4B3C-B5C5-FB3550DE1B12}" name="Column6589"/>
    <tableColumn id="6596" xr3:uid="{57E06142-0C49-421D-9085-4B29C942C049}" name="Column6590"/>
    <tableColumn id="6597" xr3:uid="{B44E662B-0F80-4007-B15D-CAF53845FF8C}" name="Column6591"/>
    <tableColumn id="6598" xr3:uid="{2713931D-9881-4DA5-9146-F300D36E513E}" name="Column6592"/>
    <tableColumn id="6599" xr3:uid="{9BB9BDDA-BD2C-4740-B1FE-3A04B4FD846E}" name="Column6593"/>
    <tableColumn id="6600" xr3:uid="{91954762-E317-49E7-A156-ECD883A780A7}" name="Column6594"/>
    <tableColumn id="6601" xr3:uid="{75C59C7F-2960-45ED-A761-20527783F628}" name="Column6595"/>
    <tableColumn id="6602" xr3:uid="{6B967518-0790-4B29-832B-ADBAC0E05570}" name="Column6596"/>
    <tableColumn id="6603" xr3:uid="{EBB104AA-2E04-4DA9-B9CA-0C496700C4C9}" name="Column6597"/>
    <tableColumn id="6604" xr3:uid="{03057AD7-272A-4E43-8A98-A2ED3E1B19C7}" name="Column6598"/>
    <tableColumn id="6605" xr3:uid="{1DAE8398-AC82-4D8A-BD1E-467BB9F71D60}" name="Column6599"/>
    <tableColumn id="6606" xr3:uid="{52B00375-77F3-4697-B020-A075C7EAE322}" name="Column6600"/>
    <tableColumn id="6607" xr3:uid="{DFC61F37-51FD-4723-A8FE-08F8291D1CB8}" name="Column6601"/>
    <tableColumn id="6608" xr3:uid="{60145AB5-4C02-49AE-9B2C-70C9ED04577E}" name="Column6602"/>
    <tableColumn id="6609" xr3:uid="{A8504354-5500-42C2-ABB7-898C5943C3A1}" name="Column6603"/>
    <tableColumn id="6610" xr3:uid="{6BD8D3EB-4A6D-4D95-B208-9B7B3C642899}" name="Column6604"/>
    <tableColumn id="6611" xr3:uid="{CA39D6EB-47A2-4C38-A5E1-840E55A35201}" name="Column6605"/>
    <tableColumn id="6612" xr3:uid="{2D4A2FD3-09D7-4565-A7D9-9A7C69114B99}" name="Column6606"/>
    <tableColumn id="6613" xr3:uid="{B41EB608-8190-4684-8C3A-0EAC44615AB2}" name="Column6607"/>
    <tableColumn id="6614" xr3:uid="{103EF757-53B1-4487-A0B8-2E31BF82E61B}" name="Column6608"/>
    <tableColumn id="6615" xr3:uid="{19944A41-F266-4CBC-AE0D-32B0CDCFE31E}" name="Column6609"/>
    <tableColumn id="6616" xr3:uid="{53FB09A0-7AEF-4896-92F2-A27D9244476D}" name="Column6610"/>
    <tableColumn id="6617" xr3:uid="{65605866-A127-4E9B-BF89-B315B129A202}" name="Column6611"/>
    <tableColumn id="6618" xr3:uid="{7EED2DBE-0374-4F62-97CB-03CC6E2CCA99}" name="Column6612"/>
    <tableColumn id="6619" xr3:uid="{3DF623F2-3240-4B76-8155-C0CB91CD26B3}" name="Column6613"/>
    <tableColumn id="6620" xr3:uid="{D9A3DEFF-0295-4217-BC0E-9C6FFEF98A76}" name="Column6614"/>
    <tableColumn id="6621" xr3:uid="{6A355CE4-FA7D-4E38-8638-48AE5D98E348}" name="Column6615"/>
    <tableColumn id="6622" xr3:uid="{CFCAD022-AED5-4569-97B6-3FE2328ED876}" name="Column6616"/>
    <tableColumn id="6623" xr3:uid="{15B86735-7C42-4754-BA3E-4F667DD67A05}" name="Column6617"/>
    <tableColumn id="6624" xr3:uid="{33B65FC7-2235-41AB-A5D2-8ACD56FDA8A0}" name="Column6618"/>
    <tableColumn id="6625" xr3:uid="{EC310264-A841-48BC-919E-5AA4090D7461}" name="Column6619"/>
    <tableColumn id="6626" xr3:uid="{AF4DB738-8A56-4A51-B280-37100B854F0E}" name="Column6620"/>
    <tableColumn id="6627" xr3:uid="{5223130F-F6FF-4C09-AA21-FB16A124A604}" name="Column6621"/>
    <tableColumn id="6628" xr3:uid="{3070E8CC-A78D-4DCD-9336-FB126CB5F909}" name="Column6622"/>
    <tableColumn id="6629" xr3:uid="{748D91B3-C167-4A6D-9369-A21ED4A593ED}" name="Column6623"/>
    <tableColumn id="6630" xr3:uid="{79F85044-7845-452D-AA19-D1499B1BD8FD}" name="Column6624"/>
    <tableColumn id="6631" xr3:uid="{E840AE8E-F0FC-4623-A013-78FC5ED06363}" name="Column6625"/>
    <tableColumn id="6632" xr3:uid="{3756C414-1B4D-43C5-882F-9C9F8CD707E8}" name="Column6626"/>
    <tableColumn id="6633" xr3:uid="{C4B6FAB9-9BC2-4BEF-AFAD-57415A26B453}" name="Column6627"/>
    <tableColumn id="6634" xr3:uid="{5DC95406-4182-4EF4-943C-76ED9F9F4EEC}" name="Column6628"/>
    <tableColumn id="6635" xr3:uid="{680029DF-EA80-40CE-9F76-4AB0C85D5A47}" name="Column6629"/>
    <tableColumn id="6636" xr3:uid="{5343E315-542D-4ECC-A666-E4A9BB1479DB}" name="Column6630"/>
    <tableColumn id="6637" xr3:uid="{5FF5BDC7-E362-4501-8986-82F122A70DE3}" name="Column6631"/>
    <tableColumn id="6638" xr3:uid="{28A342DE-BDD1-4FB0-A0BE-471F88593312}" name="Column6632"/>
    <tableColumn id="6639" xr3:uid="{7868554B-35EE-444F-90D5-452806731924}" name="Column6633"/>
    <tableColumn id="6640" xr3:uid="{A98AE880-4EC3-47FF-8611-96FFE0D826B3}" name="Column6634"/>
    <tableColumn id="6641" xr3:uid="{AF89228D-4305-43A4-B8BE-0640F3A24FE1}" name="Column6635"/>
    <tableColumn id="6642" xr3:uid="{46AC151C-4DF7-4B23-81A5-395B546888E2}" name="Column6636"/>
    <tableColumn id="6643" xr3:uid="{4447AE84-D699-4B99-B249-7E310EF3A231}" name="Column6637"/>
    <tableColumn id="6644" xr3:uid="{D2290F09-63A5-43ED-B021-8BB2928A1972}" name="Column6638"/>
    <tableColumn id="6645" xr3:uid="{AF837105-920E-423D-BE93-9A83079F0220}" name="Column6639"/>
    <tableColumn id="6646" xr3:uid="{CD1F664A-A712-4D17-B5BC-1850B59B7037}" name="Column6640"/>
    <tableColumn id="6647" xr3:uid="{58ABDF94-CB26-4496-9603-0A42CB04A8D7}" name="Column6641"/>
    <tableColumn id="6648" xr3:uid="{4D0E7944-5292-4D32-9659-17636CD5E2FC}" name="Column6642"/>
    <tableColumn id="6649" xr3:uid="{88A9AB92-6F50-414C-9538-DC8CAA2C338F}" name="Column6643"/>
    <tableColumn id="6650" xr3:uid="{D7C94C86-5BD1-4DF1-BC0D-7DE6AEEE261B}" name="Column6644"/>
    <tableColumn id="6651" xr3:uid="{1A3A5696-98F7-4400-9D2F-807F03117B1A}" name="Column6645"/>
    <tableColumn id="6652" xr3:uid="{688A6A00-8995-48DD-8E27-5BD05D9648D5}" name="Column6646"/>
    <tableColumn id="6653" xr3:uid="{65414BFB-469D-449B-B087-9A785DA10654}" name="Column6647"/>
    <tableColumn id="6654" xr3:uid="{88988B2A-4EDA-413C-9789-44972E196748}" name="Column6648"/>
    <tableColumn id="6655" xr3:uid="{E440265D-86CF-4AFF-92D0-5AFE1B5BB26D}" name="Column6649"/>
    <tableColumn id="6656" xr3:uid="{57D10F2D-DE00-4D11-B228-9078376148FF}" name="Column6650"/>
    <tableColumn id="6657" xr3:uid="{DE215BA3-8997-426F-B5A4-5DDEB046926F}" name="Column6651"/>
    <tableColumn id="6658" xr3:uid="{6AC472E2-AA4A-4151-8913-1F587C9289C3}" name="Column6652"/>
    <tableColumn id="6659" xr3:uid="{10127482-56D1-4AC0-98FA-50E60E67DA19}" name="Column6653"/>
    <tableColumn id="6660" xr3:uid="{D18B3C76-AD4D-4E0E-A1DC-106623B069E4}" name="Column6654"/>
    <tableColumn id="6661" xr3:uid="{BF44539E-9722-4A50-9687-22F9C62077D3}" name="Column6655"/>
    <tableColumn id="6662" xr3:uid="{27552AC2-297A-4E56-B01E-B5CD6BBA4081}" name="Column6656"/>
    <tableColumn id="6663" xr3:uid="{B68A5E72-9B97-426D-980C-CB31BB4C27E6}" name="Column6657"/>
    <tableColumn id="6664" xr3:uid="{1AB580E8-03EC-40BE-B8BC-38FABCEBAF67}" name="Column6658"/>
    <tableColumn id="6665" xr3:uid="{6A29BBA5-CC3D-4DF5-B321-707F669BD1CE}" name="Column6659"/>
    <tableColumn id="6666" xr3:uid="{34339B0F-DAAF-45FD-BC85-7A76F102DA7F}" name="Column6660"/>
    <tableColumn id="6667" xr3:uid="{CFA265AC-7387-4DE1-BE90-F8A02B066B59}" name="Column6661"/>
    <tableColumn id="6668" xr3:uid="{E1C53804-0C47-40F9-9549-E70291D8BE95}" name="Column6662"/>
    <tableColumn id="6669" xr3:uid="{AC4D0133-13E3-49C8-A628-913FF2CCCBF3}" name="Column6663"/>
    <tableColumn id="6670" xr3:uid="{4EEBB128-2371-4BEF-B607-F8F4CE3D15EB}" name="Column6664"/>
    <tableColumn id="6671" xr3:uid="{8871148A-CD4A-4D20-9ACF-319CF079E35B}" name="Column6665"/>
    <tableColumn id="6672" xr3:uid="{FED8FE7A-8BCB-4EB0-BA6D-BA224DC72D31}" name="Column6666"/>
    <tableColumn id="6673" xr3:uid="{3D557F6B-BF9B-40C8-82CE-D0DDFB27ED31}" name="Column6667"/>
    <tableColumn id="6674" xr3:uid="{6727E9D8-86F9-402F-BA58-08B6BBEE8933}" name="Column6668"/>
    <tableColumn id="6675" xr3:uid="{87CE75E5-6246-4620-859D-12568822EE7B}" name="Column6669"/>
    <tableColumn id="6676" xr3:uid="{66A63E33-0A7B-49A8-B57D-46C98789DD87}" name="Column6670"/>
    <tableColumn id="6677" xr3:uid="{3A8CD236-BD61-40CC-B910-F2C3C883E800}" name="Column6671"/>
    <tableColumn id="6678" xr3:uid="{E82CE5EC-1365-459B-B2F8-CC45D20058F8}" name="Column6672"/>
    <tableColumn id="6679" xr3:uid="{50A0C435-68EA-4EDF-B11E-916FC06B931E}" name="Column6673"/>
    <tableColumn id="6680" xr3:uid="{18EAE2BF-E930-47EE-ABBB-8999D497A527}" name="Column6674"/>
    <tableColumn id="6681" xr3:uid="{1EF85825-BB37-4952-A3FE-530CB3DB4CFF}" name="Column6675"/>
    <tableColumn id="6682" xr3:uid="{430D49E5-09AF-4FD3-AF53-41DAAB4F0B91}" name="Column6676"/>
    <tableColumn id="6683" xr3:uid="{3FBC4094-B581-4E36-B07F-71E34FEEF341}" name="Column6677"/>
    <tableColumn id="6684" xr3:uid="{5D9557FF-1742-4C74-8D35-374CC673E14A}" name="Column6678"/>
    <tableColumn id="6685" xr3:uid="{D19D02EB-8893-4A06-8F3B-16237792BA50}" name="Column6679"/>
    <tableColumn id="6686" xr3:uid="{3ECDC30A-F45F-416A-9DCF-6F5BF79ED1B6}" name="Column6680"/>
    <tableColumn id="6687" xr3:uid="{3F60C64B-240A-4DE5-BF08-6C5C6C396C5A}" name="Column6681"/>
    <tableColumn id="6688" xr3:uid="{A4B015D0-B42B-4F9D-9586-8FF4446F84E8}" name="Column6682"/>
    <tableColumn id="6689" xr3:uid="{39B2C8A7-D7CD-4F16-A647-7A610EF1A7FE}" name="Column6683"/>
    <tableColumn id="6690" xr3:uid="{5AE36F15-137B-4D86-BA00-EB63F05598F4}" name="Column6684"/>
    <tableColumn id="6691" xr3:uid="{3A10FA5A-D388-4DE7-A8E3-DD7538A3EE3A}" name="Column6685"/>
    <tableColumn id="6692" xr3:uid="{D6193CD1-559C-46A9-AF73-1A998EE4080E}" name="Column6686"/>
    <tableColumn id="6693" xr3:uid="{17D1B623-D637-40E1-B2BB-98A52A0CB8B9}" name="Column6687"/>
    <tableColumn id="6694" xr3:uid="{D1AFE5DF-BF74-4312-AA8A-DBC0295ABD79}" name="Column6688"/>
    <tableColumn id="6695" xr3:uid="{965B952E-8631-4DD4-99AA-0C44C1DE0080}" name="Column6689"/>
    <tableColumn id="6696" xr3:uid="{048A2A76-6769-49CF-BF7D-9A77E94E1FA9}" name="Column6690"/>
    <tableColumn id="6697" xr3:uid="{AB9F850A-2565-4D57-8BF8-A94BE3F5666E}" name="Column6691"/>
    <tableColumn id="6698" xr3:uid="{AE5E6DEF-91A3-4655-8DE5-3E470F7FD41D}" name="Column6692"/>
    <tableColumn id="6699" xr3:uid="{E284ACE1-2011-428A-950A-682114CB70FD}" name="Column6693"/>
    <tableColumn id="6700" xr3:uid="{05746B6E-6139-4FA7-8D90-0B7B6D011ABE}" name="Column6694"/>
    <tableColumn id="6701" xr3:uid="{FB3610D2-EFC0-4C0F-80BB-B0F15502690A}" name="Column6695"/>
    <tableColumn id="6702" xr3:uid="{40DC9D8C-D4B4-4B11-BCB2-F6A16496E4F9}" name="Column6696"/>
    <tableColumn id="6703" xr3:uid="{ADCAA966-705B-4DD3-81C7-765AFD68777E}" name="Column6697"/>
    <tableColumn id="6704" xr3:uid="{77CA71B6-2D4C-4E50-97E6-EF29ED296661}" name="Column6698"/>
    <tableColumn id="6705" xr3:uid="{003C3CF8-9722-496A-BEDF-E6FDF5B05B5C}" name="Column6699"/>
    <tableColumn id="6706" xr3:uid="{AD6D0318-BE22-4876-8C96-6DAF80E87DA5}" name="Column6700"/>
    <tableColumn id="6707" xr3:uid="{902CC6CF-7826-4F84-828B-F9658327A61B}" name="Column6701"/>
    <tableColumn id="6708" xr3:uid="{54D9809D-E2D0-43E8-B041-7D2512524DE0}" name="Column6702"/>
    <tableColumn id="6709" xr3:uid="{A72CA043-6BBB-466B-BD51-6A39F8C793E7}" name="Column6703"/>
    <tableColumn id="6710" xr3:uid="{24935A61-172E-45D9-A236-966F37BDD4FB}" name="Column6704"/>
    <tableColumn id="6711" xr3:uid="{3A3E3802-680C-46F4-B7DC-16DC2BC91D01}" name="Column6705"/>
    <tableColumn id="6712" xr3:uid="{D6ECA1CD-EB99-45F2-BC90-EA17DAF3BCF5}" name="Column6706"/>
    <tableColumn id="6713" xr3:uid="{5D53764D-5C64-4D92-A0AF-CF996C498875}" name="Column6707"/>
    <tableColumn id="6714" xr3:uid="{0B10CA64-5270-4FDC-86D5-B0C466D98FAC}" name="Column6708"/>
    <tableColumn id="6715" xr3:uid="{E04693C7-5E50-4A7F-A16B-47C95FAC7923}" name="Column6709"/>
    <tableColumn id="6716" xr3:uid="{8790738E-1391-4C0F-B97F-D554B0DC32D0}" name="Column6710"/>
    <tableColumn id="6717" xr3:uid="{7C9A1183-6857-46E4-AFBE-7EFBFC3A402C}" name="Column6711"/>
    <tableColumn id="6718" xr3:uid="{0AD2BDD6-80C2-4C03-9759-98BABEF4CA34}" name="Column6712"/>
    <tableColumn id="6719" xr3:uid="{25CC291D-0646-4FB9-AF20-06AB3D052191}" name="Column6713"/>
    <tableColumn id="6720" xr3:uid="{E1D62B15-2EC4-4DC8-9A21-7B0D33C9B939}" name="Column6714"/>
    <tableColumn id="6721" xr3:uid="{38C1230B-F8DF-4E8A-B79F-0B473C513FB7}" name="Column6715"/>
    <tableColumn id="6722" xr3:uid="{D32D1EFF-8FCC-4489-8B30-E04AAE747D1C}" name="Column6716"/>
    <tableColumn id="6723" xr3:uid="{2764F3C4-454F-4199-A095-50FE91F74D36}" name="Column6717"/>
    <tableColumn id="6724" xr3:uid="{A7F9D690-C051-4728-B549-C610942D985E}" name="Column6718"/>
    <tableColumn id="6725" xr3:uid="{CE395171-5677-448C-A58F-77B41A1BC382}" name="Column6719"/>
    <tableColumn id="6726" xr3:uid="{D8389067-F3F9-48D8-B098-B8F3A7034DC7}" name="Column6720"/>
    <tableColumn id="6727" xr3:uid="{96B6E35C-049C-49B6-A8C9-5CE496FFAE2B}" name="Column6721"/>
    <tableColumn id="6728" xr3:uid="{D909A124-9C12-4E04-BDB6-CDA85628D007}" name="Column6722"/>
    <tableColumn id="6729" xr3:uid="{AA5EF54E-D837-4C32-A1A3-5FDCF02AF800}" name="Column6723"/>
    <tableColumn id="6730" xr3:uid="{A823A891-844D-47F5-9FB4-E6E2CCD9E65B}" name="Column6724"/>
    <tableColumn id="6731" xr3:uid="{A59BE7CF-38C5-4C36-B562-8FBE88C17B8A}" name="Column6725"/>
    <tableColumn id="6732" xr3:uid="{C864FF37-A272-4205-916C-A4390CBAC139}" name="Column6726"/>
    <tableColumn id="6733" xr3:uid="{A261CEE0-84B2-4233-A939-88EA36E8000A}" name="Column6727"/>
    <tableColumn id="6734" xr3:uid="{282C5112-F636-42EB-B9EC-79516D4BE7B6}" name="Column6728"/>
    <tableColumn id="6735" xr3:uid="{0EC62DC9-553C-4586-A1EC-B5B6E83302FA}" name="Column6729"/>
    <tableColumn id="6736" xr3:uid="{DBB93974-1EC3-46B4-A1EF-9E9FE2924BC8}" name="Column6730"/>
    <tableColumn id="6737" xr3:uid="{D544B080-D6F3-41DB-8D1B-A8CE88302E57}" name="Column6731"/>
    <tableColumn id="6738" xr3:uid="{6028C177-87F4-4C9D-8F93-D73BB45D1B27}" name="Column6732"/>
    <tableColumn id="6739" xr3:uid="{205C13FB-FF33-4779-8AA6-8961B43FBD29}" name="Column6733"/>
    <tableColumn id="6740" xr3:uid="{8ACB5C0F-25E7-4F78-BAD1-A6FA31DDCF39}" name="Column6734"/>
    <tableColumn id="6741" xr3:uid="{F3B6BE4D-DBCD-4448-B6C6-6430D48BDC7D}" name="Column6735"/>
    <tableColumn id="6742" xr3:uid="{50C023DD-B5EB-4161-9909-EC1328746087}" name="Column6736"/>
    <tableColumn id="6743" xr3:uid="{D5341957-4A22-44A6-96FD-82D5027F17E8}" name="Column6737"/>
    <tableColumn id="6744" xr3:uid="{D957E142-2BFB-4131-84B6-35FD031EB24B}" name="Column6738"/>
    <tableColumn id="6745" xr3:uid="{ABC6E89D-2580-4E8B-AE7A-2AD921E6CF5E}" name="Column6739"/>
    <tableColumn id="6746" xr3:uid="{0D17EB58-0280-4064-BAAD-D28174231202}" name="Column6740"/>
    <tableColumn id="6747" xr3:uid="{0A55CDE3-A496-4E76-9B4D-CBCDFC42B3EB}" name="Column6741"/>
    <tableColumn id="6748" xr3:uid="{9C6AA3E0-E1F3-4350-AAA1-BEAB86BCDE56}" name="Column6742"/>
    <tableColumn id="6749" xr3:uid="{17D386E4-FCFC-4BC3-B0FC-7124C4311FD6}" name="Column6743"/>
    <tableColumn id="6750" xr3:uid="{316B0E3B-406D-4D66-B425-F667A04D0310}" name="Column6744"/>
    <tableColumn id="6751" xr3:uid="{B9EAFFEE-1316-4A8D-85CA-0B5E5A33B787}" name="Column6745"/>
    <tableColumn id="6752" xr3:uid="{BD11FEE5-72AC-4717-B42C-BFAC9044FAD6}" name="Column6746"/>
    <tableColumn id="6753" xr3:uid="{4192254B-E3C8-411E-B99C-AA6A05F3218C}" name="Column6747"/>
    <tableColumn id="6754" xr3:uid="{1A9BDEB2-8C00-49FB-B97D-329B88D8B029}" name="Column6748"/>
    <tableColumn id="6755" xr3:uid="{A6DDBDCF-E9BC-452A-906C-A176911CF686}" name="Column6749"/>
    <tableColumn id="6756" xr3:uid="{38332DCC-2C37-4E84-B044-D646F7D3EDFB}" name="Column6750"/>
    <tableColumn id="6757" xr3:uid="{81436E1C-6FC4-41FD-A32A-DEB5FB1286A4}" name="Column6751"/>
    <tableColumn id="6758" xr3:uid="{4B55111F-4BC9-4423-9AB1-D8C273DE22B6}" name="Column6752"/>
    <tableColumn id="6759" xr3:uid="{1D388BF2-A60E-45B7-A745-D68DF31FD634}" name="Column6753"/>
    <tableColumn id="6760" xr3:uid="{C726BA96-4557-4449-BFB3-42699C3EA37B}" name="Column6754"/>
    <tableColumn id="6761" xr3:uid="{CA546499-2B1D-499E-AD9A-80002F4B0AD0}" name="Column6755"/>
    <tableColumn id="6762" xr3:uid="{4C74EA38-BEA7-43C3-88E5-18CD3A491C33}" name="Column6756"/>
    <tableColumn id="6763" xr3:uid="{6B9FBBFA-3348-425B-A17D-36140DC69F6E}" name="Column6757"/>
    <tableColumn id="6764" xr3:uid="{BF36C13F-66FB-4E04-BC18-0199105A590F}" name="Column6758"/>
    <tableColumn id="6765" xr3:uid="{76FC8CC9-B1EA-4950-917B-FDB3217D4CA9}" name="Column6759"/>
    <tableColumn id="6766" xr3:uid="{9DF969D7-4953-4EBD-9EBF-51E5B1F1ABA9}" name="Column6760"/>
    <tableColumn id="6767" xr3:uid="{AC891939-0CB1-4BBA-8D94-5A1E30806EC0}" name="Column6761"/>
    <tableColumn id="6768" xr3:uid="{666965EC-F489-41EC-8F25-BB9CC0CFA764}" name="Column6762"/>
    <tableColumn id="6769" xr3:uid="{E8B5AC6A-8B3D-4ED8-831F-6F30FDE9D680}" name="Column6763"/>
    <tableColumn id="6770" xr3:uid="{03819A44-DE88-4154-B4F5-6EB549543DC6}" name="Column6764"/>
    <tableColumn id="6771" xr3:uid="{8FA59D2D-8DCB-4934-B2EB-937CD8FFBE69}" name="Column6765"/>
    <tableColumn id="6772" xr3:uid="{76F45D22-4C1E-4681-BA9E-C532C73DA35B}" name="Column6766"/>
    <tableColumn id="6773" xr3:uid="{72EBD306-7205-45E7-BBBA-CF015A6BA3FD}" name="Column6767"/>
    <tableColumn id="6774" xr3:uid="{95606715-48F8-44B2-9C5B-FAAB13D722C7}" name="Column6768"/>
    <tableColumn id="6775" xr3:uid="{CB262179-94C1-45D6-928D-9D71D3A0CB08}" name="Column6769"/>
    <tableColumn id="6776" xr3:uid="{35604CA3-8B1F-4770-84D4-0B69839BC980}" name="Column6770"/>
    <tableColumn id="6777" xr3:uid="{C8CF4D0C-4D82-4E1B-847B-BFBA3E486AEB}" name="Column6771"/>
    <tableColumn id="6778" xr3:uid="{E6D27412-FA8B-4460-937D-FCC714BD8414}" name="Column6772"/>
    <tableColumn id="6779" xr3:uid="{787208C8-9787-4727-81D1-95507E961AAA}" name="Column6773"/>
    <tableColumn id="6780" xr3:uid="{CC87C412-44C7-4672-9B95-6B110C1585FC}" name="Column6774"/>
    <tableColumn id="6781" xr3:uid="{33F648C5-3F84-4037-898E-885C496AF1B1}" name="Column6775"/>
    <tableColumn id="6782" xr3:uid="{EE3D9A65-6141-42FE-ADC3-A3EC32902E0A}" name="Column6776"/>
    <tableColumn id="6783" xr3:uid="{1B9AAD05-54C0-49F6-BEF3-4FB2D48CE504}" name="Column6777"/>
    <tableColumn id="6784" xr3:uid="{63B7864C-C31F-461C-8A36-ABC3CFB21773}" name="Column6778"/>
    <tableColumn id="6785" xr3:uid="{6F44614C-0C54-4EF8-9DA3-6C840C6D38C2}" name="Column6779"/>
    <tableColumn id="6786" xr3:uid="{022E4E62-8C37-45E0-B960-FD36FC522A38}" name="Column6780"/>
    <tableColumn id="6787" xr3:uid="{ADC5F7B1-9501-4AD9-85A3-5737712E898C}" name="Column6781"/>
    <tableColumn id="6788" xr3:uid="{B0E93E99-32C3-41CE-B493-F0B177E92563}" name="Column6782"/>
    <tableColumn id="6789" xr3:uid="{1BE13734-FC87-4572-8CA3-7219B163444C}" name="Column6783"/>
    <tableColumn id="6790" xr3:uid="{4EB1E0E2-06ED-4180-A201-DBB46968FFA3}" name="Column6784"/>
    <tableColumn id="6791" xr3:uid="{75B47905-E9F5-49C7-AF81-6A5CB55BA573}" name="Column6785"/>
    <tableColumn id="6792" xr3:uid="{8A428141-7D00-49ED-9E6A-FA4675DFBC6A}" name="Column6786"/>
    <tableColumn id="6793" xr3:uid="{40452613-8609-4D5E-A113-510302AC1B82}" name="Column6787"/>
    <tableColumn id="6794" xr3:uid="{7CC75728-C3E1-413D-956C-DE8ED6E5F17E}" name="Column6788"/>
    <tableColumn id="6795" xr3:uid="{B83428AD-CD3A-4D84-99C3-D2144FEABC92}" name="Column6789"/>
    <tableColumn id="6796" xr3:uid="{F89A57B3-D89A-4B67-A7C7-D323F70208F4}" name="Column6790"/>
    <tableColumn id="6797" xr3:uid="{11D78C09-0000-4C3E-AA49-2E3F2D55AE2E}" name="Column6791"/>
    <tableColumn id="6798" xr3:uid="{20D3502E-BD03-4FA5-8F76-8B8020BF3D98}" name="Column6792"/>
    <tableColumn id="6799" xr3:uid="{52A231B8-2FC6-42BB-9BDB-03A66725E9E4}" name="Column6793"/>
    <tableColumn id="6800" xr3:uid="{1E24116B-8A32-49C7-A529-BF11488CCC79}" name="Column6794"/>
    <tableColumn id="6801" xr3:uid="{87628164-BD55-4EF0-81AE-0E33DE7B61AD}" name="Column6795"/>
    <tableColumn id="6802" xr3:uid="{19297D6A-01AD-40ED-AEE0-92A794D77076}" name="Column6796"/>
    <tableColumn id="6803" xr3:uid="{01B35157-385C-4749-AEC7-9161AAA6ABE1}" name="Column6797"/>
    <tableColumn id="6804" xr3:uid="{4C8AF042-F922-48B1-A61D-87BE3A03B19A}" name="Column6798"/>
    <tableColumn id="6805" xr3:uid="{4755470F-F4F7-4BDB-B4BF-03B557F030E4}" name="Column6799"/>
    <tableColumn id="6806" xr3:uid="{D3B2255B-BD0F-43A6-A4E5-3641C6E9B08E}" name="Column6800"/>
    <tableColumn id="6807" xr3:uid="{47ED1F6F-2422-4153-8E3E-BF1805EBC798}" name="Column6801"/>
    <tableColumn id="6808" xr3:uid="{5EF69A07-28B2-432F-8F11-27556FA79A76}" name="Column6802"/>
    <tableColumn id="6809" xr3:uid="{A17C369C-7BC5-4AF4-A6EB-FFE515E95E88}" name="Column6803"/>
    <tableColumn id="6810" xr3:uid="{2C24C98F-DAE1-485B-BD4F-0D71DD4DA734}" name="Column6804"/>
    <tableColumn id="6811" xr3:uid="{F2EE4CE8-6BBC-4DD9-BC6E-7796C6255FB6}" name="Column6805"/>
    <tableColumn id="6812" xr3:uid="{EA9DE1F9-5D17-49E8-8BF7-43E66167544D}" name="Column6806"/>
    <tableColumn id="6813" xr3:uid="{9DC4B253-3739-4501-832D-8F0F5CB2AE47}" name="Column6807"/>
    <tableColumn id="6814" xr3:uid="{D30D0063-DC5A-4D40-BF7E-47561973121F}" name="Column6808"/>
    <tableColumn id="6815" xr3:uid="{46FE03DA-C00D-4610-B51C-72E337FB5092}" name="Column6809"/>
    <tableColumn id="6816" xr3:uid="{6B6CFB14-B202-4B37-BB5C-256A2AAA37FE}" name="Column6810"/>
    <tableColumn id="6817" xr3:uid="{A26630A5-1D77-401B-A442-0EF045C20991}" name="Column6811"/>
    <tableColumn id="6818" xr3:uid="{C55DF8E3-EF21-4EE1-9409-489E7D249682}" name="Column6812"/>
    <tableColumn id="6819" xr3:uid="{C05E7F4A-1D07-4B24-833E-F71D9299CA2E}" name="Column6813"/>
    <tableColumn id="6820" xr3:uid="{C5B64D50-069E-40E4-BEE0-A2150F4B6258}" name="Column6814"/>
    <tableColumn id="6821" xr3:uid="{FE49D7D9-BA1C-4559-8651-569F23298871}" name="Column6815"/>
    <tableColumn id="6822" xr3:uid="{0A86E06A-D9D6-4630-8A02-6655267FE8AF}" name="Column6816"/>
    <tableColumn id="6823" xr3:uid="{E132F4C1-B1F2-4E60-8D14-506F143D015B}" name="Column6817"/>
    <tableColumn id="6824" xr3:uid="{A6C7DC1B-325F-470E-8B41-C65C612979F7}" name="Column6818"/>
    <tableColumn id="6825" xr3:uid="{63F3787C-0ED3-40EE-8C37-9F07EB59A420}" name="Column6819"/>
    <tableColumn id="6826" xr3:uid="{A4D6AF1F-D9AE-4ED0-8C4A-D45CF0A43632}" name="Column6820"/>
    <tableColumn id="6827" xr3:uid="{65846567-F9D0-4BDC-900C-777F88C4EA1A}" name="Column6821"/>
    <tableColumn id="6828" xr3:uid="{D62ADBDA-8D33-4874-AEA9-6B65E70AA5F7}" name="Column6822"/>
    <tableColumn id="6829" xr3:uid="{9106C591-6723-4FF4-AFFC-888E1FE172B1}" name="Column6823"/>
    <tableColumn id="6830" xr3:uid="{248552E0-2580-4397-A800-B0F0D4FD2AFF}" name="Column6824"/>
    <tableColumn id="6831" xr3:uid="{B09B71E6-7C7E-448C-983F-4EC976333A07}" name="Column6825"/>
    <tableColumn id="6832" xr3:uid="{3DB0A745-B9E5-4C7D-96B9-BAF894CA080A}" name="Column6826"/>
    <tableColumn id="6833" xr3:uid="{4EA54369-1C11-4066-9E6C-D5AB0D3F0039}" name="Column6827"/>
    <tableColumn id="6834" xr3:uid="{AECEC06D-297E-41D6-8123-2A8E6C6AC66B}" name="Column6828"/>
    <tableColumn id="6835" xr3:uid="{A5E4D4DB-139D-41F7-B847-BCFCECB2D14B}" name="Column6829"/>
    <tableColumn id="6836" xr3:uid="{76C57E97-91BD-48EC-A0B7-BBA619726FA2}" name="Column6830"/>
    <tableColumn id="6837" xr3:uid="{2139C21A-A1E3-481D-98F3-18F5C04C8013}" name="Column6831"/>
    <tableColumn id="6838" xr3:uid="{A6F97662-1D56-47E1-B35C-F7137B6F3C67}" name="Column6832"/>
    <tableColumn id="6839" xr3:uid="{F0074069-13B9-4B44-8077-93B97D8BBB3A}" name="Column6833"/>
    <tableColumn id="6840" xr3:uid="{AF3AD791-DC68-4B1F-9DEB-3BB8904EB591}" name="Column6834"/>
    <tableColumn id="6841" xr3:uid="{0D854D7E-686E-4110-A264-6A73C8130831}" name="Column6835"/>
    <tableColumn id="6842" xr3:uid="{EA8ED027-99A0-455C-A7BC-4BE35922DC85}" name="Column6836"/>
    <tableColumn id="6843" xr3:uid="{3CBFCDFD-4E2B-484A-9819-5DC822C16C4A}" name="Column6837"/>
    <tableColumn id="6844" xr3:uid="{7EB931F1-50FC-4926-B072-7590EC316A0D}" name="Column6838"/>
    <tableColumn id="6845" xr3:uid="{B83A57AD-65AB-4C3E-B13B-FBECDFF290E6}" name="Column6839"/>
    <tableColumn id="6846" xr3:uid="{D0D90C9D-489C-4239-8694-5717B410D346}" name="Column6840"/>
    <tableColumn id="6847" xr3:uid="{8A33E7EB-982A-4983-AE88-D31A29B42C29}" name="Column6841"/>
    <tableColumn id="6848" xr3:uid="{BA0CE0E2-EAD4-4F0D-9A2B-1DB8DA41217D}" name="Column6842"/>
    <tableColumn id="6849" xr3:uid="{96EDE771-F8EC-4D6C-ABD3-EDE9F9A111A2}" name="Column6843"/>
    <tableColumn id="6850" xr3:uid="{84A576D7-AB29-47AF-8F99-C112459E366B}" name="Column6844"/>
    <tableColumn id="6851" xr3:uid="{0CEEB703-A522-467D-B970-2B67D6809886}" name="Column6845"/>
    <tableColumn id="6852" xr3:uid="{B847DB62-8147-45CB-8385-CC990DD698EF}" name="Column6846"/>
    <tableColumn id="6853" xr3:uid="{8FD022E3-AD7A-4F28-A2B6-A0021633F823}" name="Column6847"/>
    <tableColumn id="6854" xr3:uid="{762C08DE-0078-4BE8-8FF7-A6162071D2E5}" name="Column6848"/>
    <tableColumn id="6855" xr3:uid="{A51DDDE5-6EC4-4927-BC58-C0882D9C6AB7}" name="Column6849"/>
    <tableColumn id="6856" xr3:uid="{4A8BA9BA-C0B6-4BC6-A6AA-C999FF5705C0}" name="Column6850"/>
    <tableColumn id="6857" xr3:uid="{7B49C4FC-C221-4437-96FB-033D3A79A0ED}" name="Column6851"/>
    <tableColumn id="6858" xr3:uid="{4D77F365-12E2-4729-9052-3CA2AE74523B}" name="Column6852"/>
    <tableColumn id="6859" xr3:uid="{F426D38C-64D7-40C5-B72A-746F30E4CE8D}" name="Column6853"/>
    <tableColumn id="6860" xr3:uid="{06D330FC-3070-47C5-A243-1A74A441F3FA}" name="Column6854"/>
    <tableColumn id="6861" xr3:uid="{AA685339-E9D7-46C9-84D1-35AFCD99DB63}" name="Column6855"/>
    <tableColumn id="6862" xr3:uid="{A32B3794-2BBD-4475-80A6-8CBF6592E747}" name="Column6856"/>
    <tableColumn id="6863" xr3:uid="{ACE508A9-1058-485D-B074-CB53C280C9B4}" name="Column6857"/>
    <tableColumn id="6864" xr3:uid="{5098E060-914E-494D-9DC9-6E99FC3410FB}" name="Column6858"/>
    <tableColumn id="6865" xr3:uid="{6157E2D7-F810-497E-B27A-6A39147F1D99}" name="Column6859"/>
    <tableColumn id="6866" xr3:uid="{9BB0C2F1-A270-459A-9BE3-9D1D651DE697}" name="Column6860"/>
    <tableColumn id="6867" xr3:uid="{CE1B10AB-D946-4E31-A27D-701E43E97BD4}" name="Column6861"/>
    <tableColumn id="6868" xr3:uid="{0EEC8CB7-CC09-4E35-AC1F-6CBC6795CBCA}" name="Column6862"/>
    <tableColumn id="6869" xr3:uid="{BDC8A2BD-C6E1-4BF1-B6C0-A4DB5F3595C1}" name="Column6863"/>
    <tableColumn id="6870" xr3:uid="{D38D15E3-BEC0-4835-9BE0-235C268533AB}" name="Column6864"/>
    <tableColumn id="6871" xr3:uid="{98120F78-8238-4D01-98E7-6E6B9B57EF17}" name="Column6865"/>
    <tableColumn id="6872" xr3:uid="{D6780774-817B-478A-84DA-5821B8D13AF4}" name="Column6866"/>
    <tableColumn id="6873" xr3:uid="{233E8533-E56F-47C7-A281-A3FAB1939116}" name="Column6867"/>
    <tableColumn id="6874" xr3:uid="{9C054722-395F-4DE5-8194-0A99394B3285}" name="Column6868"/>
    <tableColumn id="6875" xr3:uid="{57918644-370E-4633-BCE9-E447C0AFADEB}" name="Column6869"/>
    <tableColumn id="6876" xr3:uid="{A5DBDBCB-DB9E-4B3E-835A-CF543422DBFC}" name="Column6870"/>
    <tableColumn id="6877" xr3:uid="{30AB69AF-86E3-4988-9C26-07738A750B77}" name="Column6871"/>
    <tableColumn id="6878" xr3:uid="{9E77ACBE-1EDD-4D4A-BA30-29582F472147}" name="Column6872"/>
    <tableColumn id="6879" xr3:uid="{292F3105-67D3-4151-BDBC-484A016E6FDC}" name="Column6873"/>
    <tableColumn id="6880" xr3:uid="{9C730470-7217-4201-A8AE-34352C294299}" name="Column6874"/>
    <tableColumn id="6881" xr3:uid="{5DB8A4C8-87CD-4027-8378-BCA42701149F}" name="Column6875"/>
    <tableColumn id="6882" xr3:uid="{21E531A9-0A97-4FF0-9E61-13157B702EAD}" name="Column6876"/>
    <tableColumn id="6883" xr3:uid="{C3DB36A3-F308-4B5B-AB3D-83CFFACB1F84}" name="Column6877"/>
    <tableColumn id="6884" xr3:uid="{76F7E7C0-3C80-49FE-A349-8D7CD2FE020E}" name="Column6878"/>
    <tableColumn id="6885" xr3:uid="{D7DD67C3-0E6D-49D6-9680-6B9CF56AA143}" name="Column6879"/>
    <tableColumn id="6886" xr3:uid="{762B8EE0-56A1-4751-BE5E-7192F076D84B}" name="Column6880"/>
    <tableColumn id="6887" xr3:uid="{3BA8DC7A-E53D-4A45-80EE-207A5CB45FF2}" name="Column6881"/>
    <tableColumn id="6888" xr3:uid="{8B018716-7B53-4BF9-99F0-D35B56F56618}" name="Column6882"/>
    <tableColumn id="6889" xr3:uid="{051AA3ED-7CF3-452D-B33E-03F724E2EA9C}" name="Column6883"/>
    <tableColumn id="6890" xr3:uid="{29BF66EA-ED20-4896-A583-ADE1A0AEB98F}" name="Column6884"/>
    <tableColumn id="6891" xr3:uid="{B9E280DE-8491-4A43-9272-7E2F706906E5}" name="Column6885"/>
    <tableColumn id="6892" xr3:uid="{A2620D77-BE32-411B-ADC7-1C6865557429}" name="Column6886"/>
    <tableColumn id="6893" xr3:uid="{D347826F-A7E1-427C-A290-C3EC1A5A6141}" name="Column6887"/>
    <tableColumn id="6894" xr3:uid="{6C1185A3-9F4B-4D18-9F96-D0CC7817D7BF}" name="Column6888"/>
    <tableColumn id="6895" xr3:uid="{CA24BD5E-5650-42BC-81EE-BA284F961960}" name="Column6889"/>
    <tableColumn id="6896" xr3:uid="{90FE4FB3-A220-490D-AD66-61B0519C4C99}" name="Column6890"/>
    <tableColumn id="6897" xr3:uid="{B9F5B779-D142-4920-A5CB-A7D0D0106414}" name="Column6891"/>
    <tableColumn id="6898" xr3:uid="{4B10AD16-C58F-4AC3-8AB4-48B1EA5E7943}" name="Column6892"/>
    <tableColumn id="6899" xr3:uid="{A4E57AE1-75F8-4C2F-8E77-35FD35E06E6B}" name="Column6893"/>
    <tableColumn id="6900" xr3:uid="{44A4687B-AB08-44AF-8C66-70F1E8F27ACD}" name="Column6894"/>
    <tableColumn id="6901" xr3:uid="{D29CCBBA-4728-4A5D-88F1-1C36ED99DCDB}" name="Column6895"/>
    <tableColumn id="6902" xr3:uid="{38FC3852-AC41-4133-9A9D-BA4C11A8202F}" name="Column6896"/>
    <tableColumn id="6903" xr3:uid="{E9CBD4FF-9346-41D3-88B5-01F07F186F90}" name="Column6897"/>
    <tableColumn id="6904" xr3:uid="{CF2C2E49-3991-4E97-A83D-D30FDF2A9344}" name="Column6898"/>
    <tableColumn id="6905" xr3:uid="{6175F6D5-37B7-4EA2-B85E-FD88E26802B0}" name="Column6899"/>
    <tableColumn id="6906" xr3:uid="{95E0944B-2120-4B2B-B4F6-03B0683A408D}" name="Column6900"/>
    <tableColumn id="6907" xr3:uid="{945C0F02-6AA8-4251-81C9-FBED7CA977B4}" name="Column6901"/>
    <tableColumn id="6908" xr3:uid="{23EB3684-7421-431B-8110-6053923D93F3}" name="Column6902"/>
    <tableColumn id="6909" xr3:uid="{C6DABA70-EC78-4CD7-A1DA-A98D981C44A4}" name="Column6903"/>
    <tableColumn id="6910" xr3:uid="{0E2DAF1C-75B9-4DB1-8606-59E0B3B234F6}" name="Column6904"/>
    <tableColumn id="6911" xr3:uid="{C15248C9-5AD7-4189-A70B-C04D79C35BE5}" name="Column6905"/>
    <tableColumn id="6912" xr3:uid="{5C8D2D5D-42CB-48DC-8ADE-ED57B941E002}" name="Column6906"/>
    <tableColumn id="6913" xr3:uid="{78F9FC1C-1E5C-4703-91AF-E6B005D58A51}" name="Column6907"/>
    <tableColumn id="6914" xr3:uid="{5319B2C7-01EF-4574-91DF-0EF4E9C4CFAD}" name="Column6908"/>
    <tableColumn id="6915" xr3:uid="{303BCF5D-B8B7-486E-BD90-DD4E5402AA1B}" name="Column6909"/>
    <tableColumn id="6916" xr3:uid="{28B30DD0-2C2A-4F32-9191-2AAE82176EE2}" name="Column6910"/>
    <tableColumn id="6917" xr3:uid="{54128D45-1B12-43FA-90A4-D831659CD7BF}" name="Column6911"/>
    <tableColumn id="6918" xr3:uid="{A0334339-CD8D-418B-82A6-2FEA83CE79FA}" name="Column6912"/>
    <tableColumn id="6919" xr3:uid="{413670A3-4A51-484F-8150-A4F61FD55967}" name="Column6913"/>
    <tableColumn id="6920" xr3:uid="{D88A8F93-B673-475F-8B34-017661173EA5}" name="Column6914"/>
    <tableColumn id="6921" xr3:uid="{0169BDC6-2CC7-4216-971B-5810E453895C}" name="Column6915"/>
    <tableColumn id="6922" xr3:uid="{B8CC9F70-DA5C-44AA-BEA0-F80F9BBC11AD}" name="Column6916"/>
    <tableColumn id="6923" xr3:uid="{D8C44873-BBE7-4D99-9EDC-6B18DDA97616}" name="Column6917"/>
    <tableColumn id="6924" xr3:uid="{78D12A04-2D8B-4C02-B154-FE6E4CA0A44C}" name="Column6918"/>
    <tableColumn id="6925" xr3:uid="{117D448C-254E-4EC2-B565-D24771E6233D}" name="Column6919"/>
    <tableColumn id="6926" xr3:uid="{342F427B-9F4E-4E04-A2F3-B213CD7B2AED}" name="Column6920"/>
    <tableColumn id="6927" xr3:uid="{5115D31E-270D-472F-96C8-EA48AE3F5B72}" name="Column6921"/>
    <tableColumn id="6928" xr3:uid="{64C424C6-37F5-45BA-8295-892BF06D0A1C}" name="Column6922"/>
    <tableColumn id="6929" xr3:uid="{C50A24C6-EA6C-41BB-8FC1-1F13B432285D}" name="Column6923"/>
    <tableColumn id="6930" xr3:uid="{E0CBFE5F-F424-4C9E-9600-0517CED5DEE9}" name="Column6924"/>
    <tableColumn id="6931" xr3:uid="{B01B3F43-BB3F-4F38-8D0B-8C186B43E261}" name="Column6925"/>
    <tableColumn id="6932" xr3:uid="{B118AB8B-1F77-4C2F-B250-656A29892463}" name="Column6926"/>
    <tableColumn id="6933" xr3:uid="{5ECA7399-47CA-43DA-95BC-896C50FFF4D4}" name="Column6927"/>
    <tableColumn id="6934" xr3:uid="{B0F52EF9-47CD-400A-AE47-B932F6C6E93F}" name="Column6928"/>
    <tableColumn id="6935" xr3:uid="{C9ED8003-99D4-40EE-8BAA-E2A4A1AE86CD}" name="Column6929"/>
    <tableColumn id="6936" xr3:uid="{04C62BC1-5C86-4A22-B9E6-8C3A98EF1859}" name="Column6930"/>
    <tableColumn id="6937" xr3:uid="{52C7BA26-60AA-480E-95CC-E39530F6537A}" name="Column6931"/>
    <tableColumn id="6938" xr3:uid="{1512AC4A-782F-4D37-8882-EDC4207DD2C3}" name="Column6932"/>
    <tableColumn id="6939" xr3:uid="{19A1785B-052B-4A53-99E7-56EC96973AF9}" name="Column6933"/>
    <tableColumn id="6940" xr3:uid="{C592AE4E-A1B4-4DDB-AC90-0E67CAC11AB0}" name="Column6934"/>
    <tableColumn id="6941" xr3:uid="{E9510EB5-EB68-4F75-9E60-E26048431EDB}" name="Column6935"/>
    <tableColumn id="6942" xr3:uid="{EFE5F1DE-528D-4F48-80D5-63B7601F71B4}" name="Column6936"/>
    <tableColumn id="6943" xr3:uid="{D877CD22-96CE-421D-B089-55179CFC0FF4}" name="Column6937"/>
    <tableColumn id="6944" xr3:uid="{26124A85-E039-4576-A7C0-30C21EA4472C}" name="Column6938"/>
    <tableColumn id="6945" xr3:uid="{316455E9-C38B-465B-8D20-82689761D890}" name="Column6939"/>
    <tableColumn id="6946" xr3:uid="{2C329FAC-FD8D-4362-8E77-CF382E5BD501}" name="Column6940"/>
    <tableColumn id="6947" xr3:uid="{82A47FDF-F6A8-4F02-A2F0-418E64616B76}" name="Column6941"/>
    <tableColumn id="6948" xr3:uid="{BE22D9F6-F2E3-4250-8039-441417584B71}" name="Column6942"/>
    <tableColumn id="6949" xr3:uid="{09049A56-2A8B-4D5D-AFC7-1D1A967F4BD8}" name="Column6943"/>
    <tableColumn id="6950" xr3:uid="{FCD4B87A-AC18-469A-B208-B2A2E08BE94E}" name="Column6944"/>
    <tableColumn id="6951" xr3:uid="{E5512187-2FAE-40CE-91ED-8886EC0122EB}" name="Column6945"/>
    <tableColumn id="6952" xr3:uid="{EE3B2E42-1CE7-482D-8D80-073342076BFC}" name="Column6946"/>
    <tableColumn id="6953" xr3:uid="{73A641C8-3885-4FCE-8F76-024737B4C9E8}" name="Column6947"/>
    <tableColumn id="6954" xr3:uid="{12493951-8DCB-4609-B3EF-D81302317EE3}" name="Column6948"/>
    <tableColumn id="6955" xr3:uid="{4227F430-22D4-4B35-BAB4-DB7B05A2BFDC}" name="Column6949"/>
    <tableColumn id="6956" xr3:uid="{5D9D6320-C0ED-463B-9E4B-056B7B6D5DE2}" name="Column6950"/>
    <tableColumn id="6957" xr3:uid="{89F42925-E9E1-4A65-8F9D-EC33E421283D}" name="Column6951"/>
    <tableColumn id="6958" xr3:uid="{D2032125-7281-480F-859F-8E15FF277AD3}" name="Column6952"/>
    <tableColumn id="6959" xr3:uid="{61C028C4-5871-4435-9953-B70DE810A418}" name="Column6953"/>
    <tableColumn id="6960" xr3:uid="{7E684D45-3BFD-4CF1-B98C-9A338A3BC233}" name="Column6954"/>
    <tableColumn id="6961" xr3:uid="{6C3B0885-37A2-4229-9C3C-12D5F09B525B}" name="Column6955"/>
    <tableColumn id="6962" xr3:uid="{12293D28-27D6-46BE-AA02-707EA8167B9E}" name="Column6956"/>
    <tableColumn id="6963" xr3:uid="{2CC8F01A-B4E4-49AB-9A8D-6781B7E2C62C}" name="Column6957"/>
    <tableColumn id="6964" xr3:uid="{82DDF6EF-099B-49A5-B089-948275B5FE9C}" name="Column6958"/>
    <tableColumn id="6965" xr3:uid="{534D60BC-4F29-4814-9016-AE00940603FE}" name="Column6959"/>
    <tableColumn id="6966" xr3:uid="{E88124B0-5189-4968-9634-BA45301E2F10}" name="Column6960"/>
    <tableColumn id="6967" xr3:uid="{E69E578A-017B-4699-9793-FFB6A1D4C9FE}" name="Column6961"/>
    <tableColumn id="6968" xr3:uid="{B53A6AAE-ABCA-4BAE-AFE6-67E5EBF6E15F}" name="Column6962"/>
    <tableColumn id="6969" xr3:uid="{18AF640D-E3EE-4804-805E-F3BF658D1416}" name="Column6963"/>
    <tableColumn id="6970" xr3:uid="{17EAF1D7-58C4-45E4-B24A-DE6CE786B51A}" name="Column6964"/>
    <tableColumn id="6971" xr3:uid="{3EDE684F-F45D-4B12-9F71-B29E7EC0DCB1}" name="Column6965"/>
    <tableColumn id="6972" xr3:uid="{F597E686-C418-4794-8FB7-D024F1A4BC33}" name="Column6966"/>
    <tableColumn id="6973" xr3:uid="{0CD1F75F-74E3-4731-9AFA-544302FB27CF}" name="Column6967"/>
    <tableColumn id="6974" xr3:uid="{9D10E83D-11EF-421D-86B6-0739E175119C}" name="Column6968"/>
    <tableColumn id="6975" xr3:uid="{65EC5218-5976-4374-BE60-3D37DDF32C75}" name="Column6969"/>
    <tableColumn id="6976" xr3:uid="{C1D4B311-CC95-4120-A45C-F940FDBF9193}" name="Column6970"/>
    <tableColumn id="6977" xr3:uid="{DCBC2D4D-F403-471F-A68B-67F1E1BFF60B}" name="Column6971"/>
    <tableColumn id="6978" xr3:uid="{48FC231F-19BD-47A2-9A14-AC106DFD82EB}" name="Column6972"/>
    <tableColumn id="6979" xr3:uid="{9951C7DD-104E-456C-8E33-CC21991B53C7}" name="Column6973"/>
    <tableColumn id="6980" xr3:uid="{C3FA66C8-4849-4AEB-9F4D-3FDAA1CCE27D}" name="Column6974"/>
    <tableColumn id="6981" xr3:uid="{734025CF-CF67-453B-AC63-BEC7CF661B2B}" name="Column6975"/>
    <tableColumn id="6982" xr3:uid="{62754A0B-D296-4D10-9507-F6E2088CDD93}" name="Column6976"/>
    <tableColumn id="6983" xr3:uid="{6CE1FEA2-AFA6-4633-A9A8-DD62CFED1FBF}" name="Column6977"/>
    <tableColumn id="6984" xr3:uid="{83FF9CE7-0439-47E6-A358-A2BF7DEA1D7E}" name="Column6978"/>
    <tableColumn id="6985" xr3:uid="{9718ACCC-0C83-4E96-B92E-3DF93F973F81}" name="Column6979"/>
    <tableColumn id="6986" xr3:uid="{84346651-75E5-4025-ADFA-919C681D42BD}" name="Column6980"/>
    <tableColumn id="6987" xr3:uid="{C3B46C91-8D28-4C77-AEEA-AD7CF10ABAAD}" name="Column6981"/>
    <tableColumn id="6988" xr3:uid="{51920D8F-68EA-46D0-88A3-EB80F6BE67F7}" name="Column6982"/>
    <tableColumn id="6989" xr3:uid="{6991F448-3D54-47F3-9779-6D2B36CD43E0}" name="Column6983"/>
    <tableColumn id="6990" xr3:uid="{72E4CA82-531A-46D7-969E-5BB3EF8929E6}" name="Column6984"/>
    <tableColumn id="6991" xr3:uid="{9037CB5A-4061-43FA-A335-11EBAD8CAE4D}" name="Column6985"/>
    <tableColumn id="6992" xr3:uid="{15C5C7A0-46B9-483C-9000-24C2E74F5630}" name="Column6986"/>
    <tableColumn id="6993" xr3:uid="{F4C0EC64-86B0-49E1-B785-2E68273FF6B4}" name="Column6987"/>
    <tableColumn id="6994" xr3:uid="{B2AFD5F1-309D-4D33-8B86-A40ABCB83F14}" name="Column6988"/>
    <tableColumn id="6995" xr3:uid="{70FE20F7-E84A-473A-8C21-DFF2B5017305}" name="Column6989"/>
    <tableColumn id="6996" xr3:uid="{C2546DFC-F7CA-4864-BE65-D3DC27E8332C}" name="Column6990"/>
    <tableColumn id="6997" xr3:uid="{5782EA15-3E71-449F-B012-521F53D90F85}" name="Column6991"/>
    <tableColumn id="6998" xr3:uid="{1A35EB9E-D559-442E-9752-D85054361CFA}" name="Column6992"/>
    <tableColumn id="6999" xr3:uid="{712152F3-D8E9-4249-9E94-57E402767623}" name="Column6993"/>
    <tableColumn id="7000" xr3:uid="{16F3B2DD-FA51-444B-B200-1E609B8115D8}" name="Column6994"/>
    <tableColumn id="7001" xr3:uid="{AA0023AE-0E77-4307-874B-002D55EF8245}" name="Column6995"/>
    <tableColumn id="7002" xr3:uid="{F44EF819-5F99-4FF4-9D8E-176A734AE1C0}" name="Column6996"/>
    <tableColumn id="7003" xr3:uid="{E506E873-DBDA-48DF-9503-EBB0EEE6A5C8}" name="Column6997"/>
    <tableColumn id="7004" xr3:uid="{807EC1D5-78B4-49B1-881A-0E530C18E7F9}" name="Column6998"/>
    <tableColumn id="7005" xr3:uid="{D8AFB56C-0A01-41E9-9829-A09BAB7F811A}" name="Column6999"/>
    <tableColumn id="7006" xr3:uid="{E4201407-E1DB-4488-B992-2411D9D130D6}" name="Column7000"/>
    <tableColumn id="7007" xr3:uid="{FFDC0D2B-B79F-4517-875C-DFDF01C9E2F2}" name="Column7001"/>
    <tableColumn id="7008" xr3:uid="{02178267-A880-481A-9D42-C43670CD724D}" name="Column7002"/>
    <tableColumn id="7009" xr3:uid="{9F0FC15C-125E-4BCE-8999-0863B357BD95}" name="Column7003"/>
    <tableColumn id="7010" xr3:uid="{7DE71273-6A59-4F38-B1B3-06180EF281A5}" name="Column7004"/>
    <tableColumn id="7011" xr3:uid="{B570171C-B935-4813-906A-69C93D93FB3F}" name="Column7005"/>
    <tableColumn id="7012" xr3:uid="{EABC6EAC-90CC-43D0-89B6-C8B979971B49}" name="Column7006"/>
    <tableColumn id="7013" xr3:uid="{3690A0EE-9620-4BF1-AC93-B5761ABABDF4}" name="Column7007"/>
    <tableColumn id="7014" xr3:uid="{71524860-CF66-4222-A757-0B2C60B1CD62}" name="Column7008"/>
    <tableColumn id="7015" xr3:uid="{3285E350-0BB0-4DD9-A84A-5D775ABDF318}" name="Column7009"/>
    <tableColumn id="7016" xr3:uid="{3077B10B-0B70-4724-9E41-5E1C6B52EC5D}" name="Column7010"/>
    <tableColumn id="7017" xr3:uid="{42ECF7AD-796A-4DE9-A576-2CCBF5513FCE}" name="Column7011"/>
    <tableColumn id="7018" xr3:uid="{893357A2-FFC7-46BB-8595-9D52925C59D1}" name="Column7012"/>
    <tableColumn id="7019" xr3:uid="{8B8E004E-7F49-48C6-9B82-5ABF5CADF0AE}" name="Column7013"/>
    <tableColumn id="7020" xr3:uid="{883DE927-0147-4106-991B-B3308EE1E509}" name="Column7014"/>
    <tableColumn id="7021" xr3:uid="{6AFEE77F-3AD5-4AED-A135-0FA96FA4AFF4}" name="Column7015"/>
    <tableColumn id="7022" xr3:uid="{D11A6F18-329E-4A76-97D2-58752BB0FBD1}" name="Column7016"/>
    <tableColumn id="7023" xr3:uid="{2BF52A39-C172-479B-BF94-6E2D59932894}" name="Column7017"/>
    <tableColumn id="7024" xr3:uid="{E37C5E45-29A9-4596-A1E8-F94EF9BECDC3}" name="Column7018"/>
    <tableColumn id="7025" xr3:uid="{F2FE39E6-B160-49BF-9A16-705EDDAF8A24}" name="Column7019"/>
    <tableColumn id="7026" xr3:uid="{E7574355-FB07-4E1A-AB51-D0BE34DD4EFF}" name="Column7020"/>
    <tableColumn id="7027" xr3:uid="{BF79F989-D442-4532-ADEB-22E081BA04CC}" name="Column7021"/>
    <tableColumn id="7028" xr3:uid="{973B2351-992B-4157-9C58-8B1AA1911431}" name="Column7022"/>
    <tableColumn id="7029" xr3:uid="{388E9E37-4D50-47D7-A239-4092563158B5}" name="Column7023"/>
    <tableColumn id="7030" xr3:uid="{6E3CB3A2-3954-4982-BFEA-294BEF66C29E}" name="Column7024"/>
    <tableColumn id="7031" xr3:uid="{7A151A09-9838-4BA0-BD76-592FAE833C53}" name="Column7025"/>
    <tableColumn id="7032" xr3:uid="{2D8258A0-DA0D-4B97-94D3-F850A5EA48F8}" name="Column7026"/>
    <tableColumn id="7033" xr3:uid="{9B152423-F71F-44AF-BE42-31D2266ED5C6}" name="Column7027"/>
    <tableColumn id="7034" xr3:uid="{46940D2C-2749-4B80-B4BC-7156DC843D62}" name="Column7028"/>
    <tableColumn id="7035" xr3:uid="{8BA902C4-F696-4CFF-AEF1-96C74DDDB032}" name="Column7029"/>
    <tableColumn id="7036" xr3:uid="{562AFA75-FFE7-4115-8CC0-DD22B6C0E6E9}" name="Column7030"/>
    <tableColumn id="7037" xr3:uid="{52F53E30-8918-47B7-9C9F-7DFFBBCF757E}" name="Column7031"/>
    <tableColumn id="7038" xr3:uid="{9AE8DB7E-E52E-47AD-B132-998A7D16F6FB}" name="Column7032"/>
    <tableColumn id="7039" xr3:uid="{E1B3FBF0-79A9-4247-B29B-163DA8ECD3B6}" name="Column7033"/>
    <tableColumn id="7040" xr3:uid="{3A28C83C-CECF-458C-9AAC-E29B1F049F92}" name="Column7034"/>
    <tableColumn id="7041" xr3:uid="{7F0A2988-8778-4E0F-BFE5-A1E877CD3FDB}" name="Column7035"/>
    <tableColumn id="7042" xr3:uid="{96C62503-E09F-4BC6-BA71-7ED6BE063867}" name="Column7036"/>
    <tableColumn id="7043" xr3:uid="{224057D1-7756-4F88-B2ED-FE9CA9A630CA}" name="Column7037"/>
    <tableColumn id="7044" xr3:uid="{3F0F6B6C-CC40-4C9F-B3DF-21178699EF2B}" name="Column7038"/>
    <tableColumn id="7045" xr3:uid="{78B706EB-5549-47B3-A9BA-2C17F6BF8D9F}" name="Column7039"/>
    <tableColumn id="7046" xr3:uid="{A51ED7DD-BC8F-44DC-85F8-C2669170D30F}" name="Column7040"/>
    <tableColumn id="7047" xr3:uid="{1D5A46F2-29C5-4789-8AA7-DC47297D462B}" name="Column7041"/>
    <tableColumn id="7048" xr3:uid="{40C4AFAE-2794-4313-AC1C-1769756D2821}" name="Column7042"/>
    <tableColumn id="7049" xr3:uid="{43C2C8A9-011B-4976-9CEE-579DE452242D}" name="Column7043"/>
    <tableColumn id="7050" xr3:uid="{4B19BFC9-B727-4B32-BD6D-526875DEFA58}" name="Column7044"/>
    <tableColumn id="7051" xr3:uid="{255558B3-2222-4C38-B1D2-D4301E3681E5}" name="Column7045"/>
    <tableColumn id="7052" xr3:uid="{EAAF7B7E-31CF-43E1-8CBD-50B8BFD2CC74}" name="Column7046"/>
    <tableColumn id="7053" xr3:uid="{40DA3C96-4F1E-4F9C-A788-D6CE8A7195D2}" name="Column7047"/>
    <tableColumn id="7054" xr3:uid="{AE7D71A7-1DF6-4F95-AAB3-6C75EF7C35A6}" name="Column7048"/>
    <tableColumn id="7055" xr3:uid="{72179B25-2A48-4470-8697-9BB12421ACB1}" name="Column7049"/>
    <tableColumn id="7056" xr3:uid="{742C3964-E111-4B45-B1CD-E082C8BD91AA}" name="Column7050"/>
    <tableColumn id="7057" xr3:uid="{600538F6-AFB2-4C23-BD44-703FFC2BE9A8}" name="Column7051"/>
    <tableColumn id="7058" xr3:uid="{6C11B226-C71A-45CD-ABB4-1C681323DF24}" name="Column7052"/>
    <tableColumn id="7059" xr3:uid="{81C9DBBF-FBD4-4A2A-8592-18972ED84F94}" name="Column7053"/>
    <tableColumn id="7060" xr3:uid="{A45C60B0-E050-4192-A0B6-ACCFEF06E2B4}" name="Column7054"/>
    <tableColumn id="7061" xr3:uid="{7D0A3D3A-2362-4DBB-83E7-7F17A6877AB7}" name="Column7055"/>
    <tableColumn id="7062" xr3:uid="{AC8204E1-A2AF-431F-B223-5873C26D44FA}" name="Column7056"/>
    <tableColumn id="7063" xr3:uid="{B2E238DA-FD86-4392-ABEA-C76A25939B26}" name="Column7057"/>
    <tableColumn id="7064" xr3:uid="{BF8AA7FB-7DBF-4AD2-856E-23A108A6F9F2}" name="Column7058"/>
    <tableColumn id="7065" xr3:uid="{EEC6382C-8091-4A8F-BC32-1EE099E7254F}" name="Column7059"/>
    <tableColumn id="7066" xr3:uid="{C125DBFC-0D7F-4ABA-A801-BDEF7C2CB17F}" name="Column7060"/>
    <tableColumn id="7067" xr3:uid="{20FD609B-4DFB-454A-9BFB-2FF1D8A77AE0}" name="Column7061"/>
    <tableColumn id="7068" xr3:uid="{C6CF1651-0510-48AE-B00A-800512A64683}" name="Column7062"/>
    <tableColumn id="7069" xr3:uid="{4AB9894C-9FB1-470F-B4D7-F753ED92A2CF}" name="Column7063"/>
    <tableColumn id="7070" xr3:uid="{B0E65E86-A5C5-4BD8-82E6-57FF7E616A07}" name="Column7064"/>
    <tableColumn id="7071" xr3:uid="{FE6F69BE-D6DA-479C-B750-1B3783EEA52B}" name="Column7065"/>
    <tableColumn id="7072" xr3:uid="{A299D574-5750-48EE-B982-C2A45B27A992}" name="Column7066"/>
    <tableColumn id="7073" xr3:uid="{27CFD11A-D300-46EC-80B4-A5F94AB515E9}" name="Column7067"/>
    <tableColumn id="7074" xr3:uid="{B6CC10BA-EFE3-4462-8D5B-139DF735644D}" name="Column7068"/>
    <tableColumn id="7075" xr3:uid="{8BFB38A2-6A02-47E7-AC00-B3FC981CB8CC}" name="Column7069"/>
    <tableColumn id="7076" xr3:uid="{F9720F8A-EEB4-4D70-9CF5-36D481767952}" name="Column7070"/>
    <tableColumn id="7077" xr3:uid="{DF1ACB11-BD9C-4965-8993-4707247CD011}" name="Column7071"/>
    <tableColumn id="7078" xr3:uid="{3447DE78-2540-44C0-ACBB-924B24430DD2}" name="Column7072"/>
    <tableColumn id="7079" xr3:uid="{B927433F-1060-4970-8CF3-839E7F70EF21}" name="Column7073"/>
    <tableColumn id="7080" xr3:uid="{A15073A1-12EB-4500-92E9-5FA5A6820237}" name="Column7074"/>
    <tableColumn id="7081" xr3:uid="{1DF3293E-6F41-4F0E-A017-2F54842D8EA5}" name="Column7075"/>
    <tableColumn id="7082" xr3:uid="{C660505C-B2C9-4CC4-A54A-5F17AA6FE57D}" name="Column7076"/>
    <tableColumn id="7083" xr3:uid="{4909A427-3E01-4D38-8266-31744D4ECC35}" name="Column7077"/>
    <tableColumn id="7084" xr3:uid="{BE81C51B-0E9E-4294-ABAA-F08BBA4C804B}" name="Column7078"/>
    <tableColumn id="7085" xr3:uid="{9227CB4A-2DE9-4D88-857E-919D051DF411}" name="Column7079"/>
    <tableColumn id="7086" xr3:uid="{F858A5EA-FAAC-4BB4-9FB9-E5F102DB2CB0}" name="Column7080"/>
    <tableColumn id="7087" xr3:uid="{5B4BDED1-21BF-49E6-BBDD-DE704DAC7FAC}" name="Column7081"/>
    <tableColumn id="7088" xr3:uid="{EBE1BC77-BB6F-4241-9179-FBECA491B8B9}" name="Column7082"/>
    <tableColumn id="7089" xr3:uid="{7CDCF632-85A7-4F4F-BA93-B15CC69ECA12}" name="Column7083"/>
    <tableColumn id="7090" xr3:uid="{6EECAFC2-1871-4F48-B068-C0269824ABC5}" name="Column7084"/>
    <tableColumn id="7091" xr3:uid="{088C0154-8820-4A6B-BB81-7E22419DF832}" name="Column7085"/>
    <tableColumn id="7092" xr3:uid="{A3086204-49A7-494F-827E-BE9D4D3001B4}" name="Column7086"/>
    <tableColumn id="7093" xr3:uid="{C4DBF79E-5058-4B8D-897C-BC0E7F39D160}" name="Column7087"/>
    <tableColumn id="7094" xr3:uid="{6AB2ED3F-D51B-4922-A180-873686258967}" name="Column7088"/>
    <tableColumn id="7095" xr3:uid="{210D2E19-5AC8-4743-8F77-010D335B22EE}" name="Column7089"/>
    <tableColumn id="7096" xr3:uid="{1B49F884-17C1-410D-96D2-AB434EAE1696}" name="Column7090"/>
    <tableColumn id="7097" xr3:uid="{41C07CBE-1334-4D35-992D-7A7F290BCEC0}" name="Column7091"/>
    <tableColumn id="7098" xr3:uid="{96CA1952-9E6D-42A8-99EE-45369ADFFB9A}" name="Column7092"/>
    <tableColumn id="7099" xr3:uid="{FB852F96-9EC5-44A8-BE37-5B38A69893E1}" name="Column7093"/>
    <tableColumn id="7100" xr3:uid="{073269D8-15D0-4562-8B1A-0AA3F10481F9}" name="Column7094"/>
    <tableColumn id="7101" xr3:uid="{F2BFB4CF-EB59-4568-9D0D-6DD265FE7A76}" name="Column7095"/>
    <tableColumn id="7102" xr3:uid="{B971743F-6673-4EFC-BE02-A25DCED9A049}" name="Column7096"/>
    <tableColumn id="7103" xr3:uid="{40D85310-1483-43CB-900F-1C60B684384E}" name="Column7097"/>
    <tableColumn id="7104" xr3:uid="{B5222BCB-7966-4A83-8124-C5D81841F30B}" name="Column7098"/>
    <tableColumn id="7105" xr3:uid="{4912151D-F4BE-4133-B59E-3CD5D269F2A3}" name="Column7099"/>
    <tableColumn id="7106" xr3:uid="{6B9F526F-70C3-45C2-A43B-A62153DBDCDB}" name="Column7100"/>
    <tableColumn id="7107" xr3:uid="{B65BC12F-E57B-4248-9801-5E6250264F2F}" name="Column7101"/>
    <tableColumn id="7108" xr3:uid="{F907A0CA-B6C0-427E-80E8-2982ED4DD896}" name="Column7102"/>
    <tableColumn id="7109" xr3:uid="{52776931-328B-49AD-B448-C4E09E15770E}" name="Column7103"/>
    <tableColumn id="7110" xr3:uid="{EBFAEC30-E3FC-4BEF-AC66-BF3554512A6F}" name="Column7104"/>
    <tableColumn id="7111" xr3:uid="{7A5B1A57-7D76-4612-99B1-6BB2645CF82C}" name="Column7105"/>
    <tableColumn id="7112" xr3:uid="{CC0C603E-BEDC-42DE-8FF9-0B6CF1446A31}" name="Column7106"/>
    <tableColumn id="7113" xr3:uid="{7FBEEBE1-FD45-408A-B78D-A6D56F669C9F}" name="Column7107"/>
    <tableColumn id="7114" xr3:uid="{B9E95F5F-0566-469C-8859-5367DABAACF5}" name="Column7108"/>
    <tableColumn id="7115" xr3:uid="{71051185-093A-4B48-8DBF-059A89F611A6}" name="Column7109"/>
    <tableColumn id="7116" xr3:uid="{CA8D1B4A-6CF1-4BC6-8DAB-D9C2FC68317D}" name="Column7110"/>
    <tableColumn id="7117" xr3:uid="{B566C055-B890-4DE6-9729-44184024ADB0}" name="Column7111"/>
    <tableColumn id="7118" xr3:uid="{BB146AF3-4B96-4817-A035-F51C79D36930}" name="Column7112"/>
    <tableColumn id="7119" xr3:uid="{EC6AB324-A968-473D-8988-DEA87F1F2708}" name="Column7113"/>
    <tableColumn id="7120" xr3:uid="{6DEB19B0-F80C-4352-946E-4CF9A0C49A34}" name="Column7114"/>
    <tableColumn id="7121" xr3:uid="{5942A3CA-811D-4339-853B-D4A5579EAA7B}" name="Column7115"/>
    <tableColumn id="7122" xr3:uid="{14784A30-57D0-4071-BC83-AF95BC717E29}" name="Column7116"/>
    <tableColumn id="7123" xr3:uid="{969C8E6F-2491-4D52-ABC0-4A00D892A6EC}" name="Column7117"/>
    <tableColumn id="7124" xr3:uid="{02B531E6-D2AA-45F6-91C7-43559BAB0508}" name="Column7118"/>
    <tableColumn id="7125" xr3:uid="{DAF6E90F-1F38-4032-9484-BA14D1DD9C46}" name="Column7119"/>
    <tableColumn id="7126" xr3:uid="{B411F81B-FDFB-4FA1-8177-F98BBD340C44}" name="Column7120"/>
    <tableColumn id="7127" xr3:uid="{D53E1632-213F-46D9-8A45-674362AA096E}" name="Column7121"/>
    <tableColumn id="7128" xr3:uid="{D4A4A33F-5584-419E-82E3-48D131106B29}" name="Column7122"/>
    <tableColumn id="7129" xr3:uid="{F9DBA0EF-2E42-4799-AC2D-340804A45BBA}" name="Column7123"/>
    <tableColumn id="7130" xr3:uid="{8CEE6FF8-560A-4CF5-9DAD-242E96E913AA}" name="Column7124"/>
    <tableColumn id="7131" xr3:uid="{4B51673C-932A-49E9-9667-7B6FCA1B76D4}" name="Column7125"/>
    <tableColumn id="7132" xr3:uid="{837DE272-62A9-4E52-ADBC-806B991DF22B}" name="Column7126"/>
    <tableColumn id="7133" xr3:uid="{D5250D3F-0019-42B4-8C8E-7BB2EA157512}" name="Column7127"/>
    <tableColumn id="7134" xr3:uid="{5879FB05-9F93-433B-9434-87B675267089}" name="Column7128"/>
    <tableColumn id="7135" xr3:uid="{BF0FB26E-58BC-4E7E-85F4-0C24DED6A77E}" name="Column7129"/>
    <tableColumn id="7136" xr3:uid="{B2139359-EDCF-4402-BCF4-F9CFB28A6BAB}" name="Column7130"/>
    <tableColumn id="7137" xr3:uid="{7C0FFA56-9DB6-42CF-9912-6118106D6268}" name="Column7131"/>
    <tableColumn id="7138" xr3:uid="{AFA93394-8CE5-4F23-AA3F-F02B96AAFEA5}" name="Column7132"/>
    <tableColumn id="7139" xr3:uid="{09466811-E116-4B82-9BBA-8DA6E5BBDE6F}" name="Column7133"/>
    <tableColumn id="7140" xr3:uid="{C53764DE-334D-4EDA-BA12-C0AC860676E2}" name="Column7134"/>
    <tableColumn id="7141" xr3:uid="{31B3935E-CBDA-47F1-B244-5DE413388410}" name="Column7135"/>
    <tableColumn id="7142" xr3:uid="{35690DDB-2694-4F93-8EB3-B91BD6400FFF}" name="Column7136"/>
    <tableColumn id="7143" xr3:uid="{0C4965C2-C49B-439C-8732-1D7014220A03}" name="Column7137"/>
    <tableColumn id="7144" xr3:uid="{DC3DE280-EF80-4061-BCB9-CB7B069A8903}" name="Column7138"/>
    <tableColumn id="7145" xr3:uid="{CE79D998-6965-4384-9D76-ED6E31A14EBF}" name="Column7139"/>
    <tableColumn id="7146" xr3:uid="{98435819-B5E0-4F20-B627-8D521D00B1BA}" name="Column7140"/>
    <tableColumn id="7147" xr3:uid="{D31259FC-07C8-4153-AD7A-30389B357565}" name="Column7141"/>
    <tableColumn id="7148" xr3:uid="{CE434228-9479-409C-A0BF-454BCD2DCC1D}" name="Column7142"/>
    <tableColumn id="7149" xr3:uid="{DCA5F6F5-68FB-4908-B0E4-1B507A44B334}" name="Column7143"/>
    <tableColumn id="7150" xr3:uid="{92065950-6503-4EA6-BB81-01F7FD6196EE}" name="Column7144"/>
    <tableColumn id="7151" xr3:uid="{67E7AB18-E552-4A11-BB84-0F7EA3C0B31A}" name="Column7145"/>
    <tableColumn id="7152" xr3:uid="{C6A031B0-CC6B-4BE7-A11A-3BB79BD42979}" name="Column7146"/>
    <tableColumn id="7153" xr3:uid="{D7D3721C-8497-4568-9C37-9D6FEA53D5CA}" name="Column7147"/>
    <tableColumn id="7154" xr3:uid="{CC7BF4BB-E9DB-49C0-A0EB-4556E57E81AD}" name="Column7148"/>
    <tableColumn id="7155" xr3:uid="{DC340365-51DB-4B63-A845-A14F46B181ED}" name="Column7149"/>
    <tableColumn id="7156" xr3:uid="{34D761DE-64D3-4CBF-A983-54E69ACBF8B8}" name="Column7150"/>
    <tableColumn id="7157" xr3:uid="{FF0D7B72-CD12-44DE-8C8A-05ED6C8708F5}" name="Column7151"/>
    <tableColumn id="7158" xr3:uid="{946010C9-EF38-4062-95A0-5343590CE5F8}" name="Column7152"/>
    <tableColumn id="7159" xr3:uid="{F2EC5D7C-85B9-4400-804A-21D1848142AF}" name="Column7153"/>
    <tableColumn id="7160" xr3:uid="{F5B23748-95DA-443A-883D-DE4D93868BC1}" name="Column7154"/>
    <tableColumn id="7161" xr3:uid="{FB6CDC37-E22D-46D4-B060-06F84ED68747}" name="Column7155"/>
    <tableColumn id="7162" xr3:uid="{F66A7D41-5BC9-4BDD-9F87-18E8916646A7}" name="Column7156"/>
    <tableColumn id="7163" xr3:uid="{C1595364-037E-4805-8D15-2D4FCB5FA5E3}" name="Column7157"/>
    <tableColumn id="7164" xr3:uid="{2EF53467-78BC-47AE-A8E1-3139D82BA27A}" name="Column7158"/>
    <tableColumn id="7165" xr3:uid="{16E08BF1-D2F9-4C4B-A9BA-CD43AA2C70DB}" name="Column7159"/>
    <tableColumn id="7166" xr3:uid="{AAAD13D6-1CDE-4FCE-B9A9-031800CBCAC6}" name="Column7160"/>
    <tableColumn id="7167" xr3:uid="{6214FDCF-FCDF-417F-AA0D-EB5100AFE0D8}" name="Column7161"/>
    <tableColumn id="7168" xr3:uid="{2891AB3C-F79A-45B8-B891-A665D85F1720}" name="Column7162"/>
    <tableColumn id="7169" xr3:uid="{04919823-5A14-4EBD-BA56-A0060FD04297}" name="Column7163"/>
    <tableColumn id="7170" xr3:uid="{6056BB82-6F5B-4BF0-81CB-9B5991036530}" name="Column7164"/>
    <tableColumn id="7171" xr3:uid="{EBEDEF12-D434-4E04-A487-8A373C1839ED}" name="Column7165"/>
    <tableColumn id="7172" xr3:uid="{4360A3A8-3258-483F-846F-78851B085F4B}" name="Column7166"/>
    <tableColumn id="7173" xr3:uid="{85429369-9120-476C-956D-983EC953525C}" name="Column7167"/>
    <tableColumn id="7174" xr3:uid="{B71DB991-078E-451A-A1FC-E69D04A21A9A}" name="Column7168"/>
    <tableColumn id="7175" xr3:uid="{729F62AD-BE5F-43B2-B279-7F663884BC92}" name="Column7169"/>
    <tableColumn id="7176" xr3:uid="{7BFAF180-A9E6-4AF8-A342-0DDD5A9C176A}" name="Column7170"/>
    <tableColumn id="7177" xr3:uid="{CE7D3D7C-C907-401F-99D0-D1E5DE02F6D5}" name="Column7171"/>
    <tableColumn id="7178" xr3:uid="{C1BD2B2E-4875-421E-A9B0-FCC78DC89C52}" name="Column7172"/>
    <tableColumn id="7179" xr3:uid="{82E0143A-8623-49C6-9904-4FFA6CA7E876}" name="Column7173"/>
    <tableColumn id="7180" xr3:uid="{45F62FAC-DA3E-4DDE-A585-34759636FC29}" name="Column7174"/>
    <tableColumn id="7181" xr3:uid="{7741786D-9F6A-4E62-BBBA-C0F4A34333E3}" name="Column7175"/>
    <tableColumn id="7182" xr3:uid="{CF9DDEE7-6490-426E-9CDD-E51ED253A7E4}" name="Column7176"/>
    <tableColumn id="7183" xr3:uid="{9389A4B9-9928-4975-A58E-AC1369EAE2C6}" name="Column7177"/>
    <tableColumn id="7184" xr3:uid="{8D8EABED-6135-4F04-B283-1D6C3F770D4F}" name="Column7178"/>
    <tableColumn id="7185" xr3:uid="{5E6E560F-9EA5-405F-A3E0-FDC7E24472C7}" name="Column7179"/>
    <tableColumn id="7186" xr3:uid="{E278A516-6056-4CEB-9BCF-DB564FD7795A}" name="Column7180"/>
    <tableColumn id="7187" xr3:uid="{1CA471D9-CDAB-41D9-BE53-77D6370C26A8}" name="Column7181"/>
    <tableColumn id="7188" xr3:uid="{36711385-C0C4-47A1-B529-7A119334E3E3}" name="Column7182"/>
    <tableColumn id="7189" xr3:uid="{279441DA-175E-44FC-AF33-2DC93AA2F554}" name="Column7183"/>
    <tableColumn id="7190" xr3:uid="{BBE1B69B-FB13-4F87-BE73-9E15A31CA60A}" name="Column7184"/>
    <tableColumn id="7191" xr3:uid="{D19939A8-E178-4882-942E-B45217C53A7A}" name="Column7185"/>
    <tableColumn id="7192" xr3:uid="{76E87040-76FA-4858-94C9-9C18BC1E6228}" name="Column7186"/>
    <tableColumn id="7193" xr3:uid="{9AF3109B-111C-441A-A6FF-11C055EE6E95}" name="Column7187"/>
    <tableColumn id="7194" xr3:uid="{2BA1C19A-BD4F-4862-944E-12E2B4836CA2}" name="Column7188"/>
    <tableColumn id="7195" xr3:uid="{D9BF110F-CF72-40A9-AB8C-9716EBACA8DE}" name="Column7189"/>
    <tableColumn id="7196" xr3:uid="{5539BA7C-65C1-480B-96D4-54B5D092EAF3}" name="Column7190"/>
    <tableColumn id="7197" xr3:uid="{0AB0A23B-B9E3-4411-904F-7A5F3E660983}" name="Column7191"/>
    <tableColumn id="7198" xr3:uid="{385F262D-85C2-4A03-A011-4F36B8C12927}" name="Column7192"/>
    <tableColumn id="7199" xr3:uid="{7BD7C45F-C28F-4426-B77D-B84E07645A42}" name="Column7193"/>
    <tableColumn id="7200" xr3:uid="{0F7BCDFB-E969-4798-8D9F-0DC6106B6145}" name="Column7194"/>
    <tableColumn id="7201" xr3:uid="{CB09ECBD-571B-412D-9F34-98D54F0F87BD}" name="Column7195"/>
    <tableColumn id="7202" xr3:uid="{771B5522-89E1-44C6-B39C-8822A784BB98}" name="Column7196"/>
    <tableColumn id="7203" xr3:uid="{FCE65F74-D9FF-4CC8-A859-73C992252DD6}" name="Column7197"/>
    <tableColumn id="7204" xr3:uid="{650F23EE-1FE7-48F3-8FCB-B42B56E6FECA}" name="Column7198"/>
    <tableColumn id="7205" xr3:uid="{5EC8E026-93E8-40F9-9CF8-4F85CC37E8C7}" name="Column7199"/>
    <tableColumn id="7206" xr3:uid="{D4D8DC84-860C-46EF-910D-A71EEF806B2A}" name="Column7200"/>
    <tableColumn id="7207" xr3:uid="{2E011470-A69E-4FEA-B254-7E9EE84E26EA}" name="Column7201"/>
    <tableColumn id="7208" xr3:uid="{D6B622A3-EA05-415E-B0FD-773EAF434091}" name="Column7202"/>
    <tableColumn id="7209" xr3:uid="{F756A0B8-41E0-4D19-A327-6D7D50CAAD51}" name="Column7203"/>
    <tableColumn id="7210" xr3:uid="{5DA1ABF0-FD33-4FA2-8C86-B23E015212D6}" name="Column7204"/>
    <tableColumn id="7211" xr3:uid="{92748473-0CBA-4A29-9B86-281511440EE7}" name="Column7205"/>
    <tableColumn id="7212" xr3:uid="{8339A5DA-348B-462E-BF30-2F2ECD26B1DC}" name="Column7206"/>
    <tableColumn id="7213" xr3:uid="{5F90F5B3-C38C-4B89-8AC5-A50C37F30789}" name="Column7207"/>
    <tableColumn id="7214" xr3:uid="{FC53EC14-C184-4E35-AD03-BF27A8DB41FA}" name="Column7208"/>
    <tableColumn id="7215" xr3:uid="{EF9ABE8B-310A-4508-886C-BB9E253F18AD}" name="Column7209"/>
    <tableColumn id="7216" xr3:uid="{C925BE46-722B-45E3-B6E2-DBC6F672EDBF}" name="Column7210"/>
    <tableColumn id="7217" xr3:uid="{BD37D7EF-60C1-45D7-87EE-E6D3A57A267E}" name="Column7211"/>
    <tableColumn id="7218" xr3:uid="{7092DDBB-32BD-4A46-BDB4-6840CBA47553}" name="Column7212"/>
    <tableColumn id="7219" xr3:uid="{E709ADD7-FEB2-40BA-9090-CB5C0EE3F904}" name="Column7213"/>
    <tableColumn id="7220" xr3:uid="{9C4EBC23-9289-4A33-9487-B495AE20CD95}" name="Column7214"/>
    <tableColumn id="7221" xr3:uid="{A22D1DBB-8259-4C56-BD22-721F6C5FA5E3}" name="Column7215"/>
    <tableColumn id="7222" xr3:uid="{850814BE-53B5-4412-9FEC-A2091745A2B6}" name="Column7216"/>
    <tableColumn id="7223" xr3:uid="{FBE74E55-1CC7-47C4-B3F4-A9D9444D4071}" name="Column7217"/>
    <tableColumn id="7224" xr3:uid="{006749C0-07C8-4892-84EE-0BBD107D9626}" name="Column7218"/>
    <tableColumn id="7225" xr3:uid="{82DCA003-2246-487D-83F0-70CBDFB337F8}" name="Column7219"/>
    <tableColumn id="7226" xr3:uid="{AF088E1F-7876-4613-9E50-2EED41A7B0DD}" name="Column7220"/>
    <tableColumn id="7227" xr3:uid="{A51234A0-4A67-440D-9570-CC61A7CA4395}" name="Column7221"/>
    <tableColumn id="7228" xr3:uid="{B5EDC5E0-1CD0-45DF-BAA3-43E9F27E5021}" name="Column7222"/>
    <tableColumn id="7229" xr3:uid="{4472BD1D-009E-4F60-8A8B-D3B1BCC8D96A}" name="Column7223"/>
    <tableColumn id="7230" xr3:uid="{E77C5B66-665E-4C62-9E19-FA76CB4899BD}" name="Column7224"/>
    <tableColumn id="7231" xr3:uid="{D740555B-5394-46EB-8232-C467D3F2796C}" name="Column7225"/>
    <tableColumn id="7232" xr3:uid="{5A941AE9-3541-43F5-BA0A-1A3979F83F6E}" name="Column7226"/>
    <tableColumn id="7233" xr3:uid="{D309402E-FE9E-485E-9945-D54C8BF4AB73}" name="Column7227"/>
    <tableColumn id="7234" xr3:uid="{69030904-1AA9-47E7-8B83-0D3C1E218784}" name="Column7228"/>
    <tableColumn id="7235" xr3:uid="{13B95A25-0634-4205-95FD-9C6F4FFD7BD8}" name="Column7229"/>
    <tableColumn id="7236" xr3:uid="{881E203B-8E28-4843-8F78-BBD66FBFE0A0}" name="Column7230"/>
    <tableColumn id="7237" xr3:uid="{9BF9F56F-3F7B-44E4-BB90-425465C1E380}" name="Column7231"/>
    <tableColumn id="7238" xr3:uid="{70E49C6A-9302-4FCE-97FB-C08E70F08A04}" name="Column7232"/>
    <tableColumn id="7239" xr3:uid="{434548EB-E55E-4B54-9196-955FED075601}" name="Column7233"/>
    <tableColumn id="7240" xr3:uid="{7465FF3F-37DF-49D5-8AF5-DD44A70FAC8F}" name="Column7234"/>
    <tableColumn id="7241" xr3:uid="{0B41E131-8FAA-4B52-A70A-B4F183C73030}" name="Column7235"/>
    <tableColumn id="7242" xr3:uid="{AD9D0B42-C8B6-4313-9C8C-2BE62BA74BB9}" name="Column7236"/>
    <tableColumn id="7243" xr3:uid="{3C14D0BC-570B-4E72-8156-43A4FE4BC6AB}" name="Column7237"/>
    <tableColumn id="7244" xr3:uid="{F3AAE2D6-2591-454E-925B-B11E3300BFA7}" name="Column7238"/>
    <tableColumn id="7245" xr3:uid="{150A9DB5-4D79-44AE-8EFD-9469F3759AAE}" name="Column7239"/>
    <tableColumn id="7246" xr3:uid="{A0509006-15EE-48AF-8F64-48A3C38EDF59}" name="Column7240"/>
    <tableColumn id="7247" xr3:uid="{DE1EE668-CE66-43FB-93CE-D40D99EE21C0}" name="Column7241"/>
    <tableColumn id="7248" xr3:uid="{9F86995B-0D2C-405D-AF68-75CE9FD1227B}" name="Column7242"/>
    <tableColumn id="7249" xr3:uid="{05B89BF8-783B-427D-85C3-FB875013CB88}" name="Column7243"/>
    <tableColumn id="7250" xr3:uid="{E636A9E5-E277-44C7-8CE7-437D329E1A4B}" name="Column7244"/>
    <tableColumn id="7251" xr3:uid="{98567733-3BC7-4B2A-BFAC-2FAEE63E0624}" name="Column7245"/>
    <tableColumn id="7252" xr3:uid="{E0EBE2E6-0116-4F92-A494-44BA2517A93C}" name="Column7246"/>
    <tableColumn id="7253" xr3:uid="{00848B99-0A9A-44E4-B3B6-CC1A7968B26D}" name="Column7247"/>
    <tableColumn id="7254" xr3:uid="{64931551-5CB2-44DF-8B2C-6273D617A7F4}" name="Column7248"/>
    <tableColumn id="7255" xr3:uid="{BF82C7F0-1261-4342-BBDE-AFC2EFE28A79}" name="Column7249"/>
    <tableColumn id="7256" xr3:uid="{2A87BDF7-D5A8-437B-B30E-2EF5F105CC6B}" name="Column7250"/>
    <tableColumn id="7257" xr3:uid="{1B572E18-6A83-4C24-8A59-33D933A7566E}" name="Column7251"/>
    <tableColumn id="7258" xr3:uid="{5AD46320-88D2-4B43-8F7B-C338547E7720}" name="Column7252"/>
    <tableColumn id="7259" xr3:uid="{FE2CD51D-2DCC-48E9-B3B3-09AE16EDAE7B}" name="Column7253"/>
    <tableColumn id="7260" xr3:uid="{8115A360-4926-4E03-9139-6A6BB19A9652}" name="Column7254"/>
    <tableColumn id="7261" xr3:uid="{22256CDD-1601-4546-953C-D8CA5B198B3D}" name="Column7255"/>
    <tableColumn id="7262" xr3:uid="{04874E54-0FB9-4C2A-BA41-B8471E540B40}" name="Column7256"/>
    <tableColumn id="7263" xr3:uid="{AE5B8BD2-FE4C-472E-9769-0E3CD5B86968}" name="Column7257"/>
    <tableColumn id="7264" xr3:uid="{195CB957-865F-4BFC-A73B-BF731363E307}" name="Column7258"/>
    <tableColumn id="7265" xr3:uid="{DA25C7AE-6BDF-43F0-9A44-93B4A07D7DEE}" name="Column7259"/>
    <tableColumn id="7266" xr3:uid="{921DD278-049C-44BA-BADA-EF7C0CF4617B}" name="Column7260"/>
    <tableColumn id="7267" xr3:uid="{81BB97B8-547F-4E5A-AC89-9C9AB0EC478E}" name="Column7261"/>
    <tableColumn id="7268" xr3:uid="{68339E10-677C-4DAD-A8F2-174D28942C94}" name="Column7262"/>
    <tableColumn id="7269" xr3:uid="{2B21D13A-7B08-4E36-B6BF-60D1F23C2365}" name="Column7263"/>
    <tableColumn id="7270" xr3:uid="{7FA383AF-FE6A-4EF6-9243-0E2DD89E0824}" name="Column7264"/>
    <tableColumn id="7271" xr3:uid="{7083FB76-5E26-4FDE-B254-DF165106E625}" name="Column7265"/>
    <tableColumn id="7272" xr3:uid="{CB301807-5325-4DBC-A023-5C55D669D3CD}" name="Column7266"/>
    <tableColumn id="7273" xr3:uid="{51EB9F73-D9F1-4DFD-A1A1-04A83F28B519}" name="Column7267"/>
    <tableColumn id="7274" xr3:uid="{2FEE10E4-23D1-444B-B996-1E3EC390230E}" name="Column7268"/>
    <tableColumn id="7275" xr3:uid="{26E4D72A-0E7C-4785-B074-F051A5CB602D}" name="Column7269"/>
    <tableColumn id="7276" xr3:uid="{CE5B51EC-5ED7-4530-A47A-289E9E92E06C}" name="Column7270"/>
    <tableColumn id="7277" xr3:uid="{4F86DD81-1B21-4343-89CF-02307C243443}" name="Column7271"/>
    <tableColumn id="7278" xr3:uid="{8F3985F7-21D0-44F5-9182-0481E47B23F2}" name="Column7272"/>
    <tableColumn id="7279" xr3:uid="{E2572F19-E26F-4C91-B99B-47061EB59551}" name="Column7273"/>
    <tableColumn id="7280" xr3:uid="{20D2F47C-C749-444F-8798-C8396FF771A2}" name="Column7274"/>
    <tableColumn id="7281" xr3:uid="{0F2CC70F-F829-4FC6-A72F-D5E02A3BD528}" name="Column7275"/>
    <tableColumn id="7282" xr3:uid="{151EF4FA-A559-4A2B-9A91-ACE948E869AD}" name="Column7276"/>
    <tableColumn id="7283" xr3:uid="{A9209535-AF6C-4EF4-9B2C-509673675844}" name="Column7277"/>
    <tableColumn id="7284" xr3:uid="{EA7466C0-72EB-49AB-A764-A0876B14EC15}" name="Column7278"/>
    <tableColumn id="7285" xr3:uid="{E3BA5FB8-416C-4A3F-8A3D-36C57C32BFD1}" name="Column7279"/>
    <tableColumn id="7286" xr3:uid="{0162F757-0C21-4FA0-AC04-DD60A7335D47}" name="Column7280"/>
    <tableColumn id="7287" xr3:uid="{F8842598-E752-4577-A594-8CC82757972D}" name="Column7281"/>
    <tableColumn id="7288" xr3:uid="{6BE2F422-9C32-487D-8240-69D71615F0ED}" name="Column7282"/>
    <tableColumn id="7289" xr3:uid="{F121C9AC-07EF-47E0-8F09-0E9B0445289C}" name="Column7283"/>
    <tableColumn id="7290" xr3:uid="{F0EBB632-EC55-4FCE-ACE9-7EF853EF6BDB}" name="Column7284"/>
    <tableColumn id="7291" xr3:uid="{7AF131EB-0E63-4E85-AE47-675D7798D4F5}" name="Column7285"/>
    <tableColumn id="7292" xr3:uid="{DB65C2AF-2A96-45AA-ADD0-FE46E5C3FA37}" name="Column7286"/>
    <tableColumn id="7293" xr3:uid="{05D4B928-171F-426D-ACA1-F8DE9657AA33}" name="Column7287"/>
    <tableColumn id="7294" xr3:uid="{FDC727D3-9596-44A2-A4E3-2C6EBB7A4F44}" name="Column7288"/>
    <tableColumn id="7295" xr3:uid="{0C825DAA-B3B3-4A44-B307-BC37B51CBB19}" name="Column7289"/>
    <tableColumn id="7296" xr3:uid="{79D603F6-7A12-444F-A750-25ACB2302477}" name="Column7290"/>
    <tableColumn id="7297" xr3:uid="{90E4BF85-C870-4A39-BAB3-74F5139A5587}" name="Column7291"/>
    <tableColumn id="7298" xr3:uid="{7A76BC51-BCC7-48DC-859F-C0336D8C5D01}" name="Column7292"/>
    <tableColumn id="7299" xr3:uid="{EB096A2E-9917-4FCB-AAE1-58A73EC72FF3}" name="Column7293"/>
    <tableColumn id="7300" xr3:uid="{F27DD934-0CC0-448B-BE1A-F4066A6CAE8B}" name="Column7294"/>
    <tableColumn id="7301" xr3:uid="{E1D12941-33B1-4FA6-9A64-7401612C144B}" name="Column7295"/>
    <tableColumn id="7302" xr3:uid="{7169A68E-9763-4C7D-913F-FC80D6C712B7}" name="Column7296"/>
    <tableColumn id="7303" xr3:uid="{241F28F3-9F14-4D16-8B41-DA2E767441E7}" name="Column7297"/>
    <tableColumn id="7304" xr3:uid="{BAC08BCC-CA04-4D33-8DCB-9E3F33EDB32B}" name="Column7298"/>
    <tableColumn id="7305" xr3:uid="{5F3C61EC-D4AA-4495-B910-BA902E9411DF}" name="Column7299"/>
    <tableColumn id="7306" xr3:uid="{5D2F2A1F-DC1D-421C-ADDE-EB15931E6C04}" name="Column7300"/>
    <tableColumn id="7307" xr3:uid="{291FFB16-090C-48A9-AF64-074F5BC4015C}" name="Column7301"/>
    <tableColumn id="7308" xr3:uid="{68E8E65C-C84F-4143-95CA-B2183BC7EFCB}" name="Column7302"/>
    <tableColumn id="7309" xr3:uid="{C26B8767-D935-4D5B-8EF4-385B29C3E982}" name="Column7303"/>
    <tableColumn id="7310" xr3:uid="{6B28BB29-A611-4B5D-A608-2E251EBF6E91}" name="Column7304"/>
    <tableColumn id="7311" xr3:uid="{8C397A69-863C-4C2E-82A5-2A113A99D85A}" name="Column7305"/>
    <tableColumn id="7312" xr3:uid="{19ADED5F-9FAF-4936-980C-E53BACBA2EE2}" name="Column7306"/>
    <tableColumn id="7313" xr3:uid="{9D6450E5-A1D8-4B26-AE5E-CB47D556304D}" name="Column7307"/>
    <tableColumn id="7314" xr3:uid="{6AFE7EC8-21AC-4C3D-ABEE-56093981EEBF}" name="Column7308"/>
    <tableColumn id="7315" xr3:uid="{5CD830D3-BA03-4BA9-80C9-106DF0B980C4}" name="Column7309"/>
    <tableColumn id="7316" xr3:uid="{A364C538-E53B-4691-B6E9-2CF3BBDFDC54}" name="Column7310"/>
    <tableColumn id="7317" xr3:uid="{3CFD9AEB-CE9D-4716-89C6-48F6BC9CD5D3}" name="Column7311"/>
    <tableColumn id="7318" xr3:uid="{D1699E2D-6854-4288-ADE8-9B3714D4E43E}" name="Column7312"/>
    <tableColumn id="7319" xr3:uid="{FF0001CD-DFFD-470D-96BB-CEF622F9547C}" name="Column7313"/>
    <tableColumn id="7320" xr3:uid="{A2925D20-1B9F-47D0-89C3-2F5A943DAD76}" name="Column7314"/>
    <tableColumn id="7321" xr3:uid="{9C0E17AD-3E06-413B-A25B-CBDEF1BC0EF2}" name="Column7315"/>
    <tableColumn id="7322" xr3:uid="{66B8EFE4-494D-4C67-8500-55D7F012F9C2}" name="Column7316"/>
    <tableColumn id="7323" xr3:uid="{629AD07B-927C-49BA-886C-14D0C1EC6BD0}" name="Column7317"/>
    <tableColumn id="7324" xr3:uid="{0F9389E6-0BF0-4F7C-86F2-F34002A5A3C9}" name="Column7318"/>
    <tableColumn id="7325" xr3:uid="{E2963C84-AE42-4B61-A281-4D210EE0E60E}" name="Column7319"/>
    <tableColumn id="7326" xr3:uid="{EBE7354C-1876-405C-B88F-782B808B1CD1}" name="Column7320"/>
    <tableColumn id="7327" xr3:uid="{B26B6D90-4707-45A1-B1DF-1F35F68E8947}" name="Column7321"/>
    <tableColumn id="7328" xr3:uid="{23CDC99A-A834-4620-9C8F-3C31B52894C9}" name="Column7322"/>
    <tableColumn id="7329" xr3:uid="{CE6AD983-968E-4F98-BE09-F6D9739ADA9E}" name="Column7323"/>
    <tableColumn id="7330" xr3:uid="{A19E2F20-74D2-40D0-A2B6-577E0166DE88}" name="Column7324"/>
    <tableColumn id="7331" xr3:uid="{66BAE861-6E41-49B6-AD1B-BDE6F1746D9E}" name="Column7325"/>
    <tableColumn id="7332" xr3:uid="{A9B7A5A6-9D3D-419C-B148-6189549691C1}" name="Column7326"/>
    <tableColumn id="7333" xr3:uid="{A9FD32F3-46FA-492E-8719-5FE6803B3794}" name="Column7327"/>
    <tableColumn id="7334" xr3:uid="{2D632D4D-BDA6-4490-A5FD-C2C44C7460D2}" name="Column7328"/>
    <tableColumn id="7335" xr3:uid="{691319EE-3C64-4B98-AF34-5E858946DE89}" name="Column7329"/>
    <tableColumn id="7336" xr3:uid="{0EBAE8ED-5FE7-4DE1-9F1B-3AD3D7526497}" name="Column7330"/>
    <tableColumn id="7337" xr3:uid="{A13547D7-7EC1-40C8-80B6-01B95CBBB022}" name="Column7331"/>
    <tableColumn id="7338" xr3:uid="{367BC574-D7EA-4785-94A6-1C65605ABCDB}" name="Column7332"/>
    <tableColumn id="7339" xr3:uid="{F4091557-6982-4349-9144-E7F848E718DE}" name="Column7333"/>
    <tableColumn id="7340" xr3:uid="{B70936AE-03D9-4D3E-88FC-E74B96465EF9}" name="Column7334"/>
    <tableColumn id="7341" xr3:uid="{7D4911B7-4C60-4814-940C-F1FF5BD1AA05}" name="Column7335"/>
    <tableColumn id="7342" xr3:uid="{B777D659-F2DF-41CE-B24B-5CB4F1E5AE95}" name="Column7336"/>
    <tableColumn id="7343" xr3:uid="{CBBD0E7D-A189-4F01-A6F9-1F30C79934D1}" name="Column7337"/>
    <tableColumn id="7344" xr3:uid="{BCD2B136-374A-4FE8-A821-9882EE7EA90C}" name="Column7338"/>
    <tableColumn id="7345" xr3:uid="{1C43E7BD-BF11-49A6-9733-4D96168BBC64}" name="Column7339"/>
    <tableColumn id="7346" xr3:uid="{49EFCE68-0829-43CF-A2A3-92B4A9017C1E}" name="Column7340"/>
    <tableColumn id="7347" xr3:uid="{1AAE10BE-955C-4017-894D-0A535CEEE330}" name="Column7341"/>
    <tableColumn id="7348" xr3:uid="{5B04E3D6-E9D6-441F-AC0F-996144A04090}" name="Column7342"/>
    <tableColumn id="7349" xr3:uid="{32D42317-5027-4F24-90CC-840CB4EEA778}" name="Column7343"/>
    <tableColumn id="7350" xr3:uid="{C192D11E-BCF3-4D17-890C-9BCF25CD28ED}" name="Column7344"/>
    <tableColumn id="7351" xr3:uid="{571A49A3-0BAD-45A7-B634-0953A6D36A60}" name="Column7345"/>
    <tableColumn id="7352" xr3:uid="{B00F55AD-3AD8-44FA-A623-ED73D286C9A9}" name="Column7346"/>
    <tableColumn id="7353" xr3:uid="{4592B915-C3E5-4A1F-82E3-7439311B1B6B}" name="Column7347"/>
    <tableColumn id="7354" xr3:uid="{9C4B9745-FE26-46E9-BDC6-DEB34CE889F3}" name="Column7348"/>
    <tableColumn id="7355" xr3:uid="{197789F8-8217-46D4-8527-D81B19A535DD}" name="Column7349"/>
    <tableColumn id="7356" xr3:uid="{F6B5BE3C-33CF-4169-B650-A3DACA774102}" name="Column7350"/>
    <tableColumn id="7357" xr3:uid="{8FA7E022-F1C1-499D-B74B-51BA2A72BF0B}" name="Column7351"/>
    <tableColumn id="7358" xr3:uid="{75BE813C-50DD-440E-A8AC-10842070FA7B}" name="Column7352"/>
    <tableColumn id="7359" xr3:uid="{641677D6-ECF1-4206-B26F-BF43BCFE41DC}" name="Column7353"/>
    <tableColumn id="7360" xr3:uid="{2E25C1CF-CDD4-484C-87AA-530EC2AD0EE7}" name="Column7354"/>
    <tableColumn id="7361" xr3:uid="{9A801874-5D4B-4E0F-AF09-8C03EA09E08B}" name="Column7355"/>
    <tableColumn id="7362" xr3:uid="{A6710050-D003-4C7B-BE80-46C5123A133C}" name="Column7356"/>
    <tableColumn id="7363" xr3:uid="{BCAF3412-D077-4726-A3F9-78DB008B7579}" name="Column7357"/>
    <tableColumn id="7364" xr3:uid="{64F14F2A-3333-4874-ACF6-38F4B15A4072}" name="Column7358"/>
    <tableColumn id="7365" xr3:uid="{ED764D53-959E-468E-A7D2-5B745C4DF67A}" name="Column7359"/>
    <tableColumn id="7366" xr3:uid="{FFBCAECE-0E4E-4934-AB16-6CC4135CF9D6}" name="Column7360"/>
    <tableColumn id="7367" xr3:uid="{F9D9991C-4EE6-487B-A5DC-1BCE6B711203}" name="Column7361"/>
    <tableColumn id="7368" xr3:uid="{0E9CC8CB-D507-44A7-A027-4743E5BABF2E}" name="Column7362"/>
    <tableColumn id="7369" xr3:uid="{86313270-7A37-427D-A815-742FBE2670AE}" name="Column7363"/>
    <tableColumn id="7370" xr3:uid="{D8FCC903-F0F1-4F3E-9001-FA2820F79315}" name="Column7364"/>
    <tableColumn id="7371" xr3:uid="{AE5A7F01-08F7-40FB-98CC-A3862811F4E4}" name="Column7365"/>
    <tableColumn id="7372" xr3:uid="{F3CAE151-F1DA-4FC5-9410-19879E180564}" name="Column7366"/>
    <tableColumn id="7373" xr3:uid="{74EA4D75-DA58-4CE4-979F-C3E8981B03E6}" name="Column7367"/>
    <tableColumn id="7374" xr3:uid="{EF926B24-1D2E-4C21-9867-6ECB2CD18B4F}" name="Column7368"/>
    <tableColumn id="7375" xr3:uid="{D0143C26-401C-429B-BA19-D56C0A526664}" name="Column7369"/>
    <tableColumn id="7376" xr3:uid="{B808276F-FF5B-49DD-A562-DB1AB4B59D88}" name="Column7370"/>
    <tableColumn id="7377" xr3:uid="{79810FD1-369B-4D97-A8EB-8314BA850B79}" name="Column7371"/>
    <tableColumn id="7378" xr3:uid="{B97B54A7-8507-4D2C-9AC3-B6035C1C16B8}" name="Column7372"/>
    <tableColumn id="7379" xr3:uid="{8D70B114-B5C2-409C-A852-F9578CCDBEEB}" name="Column7373"/>
    <tableColumn id="7380" xr3:uid="{1F55053F-2227-4B66-ADA8-0C9D95A2234E}" name="Column7374"/>
    <tableColumn id="7381" xr3:uid="{DD29F11A-BB2F-4F84-A649-FBDC7FB5EC61}" name="Column7375"/>
    <tableColumn id="7382" xr3:uid="{86329F37-F4DC-465E-8F8F-F6B9B7A203D9}" name="Column7376"/>
    <tableColumn id="7383" xr3:uid="{B635D805-0823-4AFB-BF92-AB43F8A15326}" name="Column7377"/>
    <tableColumn id="7384" xr3:uid="{49533720-C12F-4651-9C28-ED70184FFAF6}" name="Column7378"/>
    <tableColumn id="7385" xr3:uid="{3335519E-5BA7-4526-9C26-ACC6A08C80FE}" name="Column7379"/>
    <tableColumn id="7386" xr3:uid="{2564AFF6-0296-460C-936D-DAF7809349C0}" name="Column7380"/>
    <tableColumn id="7387" xr3:uid="{D531CCC2-951C-4609-B239-F8E99B6EE826}" name="Column7381"/>
    <tableColumn id="7388" xr3:uid="{B38CE361-DB13-485A-86B9-7E11C2ACEAFD}" name="Column7382"/>
    <tableColumn id="7389" xr3:uid="{F818B895-8A1F-4D1C-9D77-65D7F4CD8C6A}" name="Column7383"/>
    <tableColumn id="7390" xr3:uid="{40E98F96-59C1-4F7A-9FCC-8DF5BA16BA05}" name="Column7384"/>
    <tableColumn id="7391" xr3:uid="{6DE7CE35-23BD-44FA-8BF1-81BEF8D64C8C}" name="Column7385"/>
    <tableColumn id="7392" xr3:uid="{43FE167E-151E-4608-973F-2A7681C3B06D}" name="Column7386"/>
    <tableColumn id="7393" xr3:uid="{202D980B-2CD2-4531-881F-96901310D6E4}" name="Column7387"/>
    <tableColumn id="7394" xr3:uid="{26FF4FB9-B891-4E86-AFE3-5994BBAC6C31}" name="Column7388"/>
    <tableColumn id="7395" xr3:uid="{61E0BCD1-7173-4C32-8C6B-5C01A67147F0}" name="Column7389"/>
    <tableColumn id="7396" xr3:uid="{BA2281BE-B98C-4108-85E5-854EA2640A3A}" name="Column7390"/>
    <tableColumn id="7397" xr3:uid="{36762F44-06DF-4F47-B75A-D021E5DAA3D9}" name="Column7391"/>
    <tableColumn id="7398" xr3:uid="{FB6E3BE4-EF03-46C2-8CA4-29F97782AAA7}" name="Column7392"/>
    <tableColumn id="7399" xr3:uid="{AE275E85-FB58-4A53-9A68-391853E0F765}" name="Column7393"/>
    <tableColumn id="7400" xr3:uid="{C599E9E0-965A-4B02-9D0B-9B90717EA7A7}" name="Column7394"/>
    <tableColumn id="7401" xr3:uid="{0D53E451-108E-436C-B279-5FCD48C49735}" name="Column7395"/>
    <tableColumn id="7402" xr3:uid="{0C5B25E0-6BAF-4ED1-A35A-92F0322DF8B7}" name="Column7396"/>
    <tableColumn id="7403" xr3:uid="{F0376EA5-4E77-4699-87DF-F48A65C1BFEC}" name="Column7397"/>
    <tableColumn id="7404" xr3:uid="{08237FAF-96A4-464E-B71D-A4E8DD309959}" name="Column7398"/>
    <tableColumn id="7405" xr3:uid="{960FE55C-C068-4947-B724-A8F01543843D}" name="Column7399"/>
    <tableColumn id="7406" xr3:uid="{31D3FC87-E4C7-4E58-A941-2E4E4B5E62E6}" name="Column7400"/>
    <tableColumn id="7407" xr3:uid="{E4CBDCA1-3FD1-4E6A-8249-CC2A6E6C2AFE}" name="Column7401"/>
    <tableColumn id="7408" xr3:uid="{8A57A752-ADC4-4387-AA7D-3E1293520608}" name="Column7402"/>
    <tableColumn id="7409" xr3:uid="{DA7D339F-907B-4D86-9652-1DEDB4BE5980}" name="Column7403"/>
    <tableColumn id="7410" xr3:uid="{0B14100E-7231-4333-B6F0-1CE4D2F56CA7}" name="Column7404"/>
    <tableColumn id="7411" xr3:uid="{2BADE451-672B-4660-8297-E146DB3F8149}" name="Column7405"/>
    <tableColumn id="7412" xr3:uid="{04E0A4CF-D3F0-467A-A2BB-C7D2E84600BB}" name="Column7406"/>
    <tableColumn id="7413" xr3:uid="{2E14834A-270C-49B6-94BF-4BD80BAECE25}" name="Column7407"/>
    <tableColumn id="7414" xr3:uid="{11ED53E8-0768-454E-9B81-BB3A871EE845}" name="Column7408"/>
    <tableColumn id="7415" xr3:uid="{BB5342B3-DE54-4E4B-8D14-86E3C7F032B2}" name="Column7409"/>
    <tableColumn id="7416" xr3:uid="{D96F2451-A909-4AD1-971E-F40067E81817}" name="Column7410"/>
    <tableColumn id="7417" xr3:uid="{0313F6C1-1D68-4C39-A3F9-A701D41475E7}" name="Column7411"/>
    <tableColumn id="7418" xr3:uid="{25EB8C8E-F4EC-46A7-ACB5-CFB9EA6972C4}" name="Column7412"/>
    <tableColumn id="7419" xr3:uid="{B2B0E15B-6118-433E-AFFA-01CE8BBFA6CD}" name="Column7413"/>
    <tableColumn id="7420" xr3:uid="{D5D9EE18-C50E-4821-8A90-F6236E3E3045}" name="Column7414"/>
    <tableColumn id="7421" xr3:uid="{12B749C7-C249-4CDD-B26E-8BE014C33942}" name="Column7415"/>
    <tableColumn id="7422" xr3:uid="{F4EB4B0E-D360-427F-B1C2-9B784B7B5B83}" name="Column7416"/>
    <tableColumn id="7423" xr3:uid="{1EB81CA9-E5C6-4702-8C03-64EEE4B20E14}" name="Column7417"/>
    <tableColumn id="7424" xr3:uid="{C8C5F4E6-68CA-418F-A4B0-D8C0F9D963D4}" name="Column7418"/>
    <tableColumn id="7425" xr3:uid="{BBA1E427-31ED-4275-AEFA-AACB00450B75}" name="Column7419"/>
    <tableColumn id="7426" xr3:uid="{B0E33F80-23B5-47D5-8009-C2D41E957093}" name="Column7420"/>
    <tableColumn id="7427" xr3:uid="{A8F7F80F-3A38-45F7-83D4-9A4142B1024C}" name="Column7421"/>
    <tableColumn id="7428" xr3:uid="{228D65B4-B159-4381-8526-BB54152D9C92}" name="Column7422"/>
    <tableColumn id="7429" xr3:uid="{310F5D5A-139C-4DE4-8624-7A95E783B784}" name="Column7423"/>
    <tableColumn id="7430" xr3:uid="{A1CBFDE8-54B2-4A24-AE20-CE21DD1C8CA0}" name="Column7424"/>
    <tableColumn id="7431" xr3:uid="{119338A9-B72A-4B23-9F88-AE1B36697922}" name="Column7425"/>
    <tableColumn id="7432" xr3:uid="{5D0F145E-DBB7-4885-B7D0-0F439342BDC9}" name="Column7426"/>
    <tableColumn id="7433" xr3:uid="{F0B964E3-768F-4EA2-A12F-21D3427776C2}" name="Column7427"/>
    <tableColumn id="7434" xr3:uid="{8177C087-8E66-491F-A0E8-F259F86DFF3E}" name="Column7428"/>
    <tableColumn id="7435" xr3:uid="{070B6146-D291-4666-8558-587582BE8482}" name="Column7429"/>
    <tableColumn id="7436" xr3:uid="{1587658A-9B81-43DF-909F-19B614651E7C}" name="Column7430"/>
    <tableColumn id="7437" xr3:uid="{C6DAC263-F972-4F93-B15F-82F227449392}" name="Column7431"/>
    <tableColumn id="7438" xr3:uid="{A5A72893-9ACE-4FB3-857D-04C00EAD0ED5}" name="Column7432"/>
    <tableColumn id="7439" xr3:uid="{6502801F-7E1D-47E2-B2E2-FC72F067CB6A}" name="Column7433"/>
    <tableColumn id="7440" xr3:uid="{AB734642-844A-4EF7-B4E1-E06A4E51A28C}" name="Column7434"/>
    <tableColumn id="7441" xr3:uid="{4E063D58-4FDF-4A35-8AB7-907935BEE2B0}" name="Column7435"/>
    <tableColumn id="7442" xr3:uid="{5FA5D975-14A3-495C-8317-1764383BB6C8}" name="Column7436"/>
    <tableColumn id="7443" xr3:uid="{4269E2E6-0ECD-4935-85CA-068DAE1AA2A9}" name="Column7437"/>
    <tableColumn id="7444" xr3:uid="{738F65F5-ED26-4491-9A1F-F5DA201AE016}" name="Column7438"/>
    <tableColumn id="7445" xr3:uid="{9278AA9C-FA03-4766-BE17-554AC4E590DF}" name="Column7439"/>
    <tableColumn id="7446" xr3:uid="{62EC26F8-EF34-4087-8D35-42A3FE886B72}" name="Column7440"/>
    <tableColumn id="7447" xr3:uid="{066B846D-7F50-467C-B4D5-F2261047255F}" name="Column7441"/>
    <tableColumn id="7448" xr3:uid="{CEF9AA6F-D789-4805-B29D-9D080D7F240A}" name="Column7442"/>
    <tableColumn id="7449" xr3:uid="{4541BCA1-8DCD-432E-8F73-40375B4E150B}" name="Column7443"/>
    <tableColumn id="7450" xr3:uid="{F28C42B7-FD74-4633-A47A-8F5510977CE2}" name="Column7444"/>
    <tableColumn id="7451" xr3:uid="{D22DA610-6CD9-4AA7-A3F1-0B4B753CE557}" name="Column7445"/>
    <tableColumn id="7452" xr3:uid="{DDA84A39-5685-4713-BDD7-670505C3BAD3}" name="Column7446"/>
    <tableColumn id="7453" xr3:uid="{39DBFFFD-4D07-4BC9-842B-CA121C199DB8}" name="Column7447"/>
    <tableColumn id="7454" xr3:uid="{6D75AC2D-2FB9-4DF5-81DC-DE0212EAE6CD}" name="Column7448"/>
    <tableColumn id="7455" xr3:uid="{9A5BA2BE-8E8D-4BB8-97EF-ECD086C49C5C}" name="Column7449"/>
    <tableColumn id="7456" xr3:uid="{390B3823-AA48-46D2-9094-4B4CC27CB091}" name="Column7450"/>
    <tableColumn id="7457" xr3:uid="{1B5CD8B5-73B0-40AD-9D50-27C2D57BFA6D}" name="Column7451"/>
    <tableColumn id="7458" xr3:uid="{15478D62-47DF-4A7E-BBC1-BFDAE6531368}" name="Column7452"/>
    <tableColumn id="7459" xr3:uid="{26303B70-AAF7-46DD-8A27-06CA036EFB15}" name="Column7453"/>
    <tableColumn id="7460" xr3:uid="{2BBE9E17-EFE3-47B4-B3A2-CF3336B39847}" name="Column7454"/>
    <tableColumn id="7461" xr3:uid="{E2DA12FA-7123-451B-999F-2A946B05C98C}" name="Column7455"/>
    <tableColumn id="7462" xr3:uid="{0D468D4C-D214-4847-810A-C3D4058C1F69}" name="Column7456"/>
    <tableColumn id="7463" xr3:uid="{9B1EEA77-C614-45D8-A4A6-0235D6FEBB29}" name="Column7457"/>
    <tableColumn id="7464" xr3:uid="{6DA86624-4685-4210-B860-D4187C07AA12}" name="Column7458"/>
    <tableColumn id="7465" xr3:uid="{D3ABBA95-2238-4628-BFB9-22094B82DF92}" name="Column7459"/>
    <tableColumn id="7466" xr3:uid="{A4BD157C-47FE-4141-8DA8-42320D0E6602}" name="Column7460"/>
    <tableColumn id="7467" xr3:uid="{75712670-914E-4C26-AA02-0ACF3A0B9863}" name="Column7461"/>
    <tableColumn id="7468" xr3:uid="{782A568F-A448-46DD-94C8-444ACED900AB}" name="Column7462"/>
    <tableColumn id="7469" xr3:uid="{7A378C58-3F59-4094-B892-F4EE914A4AA2}" name="Column7463"/>
    <tableColumn id="7470" xr3:uid="{2ECA0DEC-FBED-478B-A684-4A0BB0D086FD}" name="Column7464"/>
    <tableColumn id="7471" xr3:uid="{5C0943AF-EE0A-4285-AC51-98DDCA48F6F8}" name="Column7465"/>
    <tableColumn id="7472" xr3:uid="{F299EACD-9474-4275-921D-529D50ACE090}" name="Column7466"/>
    <tableColumn id="7473" xr3:uid="{E302D3F7-92BB-4A26-A306-9346A0C638A3}" name="Column7467"/>
    <tableColumn id="7474" xr3:uid="{A9F579A0-4A25-47F6-8F46-70E0BA2CFE5A}" name="Column7468"/>
    <tableColumn id="7475" xr3:uid="{A7DFD4F3-6E1D-46EA-AAF6-071580935AAF}" name="Column7469"/>
    <tableColumn id="7476" xr3:uid="{5785FC88-11BC-4D39-A4FA-EC0441E712D7}" name="Column7470"/>
    <tableColumn id="7477" xr3:uid="{5B3224B4-258E-499E-B16E-1CD13BC5B4A3}" name="Column7471"/>
    <tableColumn id="7478" xr3:uid="{9082B233-B2EF-44BD-BF49-3E50D50845A6}" name="Column7472"/>
    <tableColumn id="7479" xr3:uid="{C02D9CE2-0167-4347-B7D1-CBDFC9412A76}" name="Column7473"/>
    <tableColumn id="7480" xr3:uid="{94AB58E6-F1B7-4680-A590-EED3D60D5557}" name="Column7474"/>
    <tableColumn id="7481" xr3:uid="{5DC8BDE0-DB43-41B6-B454-9CA36D13C906}" name="Column7475"/>
    <tableColumn id="7482" xr3:uid="{59AC1EC4-5151-4325-99EB-0D5FC4353A01}" name="Column7476"/>
    <tableColumn id="7483" xr3:uid="{78723808-0667-4E8B-BD71-A95BA7405A6A}" name="Column7477"/>
    <tableColumn id="7484" xr3:uid="{5C58C190-3991-4E39-989B-522371D30E3B}" name="Column7478"/>
    <tableColumn id="7485" xr3:uid="{87F7355C-5037-4681-A34C-4D8344342A46}" name="Column7479"/>
    <tableColumn id="7486" xr3:uid="{759882CF-3C4C-4B5A-94A4-4C243CA251C7}" name="Column7480"/>
    <tableColumn id="7487" xr3:uid="{EA8B85D1-DC43-41C3-B06B-63D5952E3248}" name="Column7481"/>
    <tableColumn id="7488" xr3:uid="{51B3DCBF-AFA9-4362-879F-3A2646077A12}" name="Column7482"/>
    <tableColumn id="7489" xr3:uid="{A83B6C62-EA39-495F-B36D-C86380433E25}" name="Column7483"/>
    <tableColumn id="7490" xr3:uid="{508F962F-6BB3-467D-8A23-CB0DDF8C6FCA}" name="Column7484"/>
    <tableColumn id="7491" xr3:uid="{85FC2385-5335-4A57-9090-17242AD5BE7A}" name="Column7485"/>
    <tableColumn id="7492" xr3:uid="{A51C8401-517F-43C0-8CD3-256F95204030}" name="Column7486"/>
    <tableColumn id="7493" xr3:uid="{E690FE8C-A6C0-4183-9BF7-A601EE841025}" name="Column7487"/>
    <tableColumn id="7494" xr3:uid="{310FFF29-4BE0-4685-A4AC-199D445CE159}" name="Column7488"/>
    <tableColumn id="7495" xr3:uid="{2624FF43-EDF0-450A-9188-522D1BC5C8ED}" name="Column7489"/>
    <tableColumn id="7496" xr3:uid="{2F51AD0E-E201-47D1-BE1F-83DA09F7FCEC}" name="Column7490"/>
    <tableColumn id="7497" xr3:uid="{A57CFAD1-AC45-4588-9B6E-58EF6E99F78C}" name="Column7491"/>
    <tableColumn id="7498" xr3:uid="{5DCE25EF-559A-46EB-9F7C-BBBE934681FA}" name="Column7492"/>
    <tableColumn id="7499" xr3:uid="{557C5FDB-1EE4-415C-B191-968359839F81}" name="Column7493"/>
    <tableColumn id="7500" xr3:uid="{96B30F2B-DE1A-4AD6-905B-C6596F46E664}" name="Column7494"/>
    <tableColumn id="7501" xr3:uid="{419F4ED9-E9B6-44FE-874E-6446D54E6581}" name="Column7495"/>
    <tableColumn id="7502" xr3:uid="{1C35A3DD-1E43-48BE-B129-AF36F2196562}" name="Column7496"/>
    <tableColumn id="7503" xr3:uid="{A020E1E9-605E-4B3F-AE2E-45EAC1613B7D}" name="Column7497"/>
    <tableColumn id="7504" xr3:uid="{D9BB09E2-7DA6-4D4C-8870-062CF4D3523E}" name="Column7498"/>
    <tableColumn id="7505" xr3:uid="{3D796678-61B2-4A36-8989-495F2DCE9922}" name="Column7499"/>
    <tableColumn id="7506" xr3:uid="{C9AFAA93-06EE-49FC-9606-80CE3351A0F5}" name="Column7500"/>
    <tableColumn id="7507" xr3:uid="{FAFA4A5F-7622-4819-A45A-740EE04F39DC}" name="Column7501"/>
    <tableColumn id="7508" xr3:uid="{AA4E0172-BB17-4774-AEC2-FB124969D0A6}" name="Column7502"/>
    <tableColumn id="7509" xr3:uid="{27A44457-69D5-4C99-9B26-CEF1344E2EE3}" name="Column7503"/>
    <tableColumn id="7510" xr3:uid="{4AEA84BE-9C59-4ED7-93CD-8A566BB6EE68}" name="Column7504"/>
    <tableColumn id="7511" xr3:uid="{E5ADC668-CB9A-4B7C-8C44-E6E079540F08}" name="Column7505"/>
    <tableColumn id="7512" xr3:uid="{E4C67A50-7FDB-45EB-A488-063FEA86B795}" name="Column7506"/>
    <tableColumn id="7513" xr3:uid="{FEBF0D51-DA6E-4AD1-BF31-EBA7FC52F498}" name="Column7507"/>
    <tableColumn id="7514" xr3:uid="{4325173C-5F7F-4D3B-88D8-571EE5A8DF57}" name="Column7508"/>
    <tableColumn id="7515" xr3:uid="{D90CFFC4-B819-4958-8DF1-46468C78506A}" name="Column7509"/>
    <tableColumn id="7516" xr3:uid="{D95BC600-31BB-4E0D-A2C4-5E5ED9CD5B43}" name="Column7510"/>
    <tableColumn id="7517" xr3:uid="{FEDF4E85-BCBC-49E9-B383-46350833DEB7}" name="Column7511"/>
    <tableColumn id="7518" xr3:uid="{74116C2C-50E5-4306-AAFB-0E775635D662}" name="Column7512"/>
    <tableColumn id="7519" xr3:uid="{AF2D10EC-DABA-49E9-A357-AC860CA86985}" name="Column7513"/>
    <tableColumn id="7520" xr3:uid="{C15A0E6D-EEA0-4695-9E76-2301110B6495}" name="Column7514"/>
    <tableColumn id="7521" xr3:uid="{F5C03E8E-E4FD-45CA-BE6A-ECA10565DBA5}" name="Column7515"/>
    <tableColumn id="7522" xr3:uid="{307AAFF6-D885-4CD5-8ADA-FA57B83F79BD}" name="Column7516"/>
    <tableColumn id="7523" xr3:uid="{58350E70-36EA-4E10-8BF0-6949944C2F97}" name="Column7517"/>
    <tableColumn id="7524" xr3:uid="{7594FA27-BC84-43E1-8D5E-7BD250E122DD}" name="Column7518"/>
    <tableColumn id="7525" xr3:uid="{6D51660F-7FCF-433F-95A8-F2CAF7B214F9}" name="Column7519"/>
    <tableColumn id="7526" xr3:uid="{AD0331B9-FA14-4E0F-9241-29154EE2F7C8}" name="Column7520"/>
    <tableColumn id="7527" xr3:uid="{DA10F9BD-4723-4065-9BCB-AA9534526643}" name="Column7521"/>
    <tableColumn id="7528" xr3:uid="{27BD2921-F476-4E83-BCA6-95CE09262513}" name="Column7522"/>
    <tableColumn id="7529" xr3:uid="{65FDB21C-C1E7-4CE9-9BF0-D9CE469447BB}" name="Column7523"/>
    <tableColumn id="7530" xr3:uid="{B96FAB97-0DFF-4A12-8014-4190BD484B0F}" name="Column7524"/>
    <tableColumn id="7531" xr3:uid="{06C843C7-E2DC-426B-9BCE-7CF5DB8DCBE1}" name="Column7525"/>
    <tableColumn id="7532" xr3:uid="{7D49B658-07B5-491E-8710-2BACC86EE7E6}" name="Column7526"/>
    <tableColumn id="7533" xr3:uid="{5BF914B5-2830-411F-827A-C3A865DEA906}" name="Column7527"/>
    <tableColumn id="7534" xr3:uid="{D891597C-0895-4B4C-AAF1-103B54404156}" name="Column7528"/>
    <tableColumn id="7535" xr3:uid="{B73BC82E-2EC8-4C8B-B71B-43E71AE46DD3}" name="Column7529"/>
    <tableColumn id="7536" xr3:uid="{0409DE3A-075C-4D9B-B070-84C4F8658F61}" name="Column7530"/>
    <tableColumn id="7537" xr3:uid="{1AF85BCD-5A70-430E-88D2-ECE2C33125C6}" name="Column7531"/>
    <tableColumn id="7538" xr3:uid="{D5850D65-3D5D-46FE-A99E-10CE93E079DB}" name="Column7532"/>
    <tableColumn id="7539" xr3:uid="{E27CB017-657E-4DB2-A414-0A79C4EA1E0E}" name="Column7533"/>
    <tableColumn id="7540" xr3:uid="{71A76D0F-C36A-4E53-84E9-06A80A97DEFC}" name="Column7534"/>
    <tableColumn id="7541" xr3:uid="{26A52755-66A0-449D-A710-5E722478CC3D}" name="Column7535"/>
    <tableColumn id="7542" xr3:uid="{E9911F1C-218D-46BD-BDFE-356627C5B3A6}" name="Column7536"/>
    <tableColumn id="7543" xr3:uid="{81FC7ADD-0915-43A3-A1CB-F6615CF7704B}" name="Column7537"/>
    <tableColumn id="7544" xr3:uid="{917DC5FD-F097-41E9-AB0D-7BA4F51A4963}" name="Column7538"/>
    <tableColumn id="7545" xr3:uid="{DEBD0081-DD3A-4A3E-BA4C-9541779EE33C}" name="Column7539"/>
    <tableColumn id="7546" xr3:uid="{53BBE4D6-7B93-4AED-8176-B562C929BE4D}" name="Column7540"/>
    <tableColumn id="7547" xr3:uid="{3BAFA416-DA9D-46C1-B03B-7B23D739D6A6}" name="Column7541"/>
    <tableColumn id="7548" xr3:uid="{DC4A24E3-5024-44D1-A2E7-4384792DEF05}" name="Column7542"/>
    <tableColumn id="7549" xr3:uid="{1744EA08-30D3-483B-92B2-EFC869F2FCDA}" name="Column7543"/>
    <tableColumn id="7550" xr3:uid="{93C97CB6-97F3-4289-8C87-481174A68554}" name="Column7544"/>
    <tableColumn id="7551" xr3:uid="{33106E35-491D-41B2-B520-9A6F843A9A25}" name="Column7545"/>
    <tableColumn id="7552" xr3:uid="{F3768484-38C8-4F18-B0F1-B015A092320F}" name="Column7546"/>
    <tableColumn id="7553" xr3:uid="{544BD201-B992-4810-8F53-918CCC4B6DA5}" name="Column7547"/>
    <tableColumn id="7554" xr3:uid="{7EDE56E5-B972-4B61-BF98-1A41D815266E}" name="Column7548"/>
    <tableColumn id="7555" xr3:uid="{97288BCB-EF5C-4EA6-AD12-85F319E812EB}" name="Column7549"/>
    <tableColumn id="7556" xr3:uid="{B653F52D-7804-4C25-A0F6-77FBE2E1B3D2}" name="Column7550"/>
    <tableColumn id="7557" xr3:uid="{BA1F57BF-BF5F-4FD3-9DE8-C49A0ACCFE30}" name="Column7551"/>
    <tableColumn id="7558" xr3:uid="{7826D597-7996-42E6-B0B6-4D5184D182EB}" name="Column7552"/>
    <tableColumn id="7559" xr3:uid="{4EAAF163-E05E-4AD7-81BB-62875299CAFF}" name="Column7553"/>
    <tableColumn id="7560" xr3:uid="{3D78684E-3B0A-4CB6-810A-A9863A9DBE05}" name="Column7554"/>
    <tableColumn id="7561" xr3:uid="{843E8EB3-0F2D-4194-8090-9B132B5BF3DE}" name="Column7555"/>
    <tableColumn id="7562" xr3:uid="{0695BF0B-D750-4D60-8FDC-F7AB5DF1EBB9}" name="Column7556"/>
    <tableColumn id="7563" xr3:uid="{68E6C537-CE75-4E80-9E1D-B19EE05AB7FC}" name="Column7557"/>
    <tableColumn id="7564" xr3:uid="{42D62AAF-05A8-440B-B7FB-B09057390579}" name="Column7558"/>
    <tableColumn id="7565" xr3:uid="{360BFBAD-5B86-4683-86E4-CB95AD6A7EA6}" name="Column7559"/>
    <tableColumn id="7566" xr3:uid="{21E815B3-B8C0-482F-B7A4-3AE80DAE01D6}" name="Column7560"/>
    <tableColumn id="7567" xr3:uid="{E4F8D4DC-F499-4A6C-B20C-42A602454414}" name="Column7561"/>
    <tableColumn id="7568" xr3:uid="{4CBAEFD8-599C-4900-87D3-86C478178258}" name="Column7562"/>
    <tableColumn id="7569" xr3:uid="{E0285A99-C7E9-4888-912B-6367827E2E08}" name="Column7563"/>
    <tableColumn id="7570" xr3:uid="{336FCA85-D283-4701-9E8F-55C8775E44F2}" name="Column7564"/>
    <tableColumn id="7571" xr3:uid="{38549093-053B-42F1-9474-029A4DAD1F84}" name="Column7565"/>
    <tableColumn id="7572" xr3:uid="{395CD649-3321-40B1-9BB1-85038B5CE243}" name="Column7566"/>
    <tableColumn id="7573" xr3:uid="{2F03BBD8-70E1-45E7-81F6-6947D8294A6D}" name="Column7567"/>
    <tableColumn id="7574" xr3:uid="{EED3D294-8A1E-412A-9F08-027F306B1673}" name="Column7568"/>
    <tableColumn id="7575" xr3:uid="{98EF4063-2E96-42FB-8240-7C975707DDD8}" name="Column7569"/>
    <tableColumn id="7576" xr3:uid="{5BD2AC0C-CBC1-4F82-A2FB-A0F9D4D89BFF}" name="Column7570"/>
    <tableColumn id="7577" xr3:uid="{19427EC1-76CE-4B05-AFD0-EB5DEF49918E}" name="Column7571"/>
    <tableColumn id="7578" xr3:uid="{BD000E4E-53EB-4893-A38C-E66B9DC3DAB9}" name="Column7572"/>
    <tableColumn id="7579" xr3:uid="{B34C3AA3-7A6B-4A3D-A0DB-749198D4FD51}" name="Column7573"/>
    <tableColumn id="7580" xr3:uid="{A023A63A-E098-4591-9381-2CFEEA06F3ED}" name="Column7574"/>
    <tableColumn id="7581" xr3:uid="{D16CBACB-23ED-40F5-A547-1D7E3E49729F}" name="Column7575"/>
    <tableColumn id="7582" xr3:uid="{C0F3CADD-FBC9-416E-A442-0C40BB088A62}" name="Column7576"/>
    <tableColumn id="7583" xr3:uid="{370A06A5-0B00-4D99-94EF-D3A74BFE409C}" name="Column7577"/>
    <tableColumn id="7584" xr3:uid="{B2073C9A-B3E3-4BF9-8ABC-308138044D0B}" name="Column7578"/>
    <tableColumn id="7585" xr3:uid="{4AB72345-D6B9-46CB-BBA8-A0A9424C7150}" name="Column7579"/>
    <tableColumn id="7586" xr3:uid="{BA154AA8-B2B6-436B-8FCE-FF1C9429DF33}" name="Column7580"/>
    <tableColumn id="7587" xr3:uid="{2FE29E78-1BE4-42CC-AFCD-950FD574E09D}" name="Column7581"/>
    <tableColumn id="7588" xr3:uid="{5E150F88-181D-4ED4-9915-A17E21AD79F1}" name="Column7582"/>
    <tableColumn id="7589" xr3:uid="{E2E4D121-1CC9-4BD1-93CB-7DD73818B7F3}" name="Column7583"/>
    <tableColumn id="7590" xr3:uid="{6D9DE24E-4E42-406D-B8ED-281A0F82D082}" name="Column7584"/>
    <tableColumn id="7591" xr3:uid="{393DFB60-AC4F-4341-99F2-778EC6FAFEBE}" name="Column7585"/>
    <tableColumn id="7592" xr3:uid="{2AB3EC90-4D21-4AD7-9235-701AEED32426}" name="Column7586"/>
    <tableColumn id="7593" xr3:uid="{BF27F4ED-104C-43DF-AD72-0E2FF47D193D}" name="Column7587"/>
    <tableColumn id="7594" xr3:uid="{7AA2075A-ADA5-4A68-8B3C-6222653DFF2C}" name="Column7588"/>
    <tableColumn id="7595" xr3:uid="{8AA04F90-A353-4A6F-A8BD-B7E62922A12B}" name="Column7589"/>
    <tableColumn id="7596" xr3:uid="{27904CB6-EA62-45BA-B4BD-388A14B53EE0}" name="Column7590"/>
    <tableColumn id="7597" xr3:uid="{EE24AAE3-1EE1-47B6-9196-9B2B80C79BBA}" name="Column7591"/>
    <tableColumn id="7598" xr3:uid="{AD7ED73B-3808-42C1-AED1-97BC4B097A58}" name="Column7592"/>
    <tableColumn id="7599" xr3:uid="{4B13EF25-98E2-4BF4-A389-C6A7EF099D62}" name="Column7593"/>
    <tableColumn id="7600" xr3:uid="{8219B98B-DF58-41AD-AB20-3536E6A54E7B}" name="Column7594"/>
    <tableColumn id="7601" xr3:uid="{2A06832B-EEAF-48FA-BD1B-8D4F16D1F822}" name="Column7595"/>
    <tableColumn id="7602" xr3:uid="{141E01AA-8A5F-4DAA-8C31-34737E0D4495}" name="Column7596"/>
    <tableColumn id="7603" xr3:uid="{0F01371B-375D-4D37-B961-18CB13B693A2}" name="Column7597"/>
    <tableColumn id="7604" xr3:uid="{1C077D8A-6905-4AB9-AC0E-09B58F7969EE}" name="Column7598"/>
    <tableColumn id="7605" xr3:uid="{FDD10B6B-6A32-4014-A4F6-90E32A27B463}" name="Column7599"/>
    <tableColumn id="7606" xr3:uid="{A931B13C-70A1-4CEE-B173-747234761384}" name="Column7600"/>
    <tableColumn id="7607" xr3:uid="{62FF33F1-6AAA-445E-8DD0-8C55110BC5AB}" name="Column7601"/>
    <tableColumn id="7608" xr3:uid="{AD353757-4E69-4D82-843F-69CCF9DABC7C}" name="Column7602"/>
    <tableColumn id="7609" xr3:uid="{BE0D93B9-9F7B-421D-93C4-D06863F02609}" name="Column7603"/>
    <tableColumn id="7610" xr3:uid="{CACA3ADB-C645-417B-9717-F862151C1CBC}" name="Column7604"/>
    <tableColumn id="7611" xr3:uid="{DFCFB4D4-1F3D-4DF0-B171-BFBAFD699EE3}" name="Column7605"/>
    <tableColumn id="7612" xr3:uid="{FBB0248A-DC0C-4100-806D-ED0A18BD9CBE}" name="Column7606"/>
    <tableColumn id="7613" xr3:uid="{B0073F1B-8CD3-4539-A972-DC2D5B36BACB}" name="Column7607"/>
    <tableColumn id="7614" xr3:uid="{5E860542-E159-47A6-BD67-766E0D4A2669}" name="Column7608"/>
    <tableColumn id="7615" xr3:uid="{74C72A61-3B23-4D43-8EE6-B34A9544E609}" name="Column7609"/>
    <tableColumn id="7616" xr3:uid="{AD757695-60A8-4F65-9637-2A0890627A00}" name="Column7610"/>
    <tableColumn id="7617" xr3:uid="{3B5E9AE5-70FA-4DB8-BFFE-EA0A0EA23175}" name="Column7611"/>
    <tableColumn id="7618" xr3:uid="{BF50884E-2570-44C8-82CC-C161AA79E032}" name="Column7612"/>
    <tableColumn id="7619" xr3:uid="{FF524452-2830-41F0-979C-30615806D50A}" name="Column7613"/>
    <tableColumn id="7620" xr3:uid="{A9D21DBF-C5A3-4EE8-9931-7517C243E3D0}" name="Column7614"/>
    <tableColumn id="7621" xr3:uid="{0F92999C-AD37-4974-93C1-246908039ACF}" name="Column7615"/>
    <tableColumn id="7622" xr3:uid="{86711DCB-FCAB-49F3-ADBC-98DB30CCD015}" name="Column7616"/>
    <tableColumn id="7623" xr3:uid="{1A23479B-316C-43B0-887B-D78FC52C6996}" name="Column7617"/>
    <tableColumn id="7624" xr3:uid="{94F77891-C948-4860-9B74-77034B7C27FD}" name="Column7618"/>
    <tableColumn id="7625" xr3:uid="{A50944EC-FE52-48EC-9FD3-1E8F59E9B81F}" name="Column7619"/>
    <tableColumn id="7626" xr3:uid="{E8249E98-925D-42A1-86E8-FE3CFE3D73F1}" name="Column7620"/>
    <tableColumn id="7627" xr3:uid="{A26A0DB6-526B-4407-9582-FDCA821FB703}" name="Column7621"/>
    <tableColumn id="7628" xr3:uid="{6ED66452-F079-4DCA-8E32-E6B7ECE97A30}" name="Column7622"/>
    <tableColumn id="7629" xr3:uid="{6A968E0F-E68A-4E0E-9FF4-8ACC677E9E6B}" name="Column7623"/>
    <tableColumn id="7630" xr3:uid="{B80E5D15-B1A0-42EA-BBC5-9633B974377C}" name="Column7624"/>
    <tableColumn id="7631" xr3:uid="{0352EC07-AB55-4267-A747-36176DF8757E}" name="Column7625"/>
    <tableColumn id="7632" xr3:uid="{9F4A543F-497D-469C-AA54-01A2448DBA47}" name="Column7626"/>
    <tableColumn id="7633" xr3:uid="{F48F0BBD-F57C-4443-AD1B-5DCD340801EC}" name="Column7627"/>
    <tableColumn id="7634" xr3:uid="{51182780-E5E8-4477-9BC2-F715AF3D7194}" name="Column7628"/>
    <tableColumn id="7635" xr3:uid="{55B94AE2-4AB8-450D-AD09-024D2294AD38}" name="Column7629"/>
    <tableColumn id="7636" xr3:uid="{7329564B-2D80-46E6-AD35-BB1658C143B5}" name="Column7630"/>
    <tableColumn id="7637" xr3:uid="{ED2F8F41-546D-4E0D-8A98-498D7D3ED3D1}" name="Column7631"/>
    <tableColumn id="7638" xr3:uid="{18737F95-7EBF-4011-AAB2-2D85A14F6DB0}" name="Column7632"/>
    <tableColumn id="7639" xr3:uid="{71133E17-50A4-4155-830F-263F3152FD16}" name="Column7633"/>
    <tableColumn id="7640" xr3:uid="{A70095E1-E801-439D-8C5B-891FF8196166}" name="Column7634"/>
    <tableColumn id="7641" xr3:uid="{4189C9CC-7F9B-4607-8E52-22C1CFB37AF4}" name="Column7635"/>
    <tableColumn id="7642" xr3:uid="{89C58053-F524-4C0C-8B38-C39C4A4366FF}" name="Column7636"/>
    <tableColumn id="7643" xr3:uid="{E42BFF2A-9FF4-4271-A89D-26B569E68172}" name="Column7637"/>
    <tableColumn id="7644" xr3:uid="{E2A77D8A-31D7-410B-B568-20ABC90B5E60}" name="Column7638"/>
    <tableColumn id="7645" xr3:uid="{830B6878-DED6-4039-9D9E-DEA7FC693E39}" name="Column7639"/>
    <tableColumn id="7646" xr3:uid="{3C1DB0C5-8547-41F1-8689-BFF55419881B}" name="Column7640"/>
    <tableColumn id="7647" xr3:uid="{73E95393-3386-46CE-9338-4942FC4781E0}" name="Column7641"/>
    <tableColumn id="7648" xr3:uid="{FF3BF4DB-3143-4B17-87B4-BA024377FE7F}" name="Column7642"/>
    <tableColumn id="7649" xr3:uid="{B42D9052-018B-46CA-9BAF-7FCB71A8A7FE}" name="Column7643"/>
    <tableColumn id="7650" xr3:uid="{B0EC6096-9F28-4DF5-B24B-E9D8C3ADCB7A}" name="Column7644"/>
    <tableColumn id="7651" xr3:uid="{2C9AE6BE-108A-4DF9-9119-6F8DF7DFE03B}" name="Column7645"/>
    <tableColumn id="7652" xr3:uid="{D3365D0A-5CC4-4B9A-8944-902A7480B49E}" name="Column7646"/>
    <tableColumn id="7653" xr3:uid="{CD01A034-EDAD-4400-8D5A-A89594F1F176}" name="Column7647"/>
    <tableColumn id="7654" xr3:uid="{2A12F4D9-D0F2-4FCE-9ECF-D88B4E4BFB09}" name="Column7648"/>
    <tableColumn id="7655" xr3:uid="{8AFA3B53-881C-4837-AD01-8D8A3241D39F}" name="Column7649"/>
    <tableColumn id="7656" xr3:uid="{4B416111-0A4B-4555-8DF3-4C324B972E2D}" name="Column7650"/>
    <tableColumn id="7657" xr3:uid="{E3105135-041E-4B18-91C1-B6574CC1F573}" name="Column7651"/>
    <tableColumn id="7658" xr3:uid="{A7CE642F-E003-4E05-8605-CAAAFDDEB013}" name="Column7652"/>
    <tableColumn id="7659" xr3:uid="{3B95393C-538C-42EC-B1D0-36843F50A88A}" name="Column7653"/>
    <tableColumn id="7660" xr3:uid="{E1F0D211-A4F3-4B73-AA9E-6007CE30E04A}" name="Column7654"/>
    <tableColumn id="7661" xr3:uid="{6E51D8EF-A71E-4BF8-A7B9-DE95F68D9F7B}" name="Column7655"/>
    <tableColumn id="7662" xr3:uid="{77832939-1E5D-4D13-A325-0847F4BCB32B}" name="Column7656"/>
    <tableColumn id="7663" xr3:uid="{F606136C-1AE0-4116-820F-637D2780846C}" name="Column7657"/>
    <tableColumn id="7664" xr3:uid="{E3613FDD-A981-4B2D-B366-8B7C84DA7CB1}" name="Column7658"/>
    <tableColumn id="7665" xr3:uid="{1125477D-CDA3-4090-9A1E-3774FA98481E}" name="Column7659"/>
    <tableColumn id="7666" xr3:uid="{DB11DD99-5DE1-466D-A8D8-77993C244429}" name="Column7660"/>
    <tableColumn id="7667" xr3:uid="{B8554D68-8498-47E8-A58A-D642FCC500BA}" name="Column7661"/>
    <tableColumn id="7668" xr3:uid="{54B107EB-0A5B-47C1-80AD-E3A394608085}" name="Column7662"/>
    <tableColumn id="7669" xr3:uid="{B92F4725-FB86-495E-92E1-2D6E41449875}" name="Column7663"/>
    <tableColumn id="7670" xr3:uid="{6D42A5D1-2AA5-426F-BD2C-C308D3E2F4DE}" name="Column7664"/>
    <tableColumn id="7671" xr3:uid="{E1342FB1-A879-407B-92E2-2ED4AAE7A91D}" name="Column7665"/>
    <tableColumn id="7672" xr3:uid="{2B303A53-2838-4470-A21D-8B13F632A8AB}" name="Column7666"/>
    <tableColumn id="7673" xr3:uid="{DF053F22-BB6E-41DD-BE63-17B26A478923}" name="Column7667"/>
    <tableColumn id="7674" xr3:uid="{78F2092B-F6D5-45D8-AAE0-F21992A44553}" name="Column7668"/>
    <tableColumn id="7675" xr3:uid="{1BBFB36A-B4C0-408F-A2FE-8B5686661E08}" name="Column7669"/>
    <tableColumn id="7676" xr3:uid="{8BC1D73A-C12D-491C-A082-9437D2E01CE1}" name="Column7670"/>
    <tableColumn id="7677" xr3:uid="{13B91380-DF9A-4956-B142-A33CBD1BB737}" name="Column7671"/>
    <tableColumn id="7678" xr3:uid="{B00DBF47-9D61-4C96-8105-037F277B2077}" name="Column7672"/>
    <tableColumn id="7679" xr3:uid="{C5AC4751-8B09-42D3-91D9-80FDE8593C2A}" name="Column7673"/>
    <tableColumn id="7680" xr3:uid="{8EE87980-0275-4494-8F02-1A68DC5EFD19}" name="Column7674"/>
    <tableColumn id="7681" xr3:uid="{2C4AD2A9-3205-4383-9E4E-85B7A0EBB69B}" name="Column7675"/>
    <tableColumn id="7682" xr3:uid="{BAD3706B-3828-4972-82DA-52C94ECD1739}" name="Column7676"/>
    <tableColumn id="7683" xr3:uid="{71B139D7-27CA-44C8-9EC6-94CF1FBD9D19}" name="Column7677"/>
    <tableColumn id="7684" xr3:uid="{5D426260-A1CF-4DC0-8DE9-9B74DB685105}" name="Column7678"/>
    <tableColumn id="7685" xr3:uid="{C6EE8919-FCF8-43B2-9998-51665C9D3E05}" name="Column7679"/>
    <tableColumn id="7686" xr3:uid="{B7D5F4EA-72B4-49EC-87F6-5F619E101CA3}" name="Column7680"/>
    <tableColumn id="7687" xr3:uid="{1D4E2AF9-71A1-4340-93A0-733982FA6693}" name="Column7681"/>
    <tableColumn id="7688" xr3:uid="{EB355ACF-0428-443D-8EC6-66F1C4C197F8}" name="Column7682"/>
    <tableColumn id="7689" xr3:uid="{A6CF33F2-D1F0-4EBE-B9DA-B4F9A0596BD1}" name="Column7683"/>
    <tableColumn id="7690" xr3:uid="{1745BAFC-BFAA-4EF0-9A16-E790E136D0AA}" name="Column7684"/>
    <tableColumn id="7691" xr3:uid="{4CFA7327-B42B-40FD-9CEF-4CA68E7C62D4}" name="Column7685"/>
    <tableColumn id="7692" xr3:uid="{45C851CF-3CF1-4B8D-B3C1-24EB870B1948}" name="Column7686"/>
    <tableColumn id="7693" xr3:uid="{493DD355-3E68-438F-BB51-B7DD89C94AFA}" name="Column7687"/>
    <tableColumn id="7694" xr3:uid="{C7136754-2048-4F1E-800D-29BB77C71D54}" name="Column7688"/>
    <tableColumn id="7695" xr3:uid="{7BFDB417-1AB0-4584-A436-06EFC156BD0D}" name="Column7689"/>
    <tableColumn id="7696" xr3:uid="{1B1892A0-1741-4D34-9598-9A009A483994}" name="Column7690"/>
    <tableColumn id="7697" xr3:uid="{2E82FE38-DCB7-43C8-AF86-949D1C4923D2}" name="Column7691"/>
    <tableColumn id="7698" xr3:uid="{EF9B0E99-EA37-41F9-9914-09D169342925}" name="Column7692"/>
    <tableColumn id="7699" xr3:uid="{DB464207-ECBD-499C-8F88-DB9EB2C54F31}" name="Column7693"/>
    <tableColumn id="7700" xr3:uid="{3A109CB2-B7DD-42CB-AD97-72AFC104D23C}" name="Column7694"/>
    <tableColumn id="7701" xr3:uid="{6A73516A-0192-4A7C-924A-2DF4A6C1F512}" name="Column7695"/>
    <tableColumn id="7702" xr3:uid="{CEC55412-AD71-449E-8CF1-3C00AFC3F67D}" name="Column7696"/>
    <tableColumn id="7703" xr3:uid="{A03A3C97-4469-42BE-BD10-ECF750B2DC6F}" name="Column7697"/>
    <tableColumn id="7704" xr3:uid="{015139B3-E4CF-438F-9760-6D406310E88A}" name="Column7698"/>
    <tableColumn id="7705" xr3:uid="{1E328E37-FDB5-4246-AF14-49BA9C621634}" name="Column7699"/>
    <tableColumn id="7706" xr3:uid="{628F0163-D7A0-44A4-83A2-699B99231DAE}" name="Column7700"/>
    <tableColumn id="7707" xr3:uid="{89600131-918E-4EDB-B1B5-6D53805B906B}" name="Column7701"/>
    <tableColumn id="7708" xr3:uid="{34AEDEBD-AEBE-4D03-AE49-DD7FC15BE97E}" name="Column7702"/>
    <tableColumn id="7709" xr3:uid="{69924D27-CF59-4402-80F7-E0DBB41C65E5}" name="Column7703"/>
    <tableColumn id="7710" xr3:uid="{91BD71FC-CC15-4EC1-A918-93D8B5FB5979}" name="Column7704"/>
    <tableColumn id="7711" xr3:uid="{F17050A9-8B7D-471A-B2BD-3C8F37D53AC1}" name="Column7705"/>
    <tableColumn id="7712" xr3:uid="{7DFBADD4-64E2-4C15-B25D-4118FDDCB7ED}" name="Column7706"/>
    <tableColumn id="7713" xr3:uid="{CBE14A10-1D9B-41DF-B77B-9A4DFB205C1C}" name="Column7707"/>
    <tableColumn id="7714" xr3:uid="{754E0915-1CF0-4400-AB37-C764646237A9}" name="Column7708"/>
    <tableColumn id="7715" xr3:uid="{CBE77FCB-448C-47D5-84A1-D85841F3CD14}" name="Column7709"/>
    <tableColumn id="7716" xr3:uid="{E20BDC69-8B3B-42F0-974E-64EBD9396318}" name="Column7710"/>
    <tableColumn id="7717" xr3:uid="{40B39AFF-B96F-4160-9E6A-F54C73E7CA6C}" name="Column7711"/>
    <tableColumn id="7718" xr3:uid="{E4D70463-975B-428D-B45D-149BB12751F9}" name="Column7712"/>
    <tableColumn id="7719" xr3:uid="{8B299263-5C03-4518-90AE-68044AA4C7A0}" name="Column7713"/>
    <tableColumn id="7720" xr3:uid="{237BDC60-26E1-4A87-90E3-0274FEF4A8D2}" name="Column7714"/>
    <tableColumn id="7721" xr3:uid="{0575D990-33F3-40B5-8577-6AA96D3999EF}" name="Column7715"/>
    <tableColumn id="7722" xr3:uid="{D11CC0B5-96D7-4B73-A734-32267EA1E1CC}" name="Column7716"/>
    <tableColumn id="7723" xr3:uid="{DA0C4654-A7F7-4B72-8D4B-14B8903FC8F9}" name="Column7717"/>
    <tableColumn id="7724" xr3:uid="{92F2969D-99CE-4425-81EB-3C369C4FC540}" name="Column7718"/>
    <tableColumn id="7725" xr3:uid="{24C11C06-DCAE-4579-89B2-A9A898615761}" name="Column7719"/>
    <tableColumn id="7726" xr3:uid="{3F68623B-1762-4DA5-9F58-CB1502A6D15E}" name="Column7720"/>
    <tableColumn id="7727" xr3:uid="{81C773C9-4CC2-429E-A52E-6BEFB8A6B3DD}" name="Column7721"/>
    <tableColumn id="7728" xr3:uid="{DBD0369C-1063-4F05-8CA1-61CAB9477BE6}" name="Column7722"/>
    <tableColumn id="7729" xr3:uid="{C5245114-FCE0-44B9-9CF6-0FA4351653E8}" name="Column7723"/>
    <tableColumn id="7730" xr3:uid="{DEB70813-AF9A-44BB-BDDE-15F442CD2F4E}" name="Column7724"/>
    <tableColumn id="7731" xr3:uid="{FEBFFD4F-7148-4D87-9A6E-44109ACB7A8A}" name="Column7725"/>
    <tableColumn id="7732" xr3:uid="{2ABB8BA3-8ECF-4BEE-AA8D-A85C909856C4}" name="Column7726"/>
    <tableColumn id="7733" xr3:uid="{55D515AB-5490-425C-B7DD-9DE6F073C4EA}" name="Column7727"/>
    <tableColumn id="7734" xr3:uid="{BD9DFD19-84A9-4606-9886-C2C506DC4A64}" name="Column7728"/>
    <tableColumn id="7735" xr3:uid="{7F4C5708-C586-41E2-BAAE-3F5AC511D610}" name="Column7729"/>
    <tableColumn id="7736" xr3:uid="{50565C4D-0069-4CE6-A73D-D9A0BB1051DE}" name="Column7730"/>
    <tableColumn id="7737" xr3:uid="{C65C9110-C73F-4DD1-86F6-525B5DA5396A}" name="Column7731"/>
    <tableColumn id="7738" xr3:uid="{0CAB3E99-572E-4348-8FB7-CA291ED9E025}" name="Column7732"/>
    <tableColumn id="7739" xr3:uid="{373C6308-9D06-43C6-8CAE-764D6CA694E8}" name="Column7733"/>
    <tableColumn id="7740" xr3:uid="{6DBCC231-FFE0-4267-8E2D-6E1D9A1B30AA}" name="Column7734"/>
    <tableColumn id="7741" xr3:uid="{D3184CBB-BD8F-4BF8-9F50-5F37FEA086AE}" name="Column7735"/>
    <tableColumn id="7742" xr3:uid="{DFEF030C-C5CD-4407-A617-49FBEA5DAD44}" name="Column7736"/>
    <tableColumn id="7743" xr3:uid="{6E5C927B-30E6-4B67-9B84-57C44DAF594C}" name="Column7737"/>
    <tableColumn id="7744" xr3:uid="{0E7E51F6-19F2-4E5D-B330-EABC6F70959D}" name="Column7738"/>
    <tableColumn id="7745" xr3:uid="{9449080A-9594-4CC4-A6EC-C4DF16DC1AAB}" name="Column7739"/>
    <tableColumn id="7746" xr3:uid="{26B0B881-443E-43B5-AE0C-4FC516505469}" name="Column7740"/>
    <tableColumn id="7747" xr3:uid="{389113EA-1242-4FCD-BDC0-F9531C8B3A2B}" name="Column7741"/>
    <tableColumn id="7748" xr3:uid="{D4669565-52C0-42FF-AD32-5CCC246779C1}" name="Column7742"/>
    <tableColumn id="7749" xr3:uid="{A3258A1A-DEB2-4E74-AD4C-8DE5A612F517}" name="Column7743"/>
    <tableColumn id="7750" xr3:uid="{119974F7-1D78-4D0F-ABAC-8767C553B668}" name="Column7744"/>
    <tableColumn id="7751" xr3:uid="{25B81293-BE51-4F54-B09B-2536AE955F37}" name="Column7745"/>
    <tableColumn id="7752" xr3:uid="{155B3A7F-FE18-4CB8-8F1E-7A357BAF7BEC}" name="Column7746"/>
    <tableColumn id="7753" xr3:uid="{DAB53FEF-D421-44EA-B49C-B5DF9389E1D7}" name="Column7747"/>
    <tableColumn id="7754" xr3:uid="{C64B18CE-2C0D-4FA3-8D6E-3FFF286370EE}" name="Column7748"/>
    <tableColumn id="7755" xr3:uid="{311C873A-8C85-47C6-8534-3B6E8655316F}" name="Column7749"/>
    <tableColumn id="7756" xr3:uid="{CE069088-B97D-4C98-B4F9-336FE677AC2D}" name="Column7750"/>
    <tableColumn id="7757" xr3:uid="{5BA3199D-5880-4ED9-9192-C0AD0FA66729}" name="Column7751"/>
    <tableColumn id="7758" xr3:uid="{FA9DE117-224E-4470-AB9D-9F229BD1C160}" name="Column7752"/>
    <tableColumn id="7759" xr3:uid="{4DA4C8BC-18CB-4BFC-B4B9-C0F062FCCB0A}" name="Column7753"/>
    <tableColumn id="7760" xr3:uid="{34CAE0B4-0A5B-42E2-AC36-895070A567F1}" name="Column7754"/>
    <tableColumn id="7761" xr3:uid="{28316197-FCA3-4D1C-9783-548C27F57CE7}" name="Column7755"/>
    <tableColumn id="7762" xr3:uid="{88AA0ED2-9C01-4757-B902-574E8CA93040}" name="Column7756"/>
    <tableColumn id="7763" xr3:uid="{30FAA09A-FDD1-48A2-85F4-FF626F8205B1}" name="Column7757"/>
    <tableColumn id="7764" xr3:uid="{A5061008-5F27-4422-95D6-B6399EC72E85}" name="Column7758"/>
    <tableColumn id="7765" xr3:uid="{A728075B-51FA-477D-A49E-43D45B80545E}" name="Column7759"/>
    <tableColumn id="7766" xr3:uid="{56C15DEA-546F-4E26-BF3E-5C1EB03E8DA4}" name="Column7760"/>
    <tableColumn id="7767" xr3:uid="{38791A07-45A0-4A3B-B53A-0200516A880C}" name="Column7761"/>
    <tableColumn id="7768" xr3:uid="{616FDEEE-3521-45E4-897F-6758B4F0D284}" name="Column7762"/>
    <tableColumn id="7769" xr3:uid="{AFF8676E-0780-4F39-A255-D2DC8C985520}" name="Column7763"/>
    <tableColumn id="7770" xr3:uid="{9FCC99F2-4D4F-4778-9CBC-53D4B3DC3A4E}" name="Column7764"/>
    <tableColumn id="7771" xr3:uid="{9F86E7E3-5E10-4CC5-B2BC-A6AB1A181846}" name="Column7765"/>
    <tableColumn id="7772" xr3:uid="{6FD6075A-4F63-49FA-A18E-C808062DEE9D}" name="Column7766"/>
    <tableColumn id="7773" xr3:uid="{140E390B-B03A-4679-9F1E-602E84968584}" name="Column7767"/>
    <tableColumn id="7774" xr3:uid="{6747D920-D0FD-4824-AD0F-CA5141765234}" name="Column7768"/>
    <tableColumn id="7775" xr3:uid="{E07A8D90-BEB6-472B-AB69-CC94E815728F}" name="Column7769"/>
    <tableColumn id="7776" xr3:uid="{E9A02F2F-4728-419F-8484-9E55AA426113}" name="Column7770"/>
    <tableColumn id="7777" xr3:uid="{58917A1B-9E9D-4EA5-AF85-C831C8A88840}" name="Column7771"/>
    <tableColumn id="7778" xr3:uid="{245BAFBB-9E47-45FC-94BB-5A4699F5EDF2}" name="Column7772"/>
    <tableColumn id="7779" xr3:uid="{25A3D106-EC36-475C-96B7-597DF037F6DF}" name="Column7773"/>
    <tableColumn id="7780" xr3:uid="{314A0A02-8B8B-4225-A4F1-53012A572070}" name="Column7774"/>
    <tableColumn id="7781" xr3:uid="{0BC20712-9F96-49DB-9C3E-3ECFF4A7B0D9}" name="Column7775"/>
    <tableColumn id="7782" xr3:uid="{9A2405E6-8F93-4D16-A834-3BA2E5C499C9}" name="Column7776"/>
    <tableColumn id="7783" xr3:uid="{E55844CD-AAB1-4E20-9A0A-FA9B447E7DFC}" name="Column7777"/>
    <tableColumn id="7784" xr3:uid="{4C2A807A-93FD-4B19-8008-D6A27399C241}" name="Column7778"/>
    <tableColumn id="7785" xr3:uid="{3D9C69DB-0B01-4477-BAB5-3DA2FBB10E4F}" name="Column7779"/>
    <tableColumn id="7786" xr3:uid="{93475F72-2583-4C6E-86C5-89896433879D}" name="Column7780"/>
    <tableColumn id="7787" xr3:uid="{568BB914-A6A3-4A7C-8F1D-4BDE5AF11BC6}" name="Column7781"/>
    <tableColumn id="7788" xr3:uid="{690F9956-01E2-4F40-B2DE-D40A7B3905C2}" name="Column7782"/>
    <tableColumn id="7789" xr3:uid="{99E42557-541E-48FC-828F-89DA2164736E}" name="Column7783"/>
    <tableColumn id="7790" xr3:uid="{9F6183AB-C4B3-4E30-88D4-C6702DEDE1E1}" name="Column7784"/>
    <tableColumn id="7791" xr3:uid="{E2F72D2A-F8A3-43F8-92C0-C561AB2046A9}" name="Column7785"/>
    <tableColumn id="7792" xr3:uid="{9049EA72-FA96-4F47-8135-1095741E657F}" name="Column7786"/>
    <tableColumn id="7793" xr3:uid="{8D952C61-3078-4E4D-A3B9-DC84E8834406}" name="Column7787"/>
    <tableColumn id="7794" xr3:uid="{66DE3EF9-52AA-4C0D-9168-6890183BF20E}" name="Column7788"/>
    <tableColumn id="7795" xr3:uid="{6248DB49-3D5E-4778-8AA3-DEF830B291D7}" name="Column7789"/>
    <tableColumn id="7796" xr3:uid="{E6D662F0-88AB-43AB-850E-53C09653B96A}" name="Column7790"/>
    <tableColumn id="7797" xr3:uid="{095A5C29-1CDA-4AAC-8C25-C60C1F894243}" name="Column7791"/>
    <tableColumn id="7798" xr3:uid="{5B9F0BDA-34A9-44AC-8FF0-177BF13995A7}" name="Column7792"/>
    <tableColumn id="7799" xr3:uid="{27233CB0-E09F-4634-952B-4FEA5E09E997}" name="Column7793"/>
    <tableColumn id="7800" xr3:uid="{32B7A66A-AA76-44F2-B5BA-5B732150AB45}" name="Column7794"/>
    <tableColumn id="7801" xr3:uid="{75131134-5929-4A9B-BF2D-554353146824}" name="Column7795"/>
    <tableColumn id="7802" xr3:uid="{6F2DC1CB-1410-450D-B8F1-AAE19B90186C}" name="Column7796"/>
    <tableColumn id="7803" xr3:uid="{29F1FCA0-1705-4F11-BAFF-85C9FE4CC20C}" name="Column7797"/>
    <tableColumn id="7804" xr3:uid="{FB7C4EB0-1391-4D54-A115-571288CE493F}" name="Column7798"/>
    <tableColumn id="7805" xr3:uid="{670E29D8-C714-4E65-8148-20C536373168}" name="Column7799"/>
    <tableColumn id="7806" xr3:uid="{B34B40F7-9DEF-4E01-8FBC-E95A0826DF0A}" name="Column7800"/>
    <tableColumn id="7807" xr3:uid="{2D10F5AF-75AC-4A3C-96F2-557B7BACC845}" name="Column7801"/>
    <tableColumn id="7808" xr3:uid="{47B1346C-C1FC-4E24-BE41-30D0A256443A}" name="Column7802"/>
    <tableColumn id="7809" xr3:uid="{BDAF34A4-6925-4747-8E47-6FE3657F5A49}" name="Column7803"/>
    <tableColumn id="7810" xr3:uid="{1ED70E69-1EB0-4012-9AE3-B44615E49967}" name="Column7804"/>
    <tableColumn id="7811" xr3:uid="{8E5E2F59-1EF1-4C9C-BF1A-DD60E534D032}" name="Column7805"/>
    <tableColumn id="7812" xr3:uid="{BDE26BBD-DAEF-4257-8310-4D34EF4CACB7}" name="Column7806"/>
    <tableColumn id="7813" xr3:uid="{64B53FB9-B8A6-481E-9C82-33E23D12EF7A}" name="Column7807"/>
    <tableColumn id="7814" xr3:uid="{1B546443-9ABE-495F-BBF0-E662BEC56875}" name="Column7808"/>
    <tableColumn id="7815" xr3:uid="{A12709F2-D459-4E64-9F74-524433885C16}" name="Column7809"/>
    <tableColumn id="7816" xr3:uid="{4A639C83-E451-4A0B-94A8-093BD55A3E3B}" name="Column7810"/>
    <tableColumn id="7817" xr3:uid="{3C3A2AD9-6040-4809-8E1A-186EEFEA0A5B}" name="Column7811"/>
    <tableColumn id="7818" xr3:uid="{A382C0DC-09C7-4491-8B00-E614451AA283}" name="Column7812"/>
    <tableColumn id="7819" xr3:uid="{69DF95AA-ED04-44CA-ABE2-F4FF97B72EE9}" name="Column7813"/>
    <tableColumn id="7820" xr3:uid="{20DCBFB0-844C-49FB-8A4F-500A10C512C0}" name="Column7814"/>
    <tableColumn id="7821" xr3:uid="{1267A22A-FDAF-4E31-8348-430887C0D25E}" name="Column7815"/>
    <tableColumn id="7822" xr3:uid="{CFDE3CB7-E068-4C15-A44A-336C85EE7893}" name="Column7816"/>
    <tableColumn id="7823" xr3:uid="{463F0563-7BB8-4D0F-9A02-40EA1A79828A}" name="Column7817"/>
    <tableColumn id="7824" xr3:uid="{B78666A6-3656-44DD-A22D-EDCDF01FF410}" name="Column7818"/>
    <tableColumn id="7825" xr3:uid="{F222DDFC-3B19-4C70-B331-93C3D88647FE}" name="Column7819"/>
    <tableColumn id="7826" xr3:uid="{5F7A00D6-9AC9-44A4-B63D-06220CB10CC0}" name="Column7820"/>
    <tableColumn id="7827" xr3:uid="{6199EB9C-5551-4CEB-BB78-06BA50046568}" name="Column7821"/>
    <tableColumn id="7828" xr3:uid="{01195CA0-7D81-4B3E-B74C-BAA3995667A4}" name="Column7822"/>
    <tableColumn id="7829" xr3:uid="{34674BCE-C63A-4C44-A14D-98F178EC52F4}" name="Column7823"/>
    <tableColumn id="7830" xr3:uid="{89331039-F6A0-44E3-B007-82E5DBC4CB1E}" name="Column7824"/>
    <tableColumn id="7831" xr3:uid="{25649E87-A2D8-49D9-BA6E-BBD13E384C0D}" name="Column7825"/>
    <tableColumn id="7832" xr3:uid="{22014B03-13D5-49FF-8F54-E3B9A5ADAEFF}" name="Column7826"/>
    <tableColumn id="7833" xr3:uid="{3DC7220F-53DB-4E98-8143-409642D7358B}" name="Column7827"/>
    <tableColumn id="7834" xr3:uid="{04B12E1A-E6F9-43CA-A130-8E04FD26B5EC}" name="Column7828"/>
    <tableColumn id="7835" xr3:uid="{F17DA11C-CF4F-434A-B54D-B57AA151865A}" name="Column7829"/>
    <tableColumn id="7836" xr3:uid="{5CEF9C4D-B03E-423C-827D-8D68955ED7F5}" name="Column7830"/>
    <tableColumn id="7837" xr3:uid="{03FD9480-2341-47FC-867D-1334AB1F059A}" name="Column7831"/>
    <tableColumn id="7838" xr3:uid="{7A33FAD5-C9D5-47C3-8B8C-B55AAC508BE7}" name="Column7832"/>
    <tableColumn id="7839" xr3:uid="{3196FD9B-36CB-44C1-958F-918EE09C254B}" name="Column7833"/>
    <tableColumn id="7840" xr3:uid="{790A0D09-82BB-462A-9CF3-411C2AC40B46}" name="Column7834"/>
    <tableColumn id="7841" xr3:uid="{6C4D2218-D2C6-45B3-87A0-E9F8222A2B87}" name="Column7835"/>
    <tableColumn id="7842" xr3:uid="{20DDA10A-9574-4246-9620-F48D5F8D3399}" name="Column7836"/>
    <tableColumn id="7843" xr3:uid="{F446F37D-59C6-4E5D-A042-6727D909D20D}" name="Column7837"/>
    <tableColumn id="7844" xr3:uid="{11A3C1CC-0C8C-4A41-8822-237FD2E1895C}" name="Column7838"/>
    <tableColumn id="7845" xr3:uid="{464E93BF-0C4E-4934-AE5B-ADDAF541D43A}" name="Column7839"/>
    <tableColumn id="7846" xr3:uid="{8B507A73-2560-4EE1-916D-447F8FA39648}" name="Column7840"/>
    <tableColumn id="7847" xr3:uid="{DF730B51-77B7-477B-A844-323A9BF426B9}" name="Column7841"/>
    <tableColumn id="7848" xr3:uid="{16D560D0-B5F6-4A14-A10A-1BEDFC278C9C}" name="Column7842"/>
    <tableColumn id="7849" xr3:uid="{A27F5F76-C6FE-4125-84B6-0EDCDA681414}" name="Column7843"/>
    <tableColumn id="7850" xr3:uid="{F55D0CEA-6A35-4ED1-96C3-5FD3473A851F}" name="Column7844"/>
    <tableColumn id="7851" xr3:uid="{6BA18E06-BEC7-46BF-A36B-07FEB5B95717}" name="Column7845"/>
    <tableColumn id="7852" xr3:uid="{66CB85F8-C9BE-4382-A36E-A28D98654184}" name="Column7846"/>
    <tableColumn id="7853" xr3:uid="{750AD946-F17B-4B5C-8487-D7ADD7D4B46F}" name="Column7847"/>
    <tableColumn id="7854" xr3:uid="{D948381E-3AB3-4F06-AED4-D324503E22A6}" name="Column7848"/>
    <tableColumn id="7855" xr3:uid="{EEA20002-05D3-44F7-BCFC-C41B9D56942E}" name="Column7849"/>
    <tableColumn id="7856" xr3:uid="{44C056E1-5442-4039-A1E4-9EC802382623}" name="Column7850"/>
    <tableColumn id="7857" xr3:uid="{929EEA99-7EB7-45B8-9A3B-EEBF2E93B837}" name="Column7851"/>
    <tableColumn id="7858" xr3:uid="{C564DBB5-7ECA-4EB8-A1DE-C9AEA429BACB}" name="Column7852"/>
    <tableColumn id="7859" xr3:uid="{024D4260-9857-473E-91E2-C84045C86604}" name="Column7853"/>
    <tableColumn id="7860" xr3:uid="{B03230FB-D196-44A3-802F-532CF2B3D35D}" name="Column7854"/>
    <tableColumn id="7861" xr3:uid="{F04231ED-4EE3-4C0E-AB6F-D92B3495975B}" name="Column7855"/>
    <tableColumn id="7862" xr3:uid="{C2FB0A1C-A165-4A44-B9BB-57C4E4E49717}" name="Column7856"/>
    <tableColumn id="7863" xr3:uid="{8E0E29CF-F5E4-4E9D-A8B1-17783D3A35B1}" name="Column7857"/>
    <tableColumn id="7864" xr3:uid="{B33D8A12-7E09-41FC-9B5E-4C611BD0293C}" name="Column7858"/>
    <tableColumn id="7865" xr3:uid="{C469A9A0-B786-4F4D-9289-6D15F1BBB285}" name="Column7859"/>
    <tableColumn id="7866" xr3:uid="{ABE64F7B-C89E-48A9-801D-AE8D3169D6C3}" name="Column7860"/>
    <tableColumn id="7867" xr3:uid="{A522D79C-769E-4323-9ADA-CCA0484A8B0B}" name="Column7861"/>
    <tableColumn id="7868" xr3:uid="{7E971420-1ECD-49C3-9440-B0C2D2060360}" name="Column7862"/>
    <tableColumn id="7869" xr3:uid="{C5B76591-D5F6-484B-BCB9-24F84F435C89}" name="Column7863"/>
    <tableColumn id="7870" xr3:uid="{E07592C6-6090-461C-8FFF-0E335C6D4FAF}" name="Column7864"/>
    <tableColumn id="7871" xr3:uid="{CEF5B7CE-E2FD-4A77-AE1F-92E5F17CA238}" name="Column7865"/>
    <tableColumn id="7872" xr3:uid="{8866135E-C2CB-4E5A-8210-57366C1BE6CC}" name="Column7866"/>
    <tableColumn id="7873" xr3:uid="{A143E14A-074F-4D54-95AB-D2D0C4C3542E}" name="Column7867"/>
    <tableColumn id="7874" xr3:uid="{DCEFCCA7-D867-483E-AA1D-8891BFBDDA37}" name="Column7868"/>
    <tableColumn id="7875" xr3:uid="{4C5E0747-EC44-4C10-85D5-F2DC98B43785}" name="Column7869"/>
    <tableColumn id="7876" xr3:uid="{C255FD1D-5560-4B78-A46A-C8B6D5660AB2}" name="Column7870"/>
    <tableColumn id="7877" xr3:uid="{B9BC7636-7B1E-4BC8-B622-3D813AA6A494}" name="Column7871"/>
    <tableColumn id="7878" xr3:uid="{1D8E4867-A03B-4D94-84BB-6595584B3719}" name="Column7872"/>
    <tableColumn id="7879" xr3:uid="{0F19A8D5-2989-4093-9D83-DE9C38ED37C2}" name="Column7873"/>
    <tableColumn id="7880" xr3:uid="{6E0D37E3-C3FF-49FF-BA0D-D3749FE4DA85}" name="Column7874"/>
    <tableColumn id="7881" xr3:uid="{6A371815-4627-49B7-82D1-10D4E85D35A5}" name="Column7875"/>
    <tableColumn id="7882" xr3:uid="{CD0E953C-BFC5-48AB-B940-E0DF62D09E71}" name="Column7876"/>
    <tableColumn id="7883" xr3:uid="{4CAD5844-C073-4388-B540-6ADFD1261DD3}" name="Column7877"/>
    <tableColumn id="7884" xr3:uid="{34D1F034-B206-4F93-A4C7-D91BD698EFCE}" name="Column7878"/>
    <tableColumn id="7885" xr3:uid="{2FCD28DD-2510-44B5-936E-45E132C69EC1}" name="Column7879"/>
    <tableColumn id="7886" xr3:uid="{0F792E49-2458-47F7-9F3B-4620CB59E695}" name="Column7880"/>
    <tableColumn id="7887" xr3:uid="{EFDBE84F-918B-45FA-8238-2094DCD4C7C6}" name="Column7881"/>
    <tableColumn id="7888" xr3:uid="{52DEC22E-7A50-44B6-922D-F71B9CCDA216}" name="Column7882"/>
    <tableColumn id="7889" xr3:uid="{C30DA705-80B7-4FB5-BACA-21310379C112}" name="Column7883"/>
    <tableColumn id="7890" xr3:uid="{BB5525AE-D408-44B3-9D7F-9610E591C1F1}" name="Column7884"/>
    <tableColumn id="7891" xr3:uid="{031B2ECE-614A-416B-8766-EF71DA697FD2}" name="Column7885"/>
    <tableColumn id="7892" xr3:uid="{C40E91AF-C33F-46A5-8694-C91B983CDEE6}" name="Column7886"/>
    <tableColumn id="7893" xr3:uid="{54B24ED6-EC17-4BAB-8904-06CF73ADDE3D}" name="Column7887"/>
    <tableColumn id="7894" xr3:uid="{038CBFE9-BEF8-49C0-AE0B-63DCA10C34CA}" name="Column7888"/>
    <tableColumn id="7895" xr3:uid="{B538C040-DAF2-4407-8734-55546777BF45}" name="Column7889"/>
    <tableColumn id="7896" xr3:uid="{9B47F67B-5169-4D0D-AF16-A78E3980821B}" name="Column7890"/>
    <tableColumn id="7897" xr3:uid="{7BF30BEE-DF93-41D7-A6AB-D50B26E6381E}" name="Column7891"/>
    <tableColumn id="7898" xr3:uid="{C957C6B6-CEB5-47B7-8556-AE40848A0CD7}" name="Column7892"/>
    <tableColumn id="7899" xr3:uid="{67D4359C-B263-42F7-8DF4-AF55A823EFFB}" name="Column7893"/>
    <tableColumn id="7900" xr3:uid="{B6F0A4A5-7975-4CB0-A022-AE1C0B3D7F8F}" name="Column7894"/>
    <tableColumn id="7901" xr3:uid="{0FEA5E6F-E5D5-49BC-82EE-B330D0669E83}" name="Column7895"/>
    <tableColumn id="7902" xr3:uid="{0BCDBF05-FE5F-4FB1-BEFE-D74EF3A7F5C1}" name="Column7896"/>
    <tableColumn id="7903" xr3:uid="{ECB3835F-3235-491C-AA7C-0239A9AF3F9F}" name="Column7897"/>
    <tableColumn id="7904" xr3:uid="{DBD099D9-9D2F-466E-B86D-8B2F51F1F484}" name="Column7898"/>
    <tableColumn id="7905" xr3:uid="{89E51514-38B5-406D-A1D7-EC5812F39F91}" name="Column7899"/>
    <tableColumn id="7906" xr3:uid="{6A9AA7F5-7939-4801-B9AC-BB40558BF6CA}" name="Column7900"/>
    <tableColumn id="7907" xr3:uid="{6937C7E6-77AC-4A3A-8C80-11CE07925767}" name="Column7901"/>
    <tableColumn id="7908" xr3:uid="{D90E5605-0F05-43D8-B597-63381AECDFFC}" name="Column7902"/>
    <tableColumn id="7909" xr3:uid="{58B9B8D9-8575-49AA-90F1-DE0791C7C629}" name="Column7903"/>
    <tableColumn id="7910" xr3:uid="{95703AB2-CF26-4C5C-BBD9-453A15D06E62}" name="Column7904"/>
    <tableColumn id="7911" xr3:uid="{09ED8D99-0FF0-45EA-A00C-AC07109BF362}" name="Column7905"/>
    <tableColumn id="7912" xr3:uid="{459DF88D-273C-4852-9D43-1E2412D4659D}" name="Column7906"/>
    <tableColumn id="7913" xr3:uid="{7D2CE1E5-A055-4D64-B41F-23A3FE4D87A9}" name="Column7907"/>
    <tableColumn id="7914" xr3:uid="{0534BE80-25B7-4E97-9F76-AFDCE0ADDBED}" name="Column7908"/>
    <tableColumn id="7915" xr3:uid="{B3F3B0BE-7C46-4E5C-B1E5-DFB21D585660}" name="Column7909"/>
    <tableColumn id="7916" xr3:uid="{9ACFBDAF-1726-4BFE-B7EA-B1A089C41DCB}" name="Column7910"/>
    <tableColumn id="7917" xr3:uid="{9017FA67-C162-4C2B-992C-E23A89B4B1B5}" name="Column7911"/>
    <tableColumn id="7918" xr3:uid="{E8598050-F755-4FFA-AC14-436E9FB75B3B}" name="Column7912"/>
    <tableColumn id="7919" xr3:uid="{13543FDF-5F0B-4716-9AC1-38BCF538B533}" name="Column7913"/>
    <tableColumn id="7920" xr3:uid="{33521C9C-D3F6-4A22-B9AB-D8DF7C6FB162}" name="Column7914"/>
    <tableColumn id="7921" xr3:uid="{B98E75E5-F612-4F19-8C2F-B6ECC760D507}" name="Column7915"/>
    <tableColumn id="7922" xr3:uid="{CDF00CC9-4C00-4449-AA11-1CAC5EB18F44}" name="Column7916"/>
    <tableColumn id="7923" xr3:uid="{F18F1AE8-B746-4AC1-9BFB-2618D5CA36FF}" name="Column7917"/>
    <tableColumn id="7924" xr3:uid="{ECA28F32-3347-4CB4-9277-C9A855D4077B}" name="Column7918"/>
    <tableColumn id="7925" xr3:uid="{95D16059-29D5-45D8-AB20-E856A6080C56}" name="Column7919"/>
    <tableColumn id="7926" xr3:uid="{531C8E55-9143-4E99-9335-B385D0F13078}" name="Column7920"/>
    <tableColumn id="7927" xr3:uid="{49924A8B-16A5-4634-8A8D-5CCF61A743A1}" name="Column7921"/>
    <tableColumn id="7928" xr3:uid="{D6522D9D-8C3B-4FAB-B130-06899B8CEF1D}" name="Column7922"/>
    <tableColumn id="7929" xr3:uid="{BF26C0C1-7FBF-473E-B31B-01AB650979F2}" name="Column7923"/>
    <tableColumn id="7930" xr3:uid="{2563A13C-010C-41F1-8950-19343034B0B1}" name="Column7924"/>
    <tableColumn id="7931" xr3:uid="{28D9D2CB-9C8D-4DFA-85F0-8F71CCE3E59C}" name="Column7925"/>
    <tableColumn id="7932" xr3:uid="{A4DACEC3-EFC9-4646-B044-97489166D763}" name="Column7926"/>
    <tableColumn id="7933" xr3:uid="{144F2A4C-2EA0-47CB-8C14-3B68E664DAF8}" name="Column7927"/>
    <tableColumn id="7934" xr3:uid="{E6A81886-0DDC-49DB-9D8C-AF929D6F926D}" name="Column7928"/>
    <tableColumn id="7935" xr3:uid="{5247D4FF-BAAC-4379-A725-FE171825D237}" name="Column7929"/>
    <tableColumn id="7936" xr3:uid="{13461DA9-1A2D-4CBA-AF98-C79C7A35D7FB}" name="Column7930"/>
    <tableColumn id="7937" xr3:uid="{5AD64BE2-6ED5-4A06-93B7-51F300DEF636}" name="Column7931"/>
    <tableColumn id="7938" xr3:uid="{4D307261-6F7A-4F42-89EE-925CB3942F67}" name="Column7932"/>
    <tableColumn id="7939" xr3:uid="{CB430341-C62B-479D-89B0-3AF948B570BC}" name="Column7933"/>
    <tableColumn id="7940" xr3:uid="{C99BFE5C-C402-48FE-B639-406C6A5B1A7B}" name="Column7934"/>
    <tableColumn id="7941" xr3:uid="{CC2F55D0-6275-47A0-BA20-F220EA2302DA}" name="Column7935"/>
    <tableColumn id="7942" xr3:uid="{56C7D762-54E7-41E1-9D27-02E3C44DB33E}" name="Column7936"/>
    <tableColumn id="7943" xr3:uid="{B5AF5645-04B7-4B22-A157-054CC3F7F071}" name="Column7937"/>
    <tableColumn id="7944" xr3:uid="{94802D2A-5626-4D9A-A645-E152E6516935}" name="Column7938"/>
    <tableColumn id="7945" xr3:uid="{BA11F366-6BB1-4B3A-BAA3-348E57A7A42B}" name="Column7939"/>
    <tableColumn id="7946" xr3:uid="{E44BD30D-DD87-4128-86F8-76057FD9199E}" name="Column7940"/>
    <tableColumn id="7947" xr3:uid="{C520E2E1-706B-4377-A45D-2D5C2D97642C}" name="Column7941"/>
    <tableColumn id="7948" xr3:uid="{5F3F1610-BA5E-4FC4-B507-7677C6249B5F}" name="Column7942"/>
    <tableColumn id="7949" xr3:uid="{46D1C445-0144-4E11-8008-C2D67BB23AB2}" name="Column7943"/>
    <tableColumn id="7950" xr3:uid="{13789854-46C3-4F5D-B45C-66EF9F995E26}" name="Column7944"/>
    <tableColumn id="7951" xr3:uid="{B3FB7CBC-D0A5-45BA-BBB3-487F4AF790A8}" name="Column7945"/>
    <tableColumn id="7952" xr3:uid="{4F3DEE7D-6926-4938-943E-6CA64201FD52}" name="Column7946"/>
    <tableColumn id="7953" xr3:uid="{1B40E41B-EAA5-4F1F-8C1C-39AE61D9176F}" name="Column7947"/>
    <tableColumn id="7954" xr3:uid="{4A31FC4B-53E8-4444-B08C-812BEA3FFF25}" name="Column7948"/>
    <tableColumn id="7955" xr3:uid="{C4775728-C052-4B1F-9B2B-FE2AD5A54364}" name="Column7949"/>
    <tableColumn id="7956" xr3:uid="{4171EA69-3FC0-46A6-8E8A-2EBE8F932905}" name="Column7950"/>
    <tableColumn id="7957" xr3:uid="{27F8EE6C-CB90-48E1-A3FE-C3B83479AB14}" name="Column7951"/>
    <tableColumn id="7958" xr3:uid="{FF5D4629-FF65-4F82-ADEF-0C385D15807C}" name="Column7952"/>
    <tableColumn id="7959" xr3:uid="{A30D3968-80F5-447B-A94B-D4CD5FC199ED}" name="Column7953"/>
    <tableColumn id="7960" xr3:uid="{B60DFE6E-E4C1-4B40-AACA-115F10D6E32E}" name="Column7954"/>
    <tableColumn id="7961" xr3:uid="{97DDB138-9A09-4DF4-B0C1-9A663E0F991D}" name="Column7955"/>
    <tableColumn id="7962" xr3:uid="{D39B0B60-92F7-4957-A0C4-A57707541DDA}" name="Column7956"/>
    <tableColumn id="7963" xr3:uid="{2D11E566-A1EB-48C2-91F0-277427F00383}" name="Column7957"/>
    <tableColumn id="7964" xr3:uid="{1BA7BEAD-A289-479D-938B-56DFE15A0CB3}" name="Column7958"/>
    <tableColumn id="7965" xr3:uid="{8F2C636A-2113-4BF5-8982-9BC331509683}" name="Column7959"/>
    <tableColumn id="7966" xr3:uid="{36BD2590-9E6A-496F-A7B3-ED04ED67430A}" name="Column7960"/>
    <tableColumn id="7967" xr3:uid="{FF1CB556-70C0-4739-85FB-A079D7F2549B}" name="Column7961"/>
    <tableColumn id="7968" xr3:uid="{26D52665-3334-4FC0-9610-D8E6380F4492}" name="Column7962"/>
    <tableColumn id="7969" xr3:uid="{AAD9FC77-51DD-4320-88B3-C8D86AC75B2C}" name="Column7963"/>
    <tableColumn id="7970" xr3:uid="{361A98A9-18FF-4680-BA28-ABEEB7A9E99D}" name="Column7964"/>
    <tableColumn id="7971" xr3:uid="{7C42788A-D038-4DC2-BA80-DF52F0BB5D7A}" name="Column7965"/>
    <tableColumn id="7972" xr3:uid="{250FA6FC-9A39-4A9E-A4F5-A5FE19BDD752}" name="Column7966"/>
    <tableColumn id="7973" xr3:uid="{D7128978-1BC0-4D23-ADDE-65DD2E6DAA48}" name="Column7967"/>
    <tableColumn id="7974" xr3:uid="{7C092AC6-1C1D-4700-870F-A935E63D2206}" name="Column7968"/>
    <tableColumn id="7975" xr3:uid="{76F6B851-7D23-4D7C-9C68-09DFA5EF0A79}" name="Column7969"/>
    <tableColumn id="7976" xr3:uid="{A3FFA084-C357-4A64-9951-A4933CE5F0D3}" name="Column7970"/>
    <tableColumn id="7977" xr3:uid="{51428EB3-1397-400E-80CC-A1BEC96E30B9}" name="Column7971"/>
    <tableColumn id="7978" xr3:uid="{9210E9D2-954B-4000-B5AF-E359307A09F7}" name="Column7972"/>
    <tableColumn id="7979" xr3:uid="{F4CAE825-1010-4E5E-820B-DFA3987EE55D}" name="Column7973"/>
    <tableColumn id="7980" xr3:uid="{060683BD-ACA4-402E-8FE5-555ED9011F02}" name="Column7974"/>
    <tableColumn id="7981" xr3:uid="{A9F16779-796D-45F6-9FA6-A18578BFBEE1}" name="Column7975"/>
    <tableColumn id="7982" xr3:uid="{C15AED6A-D125-4352-90B0-AB8A324D1016}" name="Column7976"/>
    <tableColumn id="7983" xr3:uid="{7BDF810D-2DFC-48B5-B103-D19BE8239734}" name="Column7977"/>
    <tableColumn id="7984" xr3:uid="{FB90D61E-DE67-4C94-A936-010BB81135BE}" name="Column7978"/>
    <tableColumn id="7985" xr3:uid="{65840EDF-7274-41CB-87FD-B6283A12C66F}" name="Column7979"/>
    <tableColumn id="7986" xr3:uid="{D7746177-5ABD-4074-9083-3219F7D0C843}" name="Column7980"/>
    <tableColumn id="7987" xr3:uid="{AF2DE4BA-FEFA-4BF1-8C00-7FC555DA9C37}" name="Column7981"/>
    <tableColumn id="7988" xr3:uid="{6914FF64-DF84-451B-9B43-FA30D2CC8FAA}" name="Column7982"/>
    <tableColumn id="7989" xr3:uid="{38E58EB5-8493-4756-8B14-D1D75EB447FA}" name="Column7983"/>
    <tableColumn id="7990" xr3:uid="{ED7777F2-6B2E-4913-AA55-C471CD42E45C}" name="Column7984"/>
    <tableColumn id="7991" xr3:uid="{53D849C7-8C38-4CDC-8CA7-55368E09AD18}" name="Column7985"/>
    <tableColumn id="7992" xr3:uid="{F5F278FA-D27F-4CD4-875C-AF6049625E44}" name="Column7986"/>
    <tableColumn id="7993" xr3:uid="{15854E6D-2A19-46BA-8933-6BDDFF26E50B}" name="Column7987"/>
    <tableColumn id="7994" xr3:uid="{00F35892-D6D6-41DE-92BC-CB3382ADAD52}" name="Column7988"/>
    <tableColumn id="7995" xr3:uid="{9A2DB50B-9DB5-4858-953D-9ED414DDF56B}" name="Column7989"/>
    <tableColumn id="7996" xr3:uid="{D636B4BE-9348-43FD-BF7D-5758D2C9EAEF}" name="Column7990"/>
    <tableColumn id="7997" xr3:uid="{E99CD4A0-55EB-4186-9A68-528A452B94A4}" name="Column7991"/>
    <tableColumn id="7998" xr3:uid="{14B60FEF-13A0-404C-84A3-AA636F3C8452}" name="Column7992"/>
    <tableColumn id="7999" xr3:uid="{F1CE0EDF-D279-452B-96BC-ABF37B10EC37}" name="Column7993"/>
    <tableColumn id="8000" xr3:uid="{E009E802-30A1-4558-AE3E-42B2888463D3}" name="Column7994"/>
    <tableColumn id="8001" xr3:uid="{D5953248-FECE-4EC9-B269-E55814B818F7}" name="Column7995"/>
    <tableColumn id="8002" xr3:uid="{9BF85163-D733-4364-8F10-31B67D9F5F27}" name="Column7996"/>
    <tableColumn id="8003" xr3:uid="{DBF556FD-5AD1-4102-9329-F6803E229E8E}" name="Column7997"/>
    <tableColumn id="8004" xr3:uid="{416770AB-0E71-431D-B314-6BB9E3174509}" name="Column7998"/>
    <tableColumn id="8005" xr3:uid="{7889B671-7A81-4B27-84C3-A7BE0AAE5693}" name="Column7999"/>
    <tableColumn id="8006" xr3:uid="{2E781911-6FC1-4F20-A144-262E8D196B14}" name="Column8000"/>
    <tableColumn id="8007" xr3:uid="{49DB6FA8-C7C4-4B37-A57D-F23918D73A34}" name="Column8001"/>
    <tableColumn id="8008" xr3:uid="{EE9462C3-C133-4D91-A812-28B97F20CCC4}" name="Column8002"/>
    <tableColumn id="8009" xr3:uid="{8E69EE95-BB48-4A8E-8338-FB94DB2DC755}" name="Column8003"/>
    <tableColumn id="8010" xr3:uid="{A0140C0B-C003-4B33-BD7D-63F0FDE72B60}" name="Column8004"/>
    <tableColumn id="8011" xr3:uid="{67EDC903-5EF2-4463-BBB9-649C0CEBD654}" name="Column8005"/>
    <tableColumn id="8012" xr3:uid="{C92472B9-06E6-4964-A090-21553C43FC87}" name="Column8006"/>
    <tableColumn id="8013" xr3:uid="{19501CFA-BA25-4F0A-8D97-24E89AB9A06B}" name="Column8007"/>
    <tableColumn id="8014" xr3:uid="{B796E255-5993-44B5-930C-9D2B5A59F15E}" name="Column8008"/>
    <tableColumn id="8015" xr3:uid="{F5F3782E-E817-4E5F-8378-03C8E7090892}" name="Column8009"/>
    <tableColumn id="8016" xr3:uid="{9F6FAB91-AB51-4040-8BB8-185B17EEEBFE}" name="Column8010"/>
    <tableColumn id="8017" xr3:uid="{D372DE44-C7D4-4339-B022-1A554CD20012}" name="Column8011"/>
    <tableColumn id="8018" xr3:uid="{38155DB2-DF3A-4683-ADC9-D0209F01C80B}" name="Column8012"/>
    <tableColumn id="8019" xr3:uid="{9F3564CC-57F8-43EA-A280-6F68C11C5013}" name="Column8013"/>
    <tableColumn id="8020" xr3:uid="{D57B222C-EC55-4DF2-AFFE-15E6D7A08C85}" name="Column8014"/>
    <tableColumn id="8021" xr3:uid="{A43D750E-41A0-4186-82F1-908264996A90}" name="Column8015"/>
    <tableColumn id="8022" xr3:uid="{E52231AF-E351-4B88-9227-A38B83C9AAFD}" name="Column8016"/>
    <tableColumn id="8023" xr3:uid="{A1389C80-5137-47CD-B4DA-1707C1C226AD}" name="Column8017"/>
    <tableColumn id="8024" xr3:uid="{A8DAB120-7F0A-475C-8DB5-1501AD9E556C}" name="Column8018"/>
    <tableColumn id="8025" xr3:uid="{132F1660-FBBF-4A7B-9518-63DBF5484E06}" name="Column8019"/>
    <tableColumn id="8026" xr3:uid="{C15F7BF1-B5E3-46A9-B51E-CB1C8AD83BFC}" name="Column8020"/>
    <tableColumn id="8027" xr3:uid="{38080785-DD31-46A7-A389-7D5C3C69F66A}" name="Column8021"/>
    <tableColumn id="8028" xr3:uid="{461B5AB0-DBDE-47A4-B2B2-579A5F31CFC0}" name="Column8022"/>
    <tableColumn id="8029" xr3:uid="{DABE34C0-64C6-4050-93CF-B9BAB3C6FF1B}" name="Column8023"/>
    <tableColumn id="8030" xr3:uid="{249871B7-1E4E-489B-A6DB-2890B1DB3C0B}" name="Column8024"/>
    <tableColumn id="8031" xr3:uid="{DAB0F151-B4DC-4B9E-A371-31CFF1CCE45C}" name="Column8025"/>
    <tableColumn id="8032" xr3:uid="{6381994D-169D-4ADA-8FD6-4AA61EDF8671}" name="Column8026"/>
    <tableColumn id="8033" xr3:uid="{85F47442-3161-4B1A-ABF3-AEF448DC4ACE}" name="Column8027"/>
    <tableColumn id="8034" xr3:uid="{FFE56A84-CBC0-4A2E-BAA4-37169A42AED7}" name="Column8028"/>
    <tableColumn id="8035" xr3:uid="{D3560DA6-E78C-4958-85A2-D324A0D51468}" name="Column8029"/>
    <tableColumn id="8036" xr3:uid="{6398B7A4-8CDD-4D5E-89D9-D4A36EB2DD09}" name="Column8030"/>
    <tableColumn id="8037" xr3:uid="{D518A2C0-99B3-4674-83DB-B56C5DA2F494}" name="Column8031"/>
    <tableColumn id="8038" xr3:uid="{4CDF00ED-108A-4F38-8B64-9233B1629D9C}" name="Column8032"/>
    <tableColumn id="8039" xr3:uid="{83346B18-307A-4346-B2FA-0C89051B54DA}" name="Column8033"/>
    <tableColumn id="8040" xr3:uid="{F44AFA53-B373-43C1-88D6-B6D30A4CECE0}" name="Column8034"/>
    <tableColumn id="8041" xr3:uid="{879C76A0-B183-44E5-A454-74AC8F0888A3}" name="Column8035"/>
    <tableColumn id="8042" xr3:uid="{3317A8CE-ABF7-4A88-8B1C-EC38D6D3B26B}" name="Column8036"/>
    <tableColumn id="8043" xr3:uid="{F160E2BD-C5CB-48A4-8F3E-DA41E67E112F}" name="Column8037"/>
    <tableColumn id="8044" xr3:uid="{597C03B7-1792-4EEC-A3AC-2CAFD48C7DE8}" name="Column8038"/>
    <tableColumn id="8045" xr3:uid="{62D85703-8B84-41C0-B0E0-343AE1D600DE}" name="Column8039"/>
    <tableColumn id="8046" xr3:uid="{95D0F0D4-4B45-4961-867D-54039675F827}" name="Column8040"/>
    <tableColumn id="8047" xr3:uid="{91926DD1-B57D-4FA6-8A54-F50B30ACFE2A}" name="Column8041"/>
    <tableColumn id="8048" xr3:uid="{F13919D6-9A86-427A-8D06-7BD31062E911}" name="Column8042"/>
    <tableColumn id="8049" xr3:uid="{5A55A43E-D44E-46D1-B7A5-C73B5E812DF0}" name="Column8043"/>
    <tableColumn id="8050" xr3:uid="{0FC0E71C-0ED7-45B8-8571-07D01291A1A0}" name="Column8044"/>
    <tableColumn id="8051" xr3:uid="{63491970-0202-491A-8947-45954E2CE72D}" name="Column8045"/>
    <tableColumn id="8052" xr3:uid="{0CF6782D-C26F-4FFA-AF8C-56ED698316AB}" name="Column8046"/>
    <tableColumn id="8053" xr3:uid="{D71DD7B3-348D-4B47-ADF5-EE55094B3260}" name="Column8047"/>
    <tableColumn id="8054" xr3:uid="{E903C971-809E-4351-A0D1-B3AA5526CC19}" name="Column8048"/>
    <tableColumn id="8055" xr3:uid="{BC7BE2D6-8EFC-4B31-B92E-15864ABE42C6}" name="Column8049"/>
    <tableColumn id="8056" xr3:uid="{4550B380-6C69-444F-9365-DAE8822EC14D}" name="Column8050"/>
    <tableColumn id="8057" xr3:uid="{D36614AB-B5F1-4006-9B4C-40AD86900A07}" name="Column8051"/>
    <tableColumn id="8058" xr3:uid="{A36FAE54-D27F-4399-B5F7-EA07751AD3BD}" name="Column8052"/>
    <tableColumn id="8059" xr3:uid="{8BFE161E-E38D-4141-A0BB-12CB636A7DF0}" name="Column8053"/>
    <tableColumn id="8060" xr3:uid="{C31B6095-A1C1-4AFA-9DB5-5350F7E1C136}" name="Column8054"/>
    <tableColumn id="8061" xr3:uid="{7C2EEED5-A139-40BC-A8AF-39A1EE841C72}" name="Column8055"/>
    <tableColumn id="8062" xr3:uid="{BFC7368B-1B5E-4CBE-834E-50730072BB95}" name="Column8056"/>
    <tableColumn id="8063" xr3:uid="{CA0F7FB8-7002-45F8-8878-34D35FB70775}" name="Column8057"/>
    <tableColumn id="8064" xr3:uid="{DD88B80A-C489-4718-A492-BBB16AE8EDDE}" name="Column8058"/>
    <tableColumn id="8065" xr3:uid="{9586A687-454B-434B-99CE-9726ED63465F}" name="Column8059"/>
    <tableColumn id="8066" xr3:uid="{456F4CD6-D77D-4465-9EF4-A2BFC37DACFD}" name="Column8060"/>
    <tableColumn id="8067" xr3:uid="{2501DFE9-3A2F-4235-9E6B-0570B05201B6}" name="Column8061"/>
    <tableColumn id="8068" xr3:uid="{DA01C199-1301-4B00-AAC1-7942CD76A814}" name="Column8062"/>
    <tableColumn id="8069" xr3:uid="{333595E4-AF6D-40A3-8D1C-B174B578DE81}" name="Column8063"/>
    <tableColumn id="8070" xr3:uid="{5D266303-081E-49C6-9D7E-606D22B074EC}" name="Column8064"/>
    <tableColumn id="8071" xr3:uid="{82F7AB2E-B33A-4FF7-965C-32A2D3C30F21}" name="Column8065"/>
    <tableColumn id="8072" xr3:uid="{9E81DC3B-BFF7-4CBB-95F7-C3C5CBC31C2E}" name="Column8066"/>
    <tableColumn id="8073" xr3:uid="{96620753-E1F6-4AD0-A8BE-FB60C1AB5845}" name="Column8067"/>
    <tableColumn id="8074" xr3:uid="{66E4861F-1185-498A-A6D4-BDA8DFB702DE}" name="Column8068"/>
    <tableColumn id="8075" xr3:uid="{57ACDBCF-1D4E-49EC-969E-B6D132199B13}" name="Column8069"/>
    <tableColumn id="8076" xr3:uid="{C017D78B-D5C8-4A74-9F0D-E0808E5B00DF}" name="Column8070"/>
    <tableColumn id="8077" xr3:uid="{2CB7AF4E-0A71-436C-9665-E56C43774EDD}" name="Column8071"/>
    <tableColumn id="8078" xr3:uid="{56CB31BA-9134-4A3A-A579-22699EAC0BDC}" name="Column8072"/>
    <tableColumn id="8079" xr3:uid="{FB0971FE-E1F9-410F-9EDD-E36A9061657B}" name="Column8073"/>
    <tableColumn id="8080" xr3:uid="{AC16FC66-F09A-4477-B3D9-0094383F52B3}" name="Column8074"/>
    <tableColumn id="8081" xr3:uid="{D99B740A-E167-4868-AF4B-024F4D1C9058}" name="Column8075"/>
    <tableColumn id="8082" xr3:uid="{54AC8005-CA88-4BD5-A606-D1C72F3E9BD5}" name="Column8076"/>
    <tableColumn id="8083" xr3:uid="{8664FAD4-AE13-484E-87AC-C40E39212535}" name="Column8077"/>
    <tableColumn id="8084" xr3:uid="{CAAF76E4-9113-423E-895C-4A2E2248A264}" name="Column8078"/>
    <tableColumn id="8085" xr3:uid="{81EE6FB5-6350-452A-A192-C54F19583AF2}" name="Column8079"/>
    <tableColumn id="8086" xr3:uid="{D8F36A4E-D6A8-4E43-9B49-ACA3BD2E59AF}" name="Column8080"/>
    <tableColumn id="8087" xr3:uid="{E0049AF6-36B5-40A6-BAE7-2B94E23D826B}" name="Column8081"/>
    <tableColumn id="8088" xr3:uid="{9A3FE870-C6F6-4D26-9077-6B5C1DE58EF7}" name="Column8082"/>
    <tableColumn id="8089" xr3:uid="{3AD28031-76D3-40BD-8B2C-592C1C4BB199}" name="Column8083"/>
    <tableColumn id="8090" xr3:uid="{267FC244-F60E-41B6-BFC4-00F922809660}" name="Column8084"/>
    <tableColumn id="8091" xr3:uid="{B85FF5B5-53DC-4E69-8241-1F8378FE4320}" name="Column8085"/>
    <tableColumn id="8092" xr3:uid="{239533D2-0712-46B1-A3B2-96CE0C3B26C6}" name="Column8086"/>
    <tableColumn id="8093" xr3:uid="{CD774628-297E-4408-B69F-7CCB53AE6B9E}" name="Column8087"/>
    <tableColumn id="8094" xr3:uid="{667EF5E1-CCD0-43FA-8976-0FDAB02B8562}" name="Column8088"/>
    <tableColumn id="8095" xr3:uid="{37ACAC51-FED1-491D-AF77-659E38685A8E}" name="Column8089"/>
    <tableColumn id="8096" xr3:uid="{4A15BC52-8BD6-4682-80DD-65D196B2ED82}" name="Column8090"/>
    <tableColumn id="8097" xr3:uid="{1324270F-A923-4BCB-9289-6505E5FCCF04}" name="Column8091"/>
    <tableColumn id="8098" xr3:uid="{26655083-C61F-4121-B722-2B985B024197}" name="Column8092"/>
    <tableColumn id="8099" xr3:uid="{45C6BCBA-8C9A-4199-9612-0EA9D3CD3E09}" name="Column8093"/>
    <tableColumn id="8100" xr3:uid="{B1297DA5-C9CA-4253-967F-5B671DF54613}" name="Column8094"/>
    <tableColumn id="8101" xr3:uid="{D4C72017-21AE-4F14-AD3B-FB9BDDFF8D76}" name="Column8095"/>
    <tableColumn id="8102" xr3:uid="{803BA684-8F6A-410E-B263-132967C94DA7}" name="Column8096"/>
    <tableColumn id="8103" xr3:uid="{35C06018-EE51-4BCA-84F5-715A37B0AC41}" name="Column8097"/>
    <tableColumn id="8104" xr3:uid="{C64350DB-6853-4C48-8215-B632EBE8DF87}" name="Column8098"/>
    <tableColumn id="8105" xr3:uid="{CD0D3201-9E25-4E96-926C-6306320F6851}" name="Column8099"/>
    <tableColumn id="8106" xr3:uid="{4B6E4BD2-CD7C-419B-8D40-C1EAAB1DC7BD}" name="Column8100"/>
    <tableColumn id="8107" xr3:uid="{989201B0-4632-4B52-99EE-004C393FC323}" name="Column8101"/>
    <tableColumn id="8108" xr3:uid="{04E47B00-C11E-4FF1-9505-4882E4DD64E7}" name="Column8102"/>
    <tableColumn id="8109" xr3:uid="{792F7D02-DA9A-418D-8010-6FE3F6946C8F}" name="Column8103"/>
    <tableColumn id="8110" xr3:uid="{E54F1A59-60AC-4B41-B0B2-BA94FFA9B7B5}" name="Column8104"/>
    <tableColumn id="8111" xr3:uid="{72B6104D-1AD5-4133-BD3E-5D99C15A17FA}" name="Column8105"/>
    <tableColumn id="8112" xr3:uid="{1B4A6328-06A1-40F5-9D5E-C0B0FC96CF58}" name="Column8106"/>
    <tableColumn id="8113" xr3:uid="{1BB9ED29-5098-41CB-ADA0-55AA5BC17134}" name="Column8107"/>
    <tableColumn id="8114" xr3:uid="{6A564D4F-05E1-4214-9C95-B186F0777BF3}" name="Column8108"/>
    <tableColumn id="8115" xr3:uid="{06E9E506-263D-4498-9707-910C845EF41F}" name="Column8109"/>
    <tableColumn id="8116" xr3:uid="{CE133859-BC3F-486C-949F-0852472D7449}" name="Column8110"/>
    <tableColumn id="8117" xr3:uid="{ABFFA031-BE69-449D-B771-33CAD710AE0D}" name="Column8111"/>
    <tableColumn id="8118" xr3:uid="{D2AE0B51-CB1D-46E0-8415-4887E7882E1C}" name="Column8112"/>
    <tableColumn id="8119" xr3:uid="{97DEC80F-1419-436B-8533-6606C5F0CBB4}" name="Column8113"/>
    <tableColumn id="8120" xr3:uid="{B92B4790-EC7D-4CB1-AD6A-29758146DAF1}" name="Column8114"/>
    <tableColumn id="8121" xr3:uid="{047D8ED2-4D58-42D1-8FA7-C771A02D72B9}" name="Column8115"/>
    <tableColumn id="8122" xr3:uid="{9C0366F7-8C8F-471C-9B44-4CEB967BC597}" name="Column8116"/>
    <tableColumn id="8123" xr3:uid="{AE8B8CBE-78E2-4717-8E4A-5237BF6BEFFD}" name="Column8117"/>
    <tableColumn id="8124" xr3:uid="{EA6E018C-DC50-493A-B7BD-5471C486E2E2}" name="Column8118"/>
    <tableColumn id="8125" xr3:uid="{68F2F89F-1F4A-4105-A192-BC8FE82D876F}" name="Column8119"/>
    <tableColumn id="8126" xr3:uid="{D58C3EC9-7180-4329-ACC8-ACA719F1B697}" name="Column8120"/>
    <tableColumn id="8127" xr3:uid="{919869B5-078E-411E-91B6-2632EE89D30C}" name="Column8121"/>
    <tableColumn id="8128" xr3:uid="{28B4EB57-8C14-4B14-BFA9-8D991EA82F0A}" name="Column8122"/>
    <tableColumn id="8129" xr3:uid="{01D73D29-580A-4B97-B5BD-E51B4BD674F6}" name="Column8123"/>
    <tableColumn id="8130" xr3:uid="{C7AB0722-D84A-4713-B600-2521A99FF1AE}" name="Column8124"/>
    <tableColumn id="8131" xr3:uid="{E528FDB8-DDB6-4D4E-B165-8607386F6F00}" name="Column8125"/>
    <tableColumn id="8132" xr3:uid="{C4671443-B75C-4C41-AD4D-EB8687DB5233}" name="Column8126"/>
    <tableColumn id="8133" xr3:uid="{CD5715E6-AD76-4F45-8C16-5B0A2D499A87}" name="Column8127"/>
    <tableColumn id="8134" xr3:uid="{276BB654-2475-4450-9907-BABABE44984A}" name="Column8128"/>
    <tableColumn id="8135" xr3:uid="{FED48270-8972-4603-9EEC-EE73418BF9BB}" name="Column8129"/>
    <tableColumn id="8136" xr3:uid="{0252F7B4-CB81-4B85-9E58-71B994C7A7F4}" name="Column8130"/>
    <tableColumn id="8137" xr3:uid="{E4B7C856-6554-422D-88FA-3C198417B10B}" name="Column8131"/>
    <tableColumn id="8138" xr3:uid="{854BEEFB-0B87-46F0-96EA-AB760FCEE1EC}" name="Column8132"/>
    <tableColumn id="8139" xr3:uid="{9EF0C99D-4655-4277-B8AD-F6987DBA65C4}" name="Column8133"/>
    <tableColumn id="8140" xr3:uid="{0DF9B9BC-F926-468A-8B70-AA6CCF820B2E}" name="Column8134"/>
    <tableColumn id="8141" xr3:uid="{87A6283B-557F-4B67-AC1B-C106083EA458}" name="Column8135"/>
    <tableColumn id="8142" xr3:uid="{113A4FB2-D7AF-48BA-84A7-A815F8F31F30}" name="Column8136"/>
    <tableColumn id="8143" xr3:uid="{20399853-D627-4708-B586-B0B28DC9136A}" name="Column8137"/>
    <tableColumn id="8144" xr3:uid="{DA6855D7-7D9F-4BA9-B39E-C3DCB9AB2F42}" name="Column8138"/>
    <tableColumn id="8145" xr3:uid="{A27BF4C9-8BA7-4AB1-BDBB-36223218D1CC}" name="Column8139"/>
    <tableColumn id="8146" xr3:uid="{E8DD1A2B-3FE2-4B44-8F0F-07ECE396F4CC}" name="Column8140"/>
    <tableColumn id="8147" xr3:uid="{873FD143-84A8-4D4A-B2E4-7FDDC0D0CA36}" name="Column8141"/>
    <tableColumn id="8148" xr3:uid="{FB9D70D6-73C9-4E68-8CB5-9DCC87AEF8A6}" name="Column8142"/>
    <tableColumn id="8149" xr3:uid="{6A511D1D-D780-4C9A-992E-01AF5B6D205E}" name="Column8143"/>
    <tableColumn id="8150" xr3:uid="{44EA32F2-FD51-4B5F-B00C-9FC21B0842A2}" name="Column8144"/>
    <tableColumn id="8151" xr3:uid="{3D8C487F-0EC2-4BDC-9E32-72B0AF9C4D67}" name="Column8145"/>
    <tableColumn id="8152" xr3:uid="{B01A51D7-D4AD-4CDB-A902-576AB75CEB68}" name="Column8146"/>
    <tableColumn id="8153" xr3:uid="{8AE2D2B8-2371-453F-9321-BE22D60B682E}" name="Column8147"/>
    <tableColumn id="8154" xr3:uid="{4D312420-2E4D-4ED0-B206-5E07623D028A}" name="Column8148"/>
    <tableColumn id="8155" xr3:uid="{B97BA15D-315F-4C3E-8308-98322FA81933}" name="Column8149"/>
    <tableColumn id="8156" xr3:uid="{1FC3EA3F-4B7B-4C0C-9246-CA9B26D7ECF9}" name="Column8150"/>
    <tableColumn id="8157" xr3:uid="{0FCD83A2-B191-483F-957D-BA4D8F94DA40}" name="Column8151"/>
    <tableColumn id="8158" xr3:uid="{6E8079A6-C466-4A5C-8A10-DB6E9040BDC8}" name="Column8152"/>
    <tableColumn id="8159" xr3:uid="{E5EECAA5-DD85-4683-B509-57E1DF7E96FA}" name="Column8153"/>
    <tableColumn id="8160" xr3:uid="{0D370C7E-76B2-4B34-9B3E-FBDFFA572C5F}" name="Column8154"/>
    <tableColumn id="8161" xr3:uid="{40B68BD2-A513-41C9-84B6-6136DD2C878D}" name="Column8155"/>
    <tableColumn id="8162" xr3:uid="{B9619792-D434-41A4-912F-CA81DD60950D}" name="Column8156"/>
    <tableColumn id="8163" xr3:uid="{60615867-73AB-4481-B160-58E1F51F8E22}" name="Column8157"/>
    <tableColumn id="8164" xr3:uid="{60F60314-1179-4AE0-B7E3-F6F95C3DB44A}" name="Column8158"/>
    <tableColumn id="8165" xr3:uid="{30AA00DD-5BF6-4C49-9D26-9548035DC6BA}" name="Column8159"/>
    <tableColumn id="8166" xr3:uid="{B7AA78B5-863C-49CC-9F01-67FC217C1512}" name="Column8160"/>
    <tableColumn id="8167" xr3:uid="{41FBB355-9660-4AB5-9020-6014E1CE8151}" name="Column8161"/>
    <tableColumn id="8168" xr3:uid="{EAF62670-9547-462D-86E9-006252DC24EA}" name="Column8162"/>
    <tableColumn id="8169" xr3:uid="{D3581A41-F0BA-4C72-9126-130DFE49B01A}" name="Column8163"/>
    <tableColumn id="8170" xr3:uid="{84833F47-5B0E-4B19-9212-90BDB5CB12A8}" name="Column8164"/>
    <tableColumn id="8171" xr3:uid="{E4B8F594-4C8B-4A04-9B9C-EC25784FFC98}" name="Column8165"/>
    <tableColumn id="8172" xr3:uid="{DD6C4AAD-23A9-48E8-B0CB-EC8CCF3E4BA6}" name="Column8166"/>
    <tableColumn id="8173" xr3:uid="{4739D5DC-80CB-4404-A640-F3EAD89F6B55}" name="Column8167"/>
    <tableColumn id="8174" xr3:uid="{A4BB60A0-1CB0-4A0D-AC07-913C041E7D58}" name="Column8168"/>
    <tableColumn id="8175" xr3:uid="{1765FA34-A85E-4192-A6EF-BCDF8C153DF8}" name="Column8169"/>
    <tableColumn id="8176" xr3:uid="{AD7ABD51-12E7-4096-99D5-37BD6A6477FB}" name="Column8170"/>
    <tableColumn id="8177" xr3:uid="{2F81CA1F-2661-46E9-B363-F2D541285599}" name="Column8171"/>
    <tableColumn id="8178" xr3:uid="{1BAEC175-B97B-4CF4-B11F-2A74235279D2}" name="Column8172"/>
    <tableColumn id="8179" xr3:uid="{25DBBABF-4B50-4634-9BB5-876591C73D9F}" name="Column8173"/>
    <tableColumn id="8180" xr3:uid="{0BDF2721-3571-454C-9B6C-AE697046F87A}" name="Column8174"/>
    <tableColumn id="8181" xr3:uid="{625D0ECE-25A6-46DB-A24A-159AB10ACE3B}" name="Column8175"/>
    <tableColumn id="8182" xr3:uid="{8F70A8C1-E0E3-4183-8B8B-80580C7B6A05}" name="Column8176"/>
    <tableColumn id="8183" xr3:uid="{D8E374FC-7A00-4621-A8D7-A1B43D7FDDCE}" name="Column8177"/>
    <tableColumn id="8184" xr3:uid="{34448EF8-AF50-4600-99F0-3B38063850D0}" name="Column8178"/>
    <tableColumn id="8185" xr3:uid="{056465AB-C83E-47C0-B0BA-CC964E9184AC}" name="Column8179"/>
    <tableColumn id="8186" xr3:uid="{C94C1B2B-7E40-4565-81DE-E7A1D0080048}" name="Column8180"/>
    <tableColumn id="8187" xr3:uid="{B4077171-AAD2-40C7-90E1-D03CCE3875F1}" name="Column8181"/>
    <tableColumn id="8188" xr3:uid="{4CD7492E-923D-47B6-8725-79D5E7757267}" name="Column8182"/>
    <tableColumn id="8189" xr3:uid="{5700D78A-3A1A-49C9-911B-BB3B396728F2}" name="Column8183"/>
    <tableColumn id="8190" xr3:uid="{0E5343A4-619F-4209-928E-BCAB814CA622}" name="Column8184"/>
    <tableColumn id="8191" xr3:uid="{6FA3CE7D-FA8A-4BD9-8755-C18B230E573B}" name="Column8185"/>
    <tableColumn id="8192" xr3:uid="{66BAF230-57AC-42E2-BBAD-7C5458BC02A3}" name="Column8186"/>
    <tableColumn id="8193" xr3:uid="{AA455D98-9FD1-4EF7-9C4A-69FF079101A4}" name="Column8187"/>
    <tableColumn id="8194" xr3:uid="{B37AEF4E-131D-47B6-984F-A8CF61F5AB88}" name="Column8188"/>
    <tableColumn id="8195" xr3:uid="{7F71EB08-380F-4364-AC69-E41A57A4364D}" name="Column8189"/>
    <tableColumn id="8196" xr3:uid="{07707BB4-C954-4179-B46A-DEA67E1629BD}" name="Column8190"/>
    <tableColumn id="8197" xr3:uid="{3128A680-ABAD-47E8-8433-FC54845B3604}" name="Column8191"/>
    <tableColumn id="8198" xr3:uid="{B8253D3B-E987-401E-A6F2-E0AA14D5D738}" name="Column8192"/>
    <tableColumn id="8199" xr3:uid="{AA8D8AAE-E2E7-4076-B55D-C1A1532E5EDE}" name="Column8193"/>
    <tableColumn id="8200" xr3:uid="{D039316E-C2A4-4B67-8BFB-5C499AE53026}" name="Column8194"/>
    <tableColumn id="8201" xr3:uid="{6ECED0A3-6FD5-40F2-AC4D-641DDF46BEFB}" name="Column8195"/>
    <tableColumn id="8202" xr3:uid="{422E2C2C-DAB1-4CE0-A65E-D486D4408FF2}" name="Column8196"/>
    <tableColumn id="8203" xr3:uid="{1F95C5BA-BCA2-4D5C-A51D-51B6ED81A7CA}" name="Column8197"/>
    <tableColumn id="8204" xr3:uid="{AD9DD6DE-B567-426E-8A36-F80EEC85D805}" name="Column8198"/>
    <tableColumn id="8205" xr3:uid="{1D81F878-BE35-4136-9AF6-6017764BF342}" name="Column8199"/>
    <tableColumn id="8206" xr3:uid="{F9339B63-5A75-48A9-9700-9C26BEDD8EC7}" name="Column8200"/>
    <tableColumn id="8207" xr3:uid="{616BF280-F271-4A73-9975-79615A488A19}" name="Column8201"/>
    <tableColumn id="8208" xr3:uid="{36F68A6F-A404-4D29-AC90-31779AA79445}" name="Column8202"/>
    <tableColumn id="8209" xr3:uid="{19AE3C93-484C-4F6D-B919-333AD1DC5505}" name="Column8203"/>
    <tableColumn id="8210" xr3:uid="{A5D04AD7-015F-4834-9921-FA56F4006264}" name="Column8204"/>
    <tableColumn id="8211" xr3:uid="{14867B88-11A4-4CF4-AA96-3B2E6B8F2C7E}" name="Column8205"/>
    <tableColumn id="8212" xr3:uid="{1874F09C-4EAB-47DF-B25F-122BEF60B25A}" name="Column8206"/>
    <tableColumn id="8213" xr3:uid="{02DC2176-6B2B-40E8-B167-4E7227157D0F}" name="Column8207"/>
    <tableColumn id="8214" xr3:uid="{B6FC046C-7D0D-4DBD-974E-8EF57E7026E1}" name="Column8208"/>
    <tableColumn id="8215" xr3:uid="{23F4A3FE-5A75-49B7-AA65-64A9F2067F59}" name="Column8209"/>
    <tableColumn id="8216" xr3:uid="{12919F69-7E24-426F-AB5B-040FE4472A67}" name="Column8210"/>
    <tableColumn id="8217" xr3:uid="{B7C3583C-BD13-49E8-B5B6-60A32D02FF5B}" name="Column8211"/>
    <tableColumn id="8218" xr3:uid="{759D8BC7-8FE7-4058-9D04-8B21EB747AA6}" name="Column8212"/>
    <tableColumn id="8219" xr3:uid="{8D34AB87-09B1-4B97-8104-3A9F2443A104}" name="Column8213"/>
    <tableColumn id="8220" xr3:uid="{37B81063-57ED-432C-932D-2AE869AE78D6}" name="Column8214"/>
    <tableColumn id="8221" xr3:uid="{7F6B98CA-8FF5-4860-90EC-7462CD1DEC55}" name="Column8215"/>
    <tableColumn id="8222" xr3:uid="{3C5EFE2A-A3D9-47C9-81B5-2CA61A1B9382}" name="Column8216"/>
    <tableColumn id="8223" xr3:uid="{7EB8C901-2BE0-400D-8B96-EBB5288CF098}" name="Column8217"/>
    <tableColumn id="8224" xr3:uid="{2DC49EBE-CCEA-44FB-8558-131B45560CA6}" name="Column8218"/>
    <tableColumn id="8225" xr3:uid="{D91A3767-AD78-4F3E-99CC-BF740CDF94CD}" name="Column8219"/>
    <tableColumn id="8226" xr3:uid="{8F25AC06-6FE9-4A28-AF1E-69EA06A4DDB8}" name="Column8220"/>
    <tableColumn id="8227" xr3:uid="{F81DE446-D0F7-4622-B8EC-5ED11A25FA82}" name="Column8221"/>
    <tableColumn id="8228" xr3:uid="{ABDEBB49-E680-496B-B9A3-38694BE111D0}" name="Column8222"/>
    <tableColumn id="8229" xr3:uid="{6B367C36-97DE-4A5C-A9C2-2F789A20ADAE}" name="Column8223"/>
    <tableColumn id="8230" xr3:uid="{7AC32F37-5BA3-4C4B-A3F8-BB684D07144F}" name="Column8224"/>
    <tableColumn id="8231" xr3:uid="{37A96BD0-A291-4F4B-9AB8-F1A74152AAEF}" name="Column8225"/>
    <tableColumn id="8232" xr3:uid="{078675CA-E12E-4009-BD4A-2E43D37F6AFB}" name="Column8226"/>
    <tableColumn id="8233" xr3:uid="{427B7C0A-5A2F-41EF-B27E-38070EF13C6B}" name="Column8227"/>
    <tableColumn id="8234" xr3:uid="{55F171BC-3F0E-4ADB-BA45-7AE480283515}" name="Column8228"/>
    <tableColumn id="8235" xr3:uid="{5300C032-4E22-4A67-98E4-9ACCD6919B87}" name="Column8229"/>
    <tableColumn id="8236" xr3:uid="{236CF827-7116-4F2E-95F6-E0C869DA3F97}" name="Column8230"/>
    <tableColumn id="8237" xr3:uid="{A833B080-0271-4D35-9252-57BAEA0BA2CE}" name="Column8231"/>
    <tableColumn id="8238" xr3:uid="{A8724365-6D07-4260-90F8-855676C2FA93}" name="Column8232"/>
    <tableColumn id="8239" xr3:uid="{5CB76595-E25C-45A7-ACDD-7F86B7E10571}" name="Column8233"/>
    <tableColumn id="8240" xr3:uid="{AD9805E2-174F-4F1C-A54A-39768D77654A}" name="Column8234"/>
    <tableColumn id="8241" xr3:uid="{8060FA7B-3846-4326-A1C3-8161E57E55C3}" name="Column8235"/>
    <tableColumn id="8242" xr3:uid="{EA71CE27-9759-4708-9F72-43A39EF6A124}" name="Column8236"/>
    <tableColumn id="8243" xr3:uid="{E67D9AFB-B372-47D3-A042-157F1F9CBB9C}" name="Column8237"/>
    <tableColumn id="8244" xr3:uid="{3F84CC84-43A8-4182-A5C9-6EF8DD4F8473}" name="Column8238"/>
    <tableColumn id="8245" xr3:uid="{96E77272-6E4D-400F-8890-F518979464EE}" name="Column8239"/>
    <tableColumn id="8246" xr3:uid="{1895B039-436E-43E0-8AFF-60D3981FF491}" name="Column8240"/>
    <tableColumn id="8247" xr3:uid="{216C7C12-7EA7-48BE-92BF-A4EB1238EEE9}" name="Column8241"/>
    <tableColumn id="8248" xr3:uid="{CC477A4D-8375-44BA-A828-979FCD0064F9}" name="Column8242"/>
    <tableColumn id="8249" xr3:uid="{9F1A0B3A-0E50-4178-9CA5-0B6C67B5AB78}" name="Column8243"/>
    <tableColumn id="8250" xr3:uid="{3CB0351B-10B8-4764-B62B-95C083926977}" name="Column8244"/>
    <tableColumn id="8251" xr3:uid="{EF9EB9B7-8019-4164-8659-A115691D46CC}" name="Column8245"/>
    <tableColumn id="8252" xr3:uid="{F58F99A2-A917-44F7-84BA-88C3C42CBA35}" name="Column8246"/>
    <tableColumn id="8253" xr3:uid="{5D787847-467D-43E4-8FDD-70BD747BCB92}" name="Column8247"/>
    <tableColumn id="8254" xr3:uid="{FEFE40D5-81DD-47B3-B251-0084682AA0E6}" name="Column8248"/>
    <tableColumn id="8255" xr3:uid="{8EF369F0-7768-4042-AFEB-772B6F15401A}" name="Column8249"/>
    <tableColumn id="8256" xr3:uid="{C2F5877F-925E-4AB1-A900-A9B925B8BF4A}" name="Column8250"/>
    <tableColumn id="8257" xr3:uid="{26E07667-0361-4D84-BF85-639BCB0A4AD8}" name="Column8251"/>
    <tableColumn id="8258" xr3:uid="{B5C431BF-859E-4410-9A8E-63E15BBAC247}" name="Column8252"/>
    <tableColumn id="8259" xr3:uid="{595E524B-E91F-415B-B489-9459872EDE3B}" name="Column8253"/>
    <tableColumn id="8260" xr3:uid="{27B0163F-AF8C-4A4B-A495-357CC6009FB1}" name="Column8254"/>
    <tableColumn id="8261" xr3:uid="{F2987122-4ACF-457A-973A-1B28CE1812BF}" name="Column8255"/>
    <tableColumn id="8262" xr3:uid="{DE6380DB-7A24-4804-A2A0-0645DE794503}" name="Column8256"/>
    <tableColumn id="8263" xr3:uid="{BE0AF7B5-89A6-49BF-A160-1DCF295BB2B0}" name="Column8257"/>
    <tableColumn id="8264" xr3:uid="{B7E53E45-6AD3-44F8-990D-25367889EA81}" name="Column8258"/>
    <tableColumn id="8265" xr3:uid="{DF8BEAF6-9DB3-4225-8E6C-413720C2C067}" name="Column8259"/>
    <tableColumn id="8266" xr3:uid="{A65A4706-CD24-4520-B2FF-AE2C135D7E89}" name="Column8260"/>
    <tableColumn id="8267" xr3:uid="{790A397B-DBD3-4185-9B4C-D81403D1BB4F}" name="Column8261"/>
    <tableColumn id="8268" xr3:uid="{C7077924-4892-47F5-883B-55859E02EE45}" name="Column8262"/>
    <tableColumn id="8269" xr3:uid="{ADCCC46E-F92A-448D-984F-433FE88AA561}" name="Column8263"/>
    <tableColumn id="8270" xr3:uid="{FACD6DCB-66C3-4B95-978A-E8F822785334}" name="Column8264"/>
    <tableColumn id="8271" xr3:uid="{07570354-4BAA-4D0B-A89B-AC95265ED703}" name="Column8265"/>
    <tableColumn id="8272" xr3:uid="{64B6631D-A804-479E-A6F6-B65747C6E3AE}" name="Column8266"/>
    <tableColumn id="8273" xr3:uid="{2A1918B7-983C-4437-82E3-41E530D29347}" name="Column8267"/>
    <tableColumn id="8274" xr3:uid="{4524C5EC-72A0-4988-B7AD-173E59A9F2D1}" name="Column8268"/>
    <tableColumn id="8275" xr3:uid="{6535AB7F-2AB3-4B5F-A77B-142C8051DBE5}" name="Column8269"/>
    <tableColumn id="8276" xr3:uid="{B8BAB342-3E1F-48BC-AC15-C9C766BA9B76}" name="Column8270"/>
    <tableColumn id="8277" xr3:uid="{4B81DC5C-EE3C-44CA-8861-475D8FD8029D}" name="Column8271"/>
    <tableColumn id="8278" xr3:uid="{A8CA7421-DCE8-4735-8CA9-8CE73F9A6E6C}" name="Column8272"/>
    <tableColumn id="8279" xr3:uid="{34494FF5-C136-4573-84B0-3428CF641A2D}" name="Column8273"/>
    <tableColumn id="8280" xr3:uid="{546F6D7A-7C0F-44D6-A0B3-721D1B68500A}" name="Column8274"/>
    <tableColumn id="8281" xr3:uid="{36F75C03-43F4-4E6B-9C88-D5CDC3AF2A8D}" name="Column8275"/>
    <tableColumn id="8282" xr3:uid="{C6CA7332-8B4A-4E2E-BDA0-C1E189027FF1}" name="Column8276"/>
    <tableColumn id="8283" xr3:uid="{49E6613B-CB3C-453B-B9EF-2CFD055D2C97}" name="Column8277"/>
    <tableColumn id="8284" xr3:uid="{FE048903-5AC2-4113-A4FA-BC8386473BEA}" name="Column8278"/>
    <tableColumn id="8285" xr3:uid="{384E928C-8DC4-4048-AFFC-550C246E8B91}" name="Column8279"/>
    <tableColumn id="8286" xr3:uid="{63D9D1D1-5BDF-4083-B57B-9992A17907BE}" name="Column8280"/>
    <tableColumn id="8287" xr3:uid="{7B644194-97EE-4F57-BE22-E035B991462D}" name="Column8281"/>
    <tableColumn id="8288" xr3:uid="{F1CD0D71-F9CE-4496-9F60-321F1050665A}" name="Column8282"/>
    <tableColumn id="8289" xr3:uid="{03EB0A16-F49B-4763-A5AC-1B212EC541B0}" name="Column8283"/>
    <tableColumn id="8290" xr3:uid="{0C681613-D9BA-425A-AD2D-C559BA88FB7A}" name="Column8284"/>
    <tableColumn id="8291" xr3:uid="{2E3D7B35-0DC9-4DDD-951A-9E36D02AC6FB}" name="Column8285"/>
    <tableColumn id="8292" xr3:uid="{60B26AA0-1A00-489F-B232-1DC8A78D7F48}" name="Column8286"/>
    <tableColumn id="8293" xr3:uid="{888597A8-D16D-489B-A7D9-67DF07B5DC30}" name="Column8287"/>
    <tableColumn id="8294" xr3:uid="{019969BD-7CE9-4843-A3B8-5F1EAA82CFE7}" name="Column8288"/>
    <tableColumn id="8295" xr3:uid="{2ED0E473-295D-4BA5-B448-F70A0B8BEB99}" name="Column8289"/>
    <tableColumn id="8296" xr3:uid="{F8FCB4A9-2140-47EA-A790-6151DC15386F}" name="Column8290"/>
    <tableColumn id="8297" xr3:uid="{72F97E91-8928-4F01-9FC8-64C3AAA8D4F6}" name="Column8291"/>
    <tableColumn id="8298" xr3:uid="{86710EF8-1488-4BAB-8D4F-23D2229B0ED9}" name="Column8292"/>
    <tableColumn id="8299" xr3:uid="{9E5EB468-EC21-4F6A-8F52-9D0287279357}" name="Column8293"/>
    <tableColumn id="8300" xr3:uid="{84ECC583-DBB4-4196-A3A7-EC3E41EFA6F8}" name="Column8294"/>
    <tableColumn id="8301" xr3:uid="{4D62C313-1CD7-4F14-B5DD-22C3C30A3423}" name="Column8295"/>
    <tableColumn id="8302" xr3:uid="{CF0B0A1D-4B96-4DFA-8440-271A5F9D071D}" name="Column8296"/>
    <tableColumn id="8303" xr3:uid="{95C3DB83-58EE-4053-A39F-2162A3E5EF1B}" name="Column8297"/>
    <tableColumn id="8304" xr3:uid="{241881DF-E4C2-4978-A7EC-792C8BFF4754}" name="Column8298"/>
    <tableColumn id="8305" xr3:uid="{B595DF36-9222-4C92-8EE8-1100F1B0E52C}" name="Column8299"/>
    <tableColumn id="8306" xr3:uid="{BC1EF188-FCA9-4ED0-A8ED-B3949DBDAF2B}" name="Column8300"/>
    <tableColumn id="8307" xr3:uid="{FE2E14EB-E8A7-4993-BE31-E8F2D93D5304}" name="Column8301"/>
    <tableColumn id="8308" xr3:uid="{0C496A54-9ECE-4AC1-8793-F57F1965C040}" name="Column8302"/>
    <tableColumn id="8309" xr3:uid="{9D3D641B-812F-4104-AB63-F04C11C130A3}" name="Column8303"/>
    <tableColumn id="8310" xr3:uid="{95CEEA93-0721-4052-8E1E-A3AD088A344E}" name="Column8304"/>
    <tableColumn id="8311" xr3:uid="{6DA96297-D186-4B48-905E-C3A26E9F884A}" name="Column8305"/>
    <tableColumn id="8312" xr3:uid="{7DCA59BF-4512-4650-9A7C-C6767DB2239A}" name="Column8306"/>
    <tableColumn id="8313" xr3:uid="{2779D20F-37DD-4A99-8CDB-A96057B50376}" name="Column8307"/>
    <tableColumn id="8314" xr3:uid="{A4F93C3E-02C5-4386-ABA5-C6DEA48B2C5C}" name="Column8308"/>
    <tableColumn id="8315" xr3:uid="{AC4E3188-49F0-4587-9CED-0D00CAC8C360}" name="Column8309"/>
    <tableColumn id="8316" xr3:uid="{0D256742-788C-4E41-97BC-6AC4CA99C610}" name="Column8310"/>
    <tableColumn id="8317" xr3:uid="{CDB3CA51-8663-4985-A671-A309E298B43B}" name="Column8311"/>
    <tableColumn id="8318" xr3:uid="{A6C1DE17-9E58-445B-9154-7DDF493E749F}" name="Column8312"/>
    <tableColumn id="8319" xr3:uid="{D0848A82-0ED2-456A-AA8C-C3AC73DA2101}" name="Column8313"/>
    <tableColumn id="8320" xr3:uid="{F49693BA-EBA4-405B-9674-8D23C48E4CCA}" name="Column8314"/>
    <tableColumn id="8321" xr3:uid="{6D78364D-B38C-465E-87D2-2A516E59B3CD}" name="Column8315"/>
    <tableColumn id="8322" xr3:uid="{AC048723-7CD1-4590-8CAF-877919B8FCDD}" name="Column8316"/>
    <tableColumn id="8323" xr3:uid="{00B1D8E3-4DDB-48A8-B6E8-54354755AA46}" name="Column8317"/>
    <tableColumn id="8324" xr3:uid="{C6A18B0F-9803-4F55-8783-2C9A305307DE}" name="Column8318"/>
    <tableColumn id="8325" xr3:uid="{03582C88-1B1D-4260-B550-081857FE2115}" name="Column8319"/>
    <tableColumn id="8326" xr3:uid="{0EF11B6D-2C4F-422C-BC0D-FAA8ADAD4556}" name="Column8320"/>
    <tableColumn id="8327" xr3:uid="{969E44B5-93FA-49F6-9B9F-69EF33D6A5DF}" name="Column8321"/>
    <tableColumn id="8328" xr3:uid="{06DE1352-9D97-45FE-89EB-6770395C241D}" name="Column8322"/>
    <tableColumn id="8329" xr3:uid="{B86E4656-6981-46F6-BFED-BE9E3DFBF9B5}" name="Column8323"/>
    <tableColumn id="8330" xr3:uid="{6B56382E-91E2-4A34-B24F-817264AD3E1C}" name="Column8324"/>
    <tableColumn id="8331" xr3:uid="{EE63DF5B-2DCF-48E4-A36C-E49B99900A19}" name="Column8325"/>
    <tableColumn id="8332" xr3:uid="{73E86656-3DBD-4EAF-BE0D-D18D89AA5B46}" name="Column8326"/>
    <tableColumn id="8333" xr3:uid="{A58247B5-DFF8-4F24-819C-9B1A9198224C}" name="Column8327"/>
    <tableColumn id="8334" xr3:uid="{9CD9A673-73DC-4304-80F1-ECA1C28D68C9}" name="Column8328"/>
    <tableColumn id="8335" xr3:uid="{8BC7BF14-51EF-49C0-A558-3E08D57A7E85}" name="Column8329"/>
    <tableColumn id="8336" xr3:uid="{74EFEEEE-80A9-4C0B-B531-67284B2A0FE0}" name="Column8330"/>
    <tableColumn id="8337" xr3:uid="{500A4CC5-1D48-4B7B-853F-3628215790AD}" name="Column8331"/>
    <tableColumn id="8338" xr3:uid="{F9E1E396-C301-43D7-BA79-DFBA0EA92BA8}" name="Column8332"/>
    <tableColumn id="8339" xr3:uid="{9EF077D3-F3BC-488E-BFDA-C9725E5703F3}" name="Column8333"/>
    <tableColumn id="8340" xr3:uid="{B1515FE8-0C9A-465D-9034-6179C9A354B5}" name="Column8334"/>
    <tableColumn id="8341" xr3:uid="{02022BED-0CA2-437C-AC4C-91B42A9D0221}" name="Column8335"/>
    <tableColumn id="8342" xr3:uid="{DDA937CF-B2BD-4C07-A335-9721DE86858E}" name="Column8336"/>
    <tableColumn id="8343" xr3:uid="{ACB228E0-0A53-468C-A9E1-A253A9D82312}" name="Column8337"/>
    <tableColumn id="8344" xr3:uid="{329AC3F2-8BBE-4BA4-AAEC-10A562739ED2}" name="Column8338"/>
    <tableColumn id="8345" xr3:uid="{1E1E6963-7A6C-413C-ABFF-09A68C7BC7FE}" name="Column8339"/>
    <tableColumn id="8346" xr3:uid="{6FCC0214-1DF1-4D19-B4F5-3ACEB9B56C16}" name="Column8340"/>
    <tableColumn id="8347" xr3:uid="{2C058375-C98E-462D-BEBB-B959933829F6}" name="Column8341"/>
    <tableColumn id="8348" xr3:uid="{F5ECEA2C-5A6A-40B8-BF75-606FD90080A1}" name="Column8342"/>
    <tableColumn id="8349" xr3:uid="{0FA94013-CA0E-4708-A388-970437BEFA0C}" name="Column8343"/>
    <tableColumn id="8350" xr3:uid="{D5B03E05-69F6-489F-BFC7-142B7E5F3B44}" name="Column8344"/>
    <tableColumn id="8351" xr3:uid="{080FA228-ECD9-41C8-AB4C-2FB235E8B9D0}" name="Column8345"/>
    <tableColumn id="8352" xr3:uid="{0B9FEC7E-F87A-44E4-82CA-955CA8B48D84}" name="Column8346"/>
    <tableColumn id="8353" xr3:uid="{56E0E123-2876-4CB0-AA1C-98200F8D0A19}" name="Column8347"/>
    <tableColumn id="8354" xr3:uid="{B2A07494-FB42-44BD-B874-BE70FF893D2A}" name="Column8348"/>
    <tableColumn id="8355" xr3:uid="{8B4067A1-1EA6-499F-A6C4-6C858C7E02D2}" name="Column8349"/>
    <tableColumn id="8356" xr3:uid="{0812FF91-ABFA-4390-B01F-795D216DB93B}" name="Column8350"/>
    <tableColumn id="8357" xr3:uid="{43E5E50A-4BF2-498C-A164-21AC73050D77}" name="Column8351"/>
    <tableColumn id="8358" xr3:uid="{005A4374-FE71-4418-A83E-40D395DB4003}" name="Column8352"/>
    <tableColumn id="8359" xr3:uid="{6D078732-39F9-443A-A767-FBC862CFD8F1}" name="Column8353"/>
    <tableColumn id="8360" xr3:uid="{80663C32-3859-40A6-BF23-1BBD157576B8}" name="Column8354"/>
    <tableColumn id="8361" xr3:uid="{53EED799-FA03-40B8-8249-218A3BB8DCD5}" name="Column8355"/>
    <tableColumn id="8362" xr3:uid="{7A89E155-E2EB-4C6E-8640-74B531571148}" name="Column8356"/>
    <tableColumn id="8363" xr3:uid="{4BD449AB-1802-406E-83EB-DCA048EAECFC}" name="Column8357"/>
    <tableColumn id="8364" xr3:uid="{B66D8F57-C084-4A85-AEB3-4C7F2C53B32B}" name="Column8358"/>
    <tableColumn id="8365" xr3:uid="{1CA44DF7-C6A6-45A7-817C-E20CC336A0E1}" name="Column8359"/>
    <tableColumn id="8366" xr3:uid="{E7F2AA3C-476C-45D7-B5F7-3BEEF6F96658}" name="Column8360"/>
    <tableColumn id="8367" xr3:uid="{CC78F1B2-10B0-48FD-8519-6844ACEDB760}" name="Column8361"/>
    <tableColumn id="8368" xr3:uid="{DE020497-B0D7-4A5D-B85C-E3147747F079}" name="Column8362"/>
    <tableColumn id="8369" xr3:uid="{ED712CD3-1AFD-4BD6-AC87-F5BA5DD6DC82}" name="Column8363"/>
    <tableColumn id="8370" xr3:uid="{CFFD2AD8-6D4B-44D2-A1BC-4392135598F1}" name="Column8364"/>
    <tableColumn id="8371" xr3:uid="{62BABDEF-553D-456C-A8D4-353EBFF661BA}" name="Column8365"/>
    <tableColumn id="8372" xr3:uid="{509494E6-6C47-4372-8528-DC7742A31E2D}" name="Column8366"/>
    <tableColumn id="8373" xr3:uid="{1F5670AB-14DA-4047-939B-51F72D0ECF1E}" name="Column8367"/>
    <tableColumn id="8374" xr3:uid="{AB6DCEDC-2677-4DAA-8FE7-2795699D90B3}" name="Column8368"/>
    <tableColumn id="8375" xr3:uid="{64FCB2C8-A9CA-4808-9E55-E880CB5237A9}" name="Column8369"/>
    <tableColumn id="8376" xr3:uid="{0B17634A-52F5-4C87-A02E-4CC7FE804ECB}" name="Column8370"/>
    <tableColumn id="8377" xr3:uid="{A05731A4-C166-400B-B9F3-701DC1020571}" name="Column8371"/>
    <tableColumn id="8378" xr3:uid="{E20C53D4-A273-4E26-9407-4249CA549243}" name="Column8372"/>
    <tableColumn id="8379" xr3:uid="{008F4C44-B189-4AE9-9D71-5D6A936A6882}" name="Column8373"/>
    <tableColumn id="8380" xr3:uid="{EFB0997E-3078-4B50-B4F2-A1FFA213C31A}" name="Column8374"/>
    <tableColumn id="8381" xr3:uid="{2E4F4322-B062-4427-8F17-9DADBB2BAE64}" name="Column8375"/>
    <tableColumn id="8382" xr3:uid="{41ECCCA0-4574-4031-99AF-699AAE6F5D4B}" name="Column8376"/>
    <tableColumn id="8383" xr3:uid="{AF8A42A9-4CAE-4E62-813A-0839981BEE57}" name="Column8377"/>
    <tableColumn id="8384" xr3:uid="{0AD8997D-42E2-4C90-8C22-A6E412C9B9F7}" name="Column8378"/>
    <tableColumn id="8385" xr3:uid="{8A1403A8-DBB3-43BA-9386-D4DAF853A9DF}" name="Column8379"/>
    <tableColumn id="8386" xr3:uid="{46496529-DAE1-4591-90E4-11AAF88A806C}" name="Column8380"/>
    <tableColumn id="8387" xr3:uid="{51D3E312-433D-42C0-AFFE-0E4E75358E1E}" name="Column8381"/>
    <tableColumn id="8388" xr3:uid="{60A54422-1742-40C7-BFE0-F18D83F9CE5B}" name="Column8382"/>
    <tableColumn id="8389" xr3:uid="{B4993137-C133-4634-8DAA-2F75AA869056}" name="Column8383"/>
    <tableColumn id="8390" xr3:uid="{576B7E65-986D-432F-BF4F-62FFF81064B0}" name="Column8384"/>
    <tableColumn id="8391" xr3:uid="{04EC2F84-CC1F-48A2-B6CF-FDCAEBE20B68}" name="Column8385"/>
    <tableColumn id="8392" xr3:uid="{7F802D4F-D4C4-4A16-B744-81147FEA0D3D}" name="Column8386"/>
    <tableColumn id="8393" xr3:uid="{CC0A68B8-43BE-424B-A9D5-F5B206828391}" name="Column8387"/>
    <tableColumn id="8394" xr3:uid="{8661C1AE-F1F8-4A46-BF23-5BB397C59732}" name="Column8388"/>
    <tableColumn id="8395" xr3:uid="{A9E69874-76E0-485D-BDA9-5B711201BE6C}" name="Column8389"/>
    <tableColumn id="8396" xr3:uid="{ED86EE3D-0862-4DE3-9E33-A72B4D457F00}" name="Column8390"/>
    <tableColumn id="8397" xr3:uid="{EB7C728D-7CF4-4458-A61F-6F4BEB11AE91}" name="Column8391"/>
    <tableColumn id="8398" xr3:uid="{31AF2BC4-9A83-4652-A9E5-376FE30DA458}" name="Column8392"/>
    <tableColumn id="8399" xr3:uid="{E8B47D80-5B45-4ED4-9458-DDE654CFE896}" name="Column8393"/>
    <tableColumn id="8400" xr3:uid="{2BF2416C-0550-4802-96B0-26629FA028C1}" name="Column8394"/>
    <tableColumn id="8401" xr3:uid="{963D4C7D-0537-414A-80AA-3116C118DB8C}" name="Column8395"/>
    <tableColumn id="8402" xr3:uid="{AA872FAD-BE71-4E76-A587-5913D0B9A45E}" name="Column8396"/>
    <tableColumn id="8403" xr3:uid="{0C7989AE-059B-45AF-80F5-9C6C38845EB1}" name="Column8397"/>
    <tableColumn id="8404" xr3:uid="{CFE40543-394C-4365-BF24-52BF2606B805}" name="Column8398"/>
    <tableColumn id="8405" xr3:uid="{ED34E57A-EBBD-4256-9A3D-4ADA7771C9C3}" name="Column8399"/>
    <tableColumn id="8406" xr3:uid="{88C60A42-89A6-4DB3-9F43-4C3C4E97B1D3}" name="Column8400"/>
    <tableColumn id="8407" xr3:uid="{A7319939-950E-4D6C-B6D2-A7630CF091FC}" name="Column8401"/>
    <tableColumn id="8408" xr3:uid="{47C53C22-3A3B-4C73-94ED-6585DFFB42A9}" name="Column8402"/>
    <tableColumn id="8409" xr3:uid="{358D7294-A597-4E49-B0DC-FBCCF73B5959}" name="Column8403"/>
    <tableColumn id="8410" xr3:uid="{A901FC37-5B9F-4B65-BE5E-72A789B9ACCA}" name="Column8404"/>
    <tableColumn id="8411" xr3:uid="{EF44D908-0748-49AF-911E-4F7D3896D0AE}" name="Column8405"/>
    <tableColumn id="8412" xr3:uid="{7AAE0567-AFEB-4418-8106-B952BD15ED97}" name="Column8406"/>
    <tableColumn id="8413" xr3:uid="{6A8DF105-7EB6-48F2-B84D-71E09D97F469}" name="Column8407"/>
    <tableColumn id="8414" xr3:uid="{D5CAEA74-ABCB-4B4A-BD89-E1EDB91D4CB6}" name="Column8408"/>
    <tableColumn id="8415" xr3:uid="{6139BFF4-D7E5-4404-A12D-9C9EC153F804}" name="Column8409"/>
    <tableColumn id="8416" xr3:uid="{1C85D926-22CF-4B45-ADBA-880D8B66051F}" name="Column8410"/>
    <tableColumn id="8417" xr3:uid="{57938E12-A60E-4D2E-8C7F-B0930ECB0FF0}" name="Column8411"/>
    <tableColumn id="8418" xr3:uid="{ED3389C3-B4BE-4D2F-9CBA-FEB7B40C7682}" name="Column8412"/>
    <tableColumn id="8419" xr3:uid="{08A7D666-82A5-43E9-975E-7E28F4A624A5}" name="Column8413"/>
    <tableColumn id="8420" xr3:uid="{7ADBAC58-AFAE-4B80-8C8B-2EFE7483AABE}" name="Column8414"/>
    <tableColumn id="8421" xr3:uid="{9B3C75F0-3EA8-4410-8E18-30A17B8CFF94}" name="Column8415"/>
    <tableColumn id="8422" xr3:uid="{877E3B66-A579-4441-8CEB-954A1AB1560B}" name="Column8416"/>
    <tableColumn id="8423" xr3:uid="{085BB4F8-C322-44C0-B187-85E9C52AF82C}" name="Column8417"/>
    <tableColumn id="8424" xr3:uid="{26E73CD2-F2BD-4545-8D02-B81B7D7849D3}" name="Column8418"/>
    <tableColumn id="8425" xr3:uid="{400F916B-51B8-4785-AEF1-3B37BDD142D4}" name="Column8419"/>
    <tableColumn id="8426" xr3:uid="{2ED650E1-C82A-4600-B426-51FAA052C364}" name="Column8420"/>
    <tableColumn id="8427" xr3:uid="{1AE526B2-079E-47B3-8871-FE7D49F75170}" name="Column8421"/>
    <tableColumn id="8428" xr3:uid="{AF8B921A-1AC6-4305-848F-D853E112EBCC}" name="Column8422"/>
    <tableColumn id="8429" xr3:uid="{C42FA424-F415-4602-9DE6-27496D1582E8}" name="Column8423"/>
    <tableColumn id="8430" xr3:uid="{5D781A38-414D-45A5-B2A1-03BD6456B846}" name="Column8424"/>
    <tableColumn id="8431" xr3:uid="{15141E8B-BA9A-4BF9-B5EF-8C93E0D7FA1F}" name="Column8425"/>
    <tableColumn id="8432" xr3:uid="{5C757258-6959-4461-A5C7-B0CB35240218}" name="Column8426"/>
    <tableColumn id="8433" xr3:uid="{D442ADF5-01F7-463A-ADD3-2E93C7F4DC9C}" name="Column8427"/>
    <tableColumn id="8434" xr3:uid="{1D4F8134-600A-476D-BC5B-452E8BFCC476}" name="Column8428"/>
    <tableColumn id="8435" xr3:uid="{BDA5C207-6CC0-4A8A-AE17-3E2EA8683864}" name="Column8429"/>
    <tableColumn id="8436" xr3:uid="{BA90484D-C264-4097-8F6A-3E60AFF8FD5A}" name="Column8430"/>
    <tableColumn id="8437" xr3:uid="{D61C7B62-3359-40CD-926C-0B9E6DFF0CC4}" name="Column8431"/>
    <tableColumn id="8438" xr3:uid="{BE44A3F6-5408-4AF2-BE1D-BE5457F3604C}" name="Column8432"/>
    <tableColumn id="8439" xr3:uid="{0DE584FA-F733-4DC7-95F4-A9B0229CDEDE}" name="Column8433"/>
    <tableColumn id="8440" xr3:uid="{8E1A636E-E73A-410F-86A2-E266682A7558}" name="Column8434"/>
    <tableColumn id="8441" xr3:uid="{65174D61-54F4-43C4-B115-C28E93A7E973}" name="Column8435"/>
    <tableColumn id="8442" xr3:uid="{D0D7FC6A-D0FB-41F1-A0BF-A2D01CD515BE}" name="Column8436"/>
    <tableColumn id="8443" xr3:uid="{85A5175B-43CB-4C9D-A8A4-0982546ED4FD}" name="Column8437"/>
    <tableColumn id="8444" xr3:uid="{A94D70F3-3CCD-4C41-830D-84CD8E677AC9}" name="Column8438"/>
    <tableColumn id="8445" xr3:uid="{208F07D9-3EFD-4D66-AFC4-5CAB85C528FB}" name="Column8439"/>
    <tableColumn id="8446" xr3:uid="{6FD2D7EF-7E7B-48B6-A118-7CA9BA89BAE1}" name="Column8440"/>
    <tableColumn id="8447" xr3:uid="{CDB560C4-2446-4C58-A8DC-8A2E19ACFBA1}" name="Column8441"/>
    <tableColumn id="8448" xr3:uid="{FE2B543B-869C-4446-BC9A-241FC6733C23}" name="Column8442"/>
    <tableColumn id="8449" xr3:uid="{2A772781-645B-464F-810D-15F45208A792}" name="Column8443"/>
    <tableColumn id="8450" xr3:uid="{EC88F7AE-67F6-49E2-BDCB-80BD91E032B2}" name="Column8444"/>
    <tableColumn id="8451" xr3:uid="{4471FB4A-4F27-4D32-8E82-150436106D20}" name="Column8445"/>
    <tableColumn id="8452" xr3:uid="{834963AD-A610-4F8A-908A-5E33A0D15D39}" name="Column8446"/>
    <tableColumn id="8453" xr3:uid="{A7F6A164-E825-4960-8B42-DD1EB971705B}" name="Column8447"/>
    <tableColumn id="8454" xr3:uid="{6D766A0F-25AE-4BF6-9D4F-82DF930624FF}" name="Column8448"/>
    <tableColumn id="8455" xr3:uid="{7A6A058B-C6CB-4E56-B175-56A9E266504A}" name="Column8449"/>
    <tableColumn id="8456" xr3:uid="{6AF49AE7-5A1E-4AED-B836-F3813B4F709C}" name="Column8450"/>
    <tableColumn id="8457" xr3:uid="{867F0C90-8EEA-4C8F-84A6-690941A1EB47}" name="Column8451"/>
    <tableColumn id="8458" xr3:uid="{CF301CCE-1EC7-481B-9481-7268FDAB8B9F}" name="Column8452"/>
    <tableColumn id="8459" xr3:uid="{0E03812D-537F-4F25-B86A-04A5AEA7FF75}" name="Column8453"/>
    <tableColumn id="8460" xr3:uid="{82F68F58-517C-4598-8F31-4C4C5A6293A4}" name="Column8454"/>
    <tableColumn id="8461" xr3:uid="{721510C6-CB40-445C-94D2-9C602529C25F}" name="Column8455"/>
    <tableColumn id="8462" xr3:uid="{45E53AF5-C876-4785-972B-86997A91AF35}" name="Column8456"/>
    <tableColumn id="8463" xr3:uid="{6979B1ED-E789-4966-8B10-6090891A3632}" name="Column8457"/>
    <tableColumn id="8464" xr3:uid="{6975F0FC-9C22-4868-B219-BE9265663182}" name="Column8458"/>
    <tableColumn id="8465" xr3:uid="{F28AC130-204C-4768-8C03-B39709ACC9C2}" name="Column8459"/>
    <tableColumn id="8466" xr3:uid="{E7EAACCE-67E9-476C-829C-F1BB823B6AEE}" name="Column8460"/>
    <tableColumn id="8467" xr3:uid="{DC25A8FF-A3A4-44DF-81D9-BFE1B65A4FD2}" name="Column8461"/>
    <tableColumn id="8468" xr3:uid="{E0BD0CEB-DF52-49A1-9671-143807E02833}" name="Column8462"/>
    <tableColumn id="8469" xr3:uid="{D0B24286-837D-4BE0-9A1C-373739902A0F}" name="Column8463"/>
    <tableColumn id="8470" xr3:uid="{0967D596-8240-4420-9A1E-6B0594D585F6}" name="Column8464"/>
    <tableColumn id="8471" xr3:uid="{D9F1231A-E3C6-43AC-832B-F7E161D2A69F}" name="Column8465"/>
    <tableColumn id="8472" xr3:uid="{6806EDB5-491C-4672-8375-482568805ACD}" name="Column8466"/>
    <tableColumn id="8473" xr3:uid="{1C221603-05EC-4FF7-81B0-C975F6F02FAA}" name="Column8467"/>
    <tableColumn id="8474" xr3:uid="{F906C67F-E73C-41DA-B7D9-8AE6257066C8}" name="Column8468"/>
    <tableColumn id="8475" xr3:uid="{E06F361C-BD81-47D2-8279-0AB5794861C3}" name="Column8469"/>
    <tableColumn id="8476" xr3:uid="{9DBF5F76-8260-47DD-BCF7-E5BE23DAA801}" name="Column8470"/>
    <tableColumn id="8477" xr3:uid="{1D33B399-CC8D-4984-93F8-753551A58070}" name="Column8471"/>
    <tableColumn id="8478" xr3:uid="{26807039-DDD4-458E-B868-1EF44781C0F4}" name="Column8472"/>
    <tableColumn id="8479" xr3:uid="{2600FBE3-1996-4B8D-8A6C-7CE4D24DED22}" name="Column8473"/>
    <tableColumn id="8480" xr3:uid="{0803DA98-770A-43E2-8056-E36EE0D7EDF1}" name="Column8474"/>
    <tableColumn id="8481" xr3:uid="{6BFEABED-37F1-4592-8BBD-5477A0A0E93A}" name="Column8475"/>
    <tableColumn id="8482" xr3:uid="{87692E46-42B6-4BD4-A11A-E3333F728944}" name="Column8476"/>
    <tableColumn id="8483" xr3:uid="{8C8ED6B4-D989-4375-9C7B-3AD843E3F498}" name="Column8477"/>
    <tableColumn id="8484" xr3:uid="{9AC0422A-9925-4DA3-AC3E-426E59A19B3D}" name="Column8478"/>
    <tableColumn id="8485" xr3:uid="{D3704CB8-F6A5-4CF6-88BD-23C026472A10}" name="Column8479"/>
    <tableColumn id="8486" xr3:uid="{CA48A864-2C97-44F2-9C00-1B7D72D92832}" name="Column8480"/>
    <tableColumn id="8487" xr3:uid="{9D52B63E-7DAB-4DE1-92DD-191EB9824AB2}" name="Column8481"/>
    <tableColumn id="8488" xr3:uid="{6D6814B6-9657-415D-804E-E3E5F1D63E18}" name="Column8482"/>
    <tableColumn id="8489" xr3:uid="{2942D3A7-5134-4B27-96F8-9110C546F8CF}" name="Column8483"/>
    <tableColumn id="8490" xr3:uid="{278DCBF3-6549-4C4B-A120-9ADCC419B933}" name="Column8484"/>
    <tableColumn id="8491" xr3:uid="{0505F412-7AB5-4CF0-8731-D46476110485}" name="Column8485"/>
    <tableColumn id="8492" xr3:uid="{43468727-4AEF-4F50-A370-786FC3948B49}" name="Column8486"/>
    <tableColumn id="8493" xr3:uid="{9B78C6EF-B6E4-4BEF-9C1E-F617A3A55885}" name="Column8487"/>
    <tableColumn id="8494" xr3:uid="{DF693617-7305-4316-A85A-EA9BB9DC6E80}" name="Column8488"/>
    <tableColumn id="8495" xr3:uid="{E47E670A-2FC9-4C98-BAE9-B405209F7E74}" name="Column8489"/>
    <tableColumn id="8496" xr3:uid="{55C89314-D00C-48FE-894A-4F4E285EEB62}" name="Column8490"/>
    <tableColumn id="8497" xr3:uid="{CB539384-A055-4B40-B528-E067BA8169CE}" name="Column8491"/>
    <tableColumn id="8498" xr3:uid="{E43BAFD5-C22A-4750-8A2F-572E3C14C7BD}" name="Column8492"/>
    <tableColumn id="8499" xr3:uid="{79814034-E20B-491B-B616-9F3B50F2E814}" name="Column8493"/>
    <tableColumn id="8500" xr3:uid="{1D0A09C0-E0DC-4DDE-9C37-BCD0D618CE0A}" name="Column8494"/>
    <tableColumn id="8501" xr3:uid="{1619A03E-82DB-4EA1-A341-7320ED53849D}" name="Column8495"/>
    <tableColumn id="8502" xr3:uid="{A8404EC0-8BC2-48B9-9487-DAC78DD6766B}" name="Column8496"/>
    <tableColumn id="8503" xr3:uid="{12D872D0-C722-4EF7-926B-AC7179F991DA}" name="Column8497"/>
    <tableColumn id="8504" xr3:uid="{8622CE1F-96BB-4C80-BDC7-FF0ED12BA450}" name="Column8498"/>
    <tableColumn id="8505" xr3:uid="{27DA240B-81FC-4A8E-9CA0-3C879166011C}" name="Column8499"/>
    <tableColumn id="8506" xr3:uid="{9BB630CC-25E0-411F-91FD-424405D90577}" name="Column8500"/>
    <tableColumn id="8507" xr3:uid="{C2EDE073-3AA9-4770-8500-4A2E0D797155}" name="Column8501"/>
    <tableColumn id="8508" xr3:uid="{7BD9247B-B37F-43A0-96D6-85C3CE5BB00E}" name="Column8502"/>
    <tableColumn id="8509" xr3:uid="{A7A38225-B017-48F1-A7B1-303DB159C9D2}" name="Column8503"/>
    <tableColumn id="8510" xr3:uid="{6FA3F5ED-3E08-4A1E-8E74-A4EE0FD726BB}" name="Column8504"/>
    <tableColumn id="8511" xr3:uid="{5450EB87-6E53-4033-8690-178825B726DF}" name="Column8505"/>
    <tableColumn id="8512" xr3:uid="{626A94E6-4BC2-46C9-B8A1-66FF4A0F1ACF}" name="Column8506"/>
    <tableColumn id="8513" xr3:uid="{5E5BDC80-D350-4F90-9A24-A2072F465867}" name="Column8507"/>
    <tableColumn id="8514" xr3:uid="{AD9541E4-C3A8-43A9-AA29-D6C2D7705ADE}" name="Column8508"/>
    <tableColumn id="8515" xr3:uid="{E0615C2B-AF80-450D-BAAE-63A9D98C90A8}" name="Column8509"/>
    <tableColumn id="8516" xr3:uid="{6BA58275-67BA-4319-8030-2C6297641BFB}" name="Column8510"/>
    <tableColumn id="8517" xr3:uid="{9D17BEF7-1026-4DF6-ADE4-4D57C408C5C0}" name="Column8511"/>
    <tableColumn id="8518" xr3:uid="{343CEA59-F2E0-41F7-BAD6-E20E8F5E8277}" name="Column8512"/>
    <tableColumn id="8519" xr3:uid="{48C1C678-75C7-472B-B143-8FDC95742461}" name="Column8513"/>
    <tableColumn id="8520" xr3:uid="{ADFDD290-4FD9-4F1D-95C5-A716B3A1A079}" name="Column8514"/>
    <tableColumn id="8521" xr3:uid="{10CC675C-76ED-4899-9B68-8062F8D6279D}" name="Column8515"/>
    <tableColumn id="8522" xr3:uid="{8904C0B7-2076-4EE3-B583-68C7E47FFE5E}" name="Column8516"/>
    <tableColumn id="8523" xr3:uid="{EF535165-133A-4590-B1EA-1D3270C4488B}" name="Column8517"/>
    <tableColumn id="8524" xr3:uid="{9B78D314-6890-4A60-9590-8D6EDFD57AB0}" name="Column8518"/>
    <tableColumn id="8525" xr3:uid="{49B8CF2B-9AB9-4C82-90D0-FDEC314CEE82}" name="Column8519"/>
    <tableColumn id="8526" xr3:uid="{23CF2ADF-F7B0-4C40-9DC1-3F8D1C24AF87}" name="Column8520"/>
    <tableColumn id="8527" xr3:uid="{6109DF83-93AB-42DC-A545-C41F44C5E83F}" name="Column8521"/>
    <tableColumn id="8528" xr3:uid="{D32A6899-8211-4B84-AFD7-A10FAB775279}" name="Column8522"/>
    <tableColumn id="8529" xr3:uid="{FA3D3DDF-0787-47EB-9D07-EF538DE9F789}" name="Column8523"/>
    <tableColumn id="8530" xr3:uid="{56686B50-179B-4885-825C-0DAE81AF9596}" name="Column8524"/>
    <tableColumn id="8531" xr3:uid="{59E3DC63-2187-480D-82FC-6D4E197E534C}" name="Column8525"/>
    <tableColumn id="8532" xr3:uid="{37CA6AB9-3542-4168-8C71-2919889A0456}" name="Column8526"/>
    <tableColumn id="8533" xr3:uid="{00525A5D-D0A1-4380-BFEF-27CD0C50ECB0}" name="Column8527"/>
    <tableColumn id="8534" xr3:uid="{97CBC22D-2A6C-4F30-BCBE-172120E19230}" name="Column8528"/>
    <tableColumn id="8535" xr3:uid="{9C2DC7F4-C9F1-45A5-A6D3-302AAEC987F7}" name="Column8529"/>
    <tableColumn id="8536" xr3:uid="{92590E51-A82C-4814-9B63-41541C3AD17E}" name="Column8530"/>
    <tableColumn id="8537" xr3:uid="{20C9B85F-157E-4FA9-9627-8899FBD28588}" name="Column8531"/>
    <tableColumn id="8538" xr3:uid="{69782DE1-9A30-4091-A2B8-3087ADE0EBD2}" name="Column8532"/>
    <tableColumn id="8539" xr3:uid="{71D7BFB9-05C6-4586-B610-EC019138F51D}" name="Column8533"/>
    <tableColumn id="8540" xr3:uid="{39F782C4-1C36-4BBF-838E-B911C690127D}" name="Column8534"/>
    <tableColumn id="8541" xr3:uid="{F62F8E59-E221-4C7D-B3BE-194352252909}" name="Column8535"/>
    <tableColumn id="8542" xr3:uid="{38038DB9-C484-4653-870A-555F40CC9AA9}" name="Column8536"/>
    <tableColumn id="8543" xr3:uid="{A113BF84-8C73-4B97-996C-568850CA1D9E}" name="Column8537"/>
    <tableColumn id="8544" xr3:uid="{46649773-F636-49BE-8549-F6F98BB398A4}" name="Column8538"/>
    <tableColumn id="8545" xr3:uid="{E89D0B3B-D81D-4023-9D27-18E0015E17F8}" name="Column8539"/>
    <tableColumn id="8546" xr3:uid="{F926864C-9B1D-4593-B256-E8A88865EF5E}" name="Column8540"/>
    <tableColumn id="8547" xr3:uid="{7D9C11E3-F2EF-4F65-B332-7DDE34CD313C}" name="Column8541"/>
    <tableColumn id="8548" xr3:uid="{0021FA8B-C17F-478C-8174-6246C485B36A}" name="Column8542"/>
    <tableColumn id="8549" xr3:uid="{7E204FDC-A4E8-497C-960D-67A937ADE677}" name="Column8543"/>
    <tableColumn id="8550" xr3:uid="{9BD973D3-29E9-4C08-864D-0FE1343F4F1D}" name="Column8544"/>
    <tableColumn id="8551" xr3:uid="{ECE3D1F3-3464-4562-A39D-75A6796C422F}" name="Column8545"/>
    <tableColumn id="8552" xr3:uid="{CABB91B4-2CA4-4F0C-B523-72E0C51AFF78}" name="Column8546"/>
    <tableColumn id="8553" xr3:uid="{43601050-2E15-468A-A952-8979B9CC1FEE}" name="Column8547"/>
    <tableColumn id="8554" xr3:uid="{9EC9C194-9D34-4FEF-8027-EA5C57FDD5CE}" name="Column8548"/>
    <tableColumn id="8555" xr3:uid="{3C7086AE-70CB-44E2-8AFD-5D621337FEE1}" name="Column8549"/>
    <tableColumn id="8556" xr3:uid="{3D05445C-3633-41EC-AEE6-73A3D2E9163F}" name="Column8550"/>
    <tableColumn id="8557" xr3:uid="{270B7BB6-7E50-4A7D-BE0F-8D3A6EE3A018}" name="Column8551"/>
    <tableColumn id="8558" xr3:uid="{6CB12706-E386-4707-96C2-4F4C5545F4AE}" name="Column8552"/>
    <tableColumn id="8559" xr3:uid="{0C4759A1-0AAB-4F34-BAA4-A4F09B1D3C55}" name="Column8553"/>
    <tableColumn id="8560" xr3:uid="{762FE262-FC72-46FB-BC3B-4A107B197F8F}" name="Column8554"/>
    <tableColumn id="8561" xr3:uid="{FBD64E97-7234-4775-8058-59EFBC21A26A}" name="Column8555"/>
    <tableColumn id="8562" xr3:uid="{0954801C-D811-41B5-A630-20057B07C854}" name="Column8556"/>
    <tableColumn id="8563" xr3:uid="{55CE199F-BC19-4081-BB8F-A399EB3FE436}" name="Column8557"/>
    <tableColumn id="8564" xr3:uid="{0912F60D-B6D5-4319-AD59-2FA6B71124CB}" name="Column8558"/>
    <tableColumn id="8565" xr3:uid="{3B4D1174-0F96-4303-9B0B-C486F0EBBC00}" name="Column8559"/>
    <tableColumn id="8566" xr3:uid="{68ACEE7E-4794-4808-A0D0-23908F7342C0}" name="Column8560"/>
    <tableColumn id="8567" xr3:uid="{1731128B-1F2E-4D93-B322-EB297CC55942}" name="Column8561"/>
    <tableColumn id="8568" xr3:uid="{E8C80940-CC34-4DC9-836E-767F6762AFC1}" name="Column8562"/>
    <tableColumn id="8569" xr3:uid="{C450144E-EFB8-452D-9E98-5E2938647471}" name="Column8563"/>
    <tableColumn id="8570" xr3:uid="{9DEEC9C4-F2AE-4ED2-B7D0-D0BF67B63C45}" name="Column8564"/>
    <tableColumn id="8571" xr3:uid="{EF05C49D-8FD9-4BBB-BB24-38A52E1E8D56}" name="Column8565"/>
    <tableColumn id="8572" xr3:uid="{65CAB471-CC1C-4A28-90ED-E36FCA779674}" name="Column8566"/>
    <tableColumn id="8573" xr3:uid="{BF804025-AFC1-413D-AFEA-2EC3B8EDEEF8}" name="Column8567"/>
    <tableColumn id="8574" xr3:uid="{4AA0CC44-806A-4C94-A60C-7F4E6A9FE45F}" name="Column8568"/>
    <tableColumn id="8575" xr3:uid="{6C7BCD09-064D-4E9F-9FA4-F798137E1230}" name="Column8569"/>
    <tableColumn id="8576" xr3:uid="{783BA9CC-27F6-4F97-820F-6D884B672B91}" name="Column8570"/>
    <tableColumn id="8577" xr3:uid="{D6F5D09D-1088-4CE3-8D1A-512CBB061A73}" name="Column8571"/>
    <tableColumn id="8578" xr3:uid="{318C6454-AD2B-4ADE-9A92-9999D62C2D1D}" name="Column8572"/>
    <tableColumn id="8579" xr3:uid="{FF680DE4-41A5-4A37-A84E-4A3A55D7E8A4}" name="Column8573"/>
    <tableColumn id="8580" xr3:uid="{7BE5E73D-0B5C-4296-AF3A-39D1AA6F92E4}" name="Column8574"/>
    <tableColumn id="8581" xr3:uid="{23F0BC57-BD2A-4A22-B14A-9E91B3CE6C53}" name="Column8575"/>
    <tableColumn id="8582" xr3:uid="{906661D9-0B15-480E-A03D-5C04DDA4766E}" name="Column8576"/>
    <tableColumn id="8583" xr3:uid="{38CCFE56-3569-4B5C-97EB-C68C7900BB20}" name="Column8577"/>
    <tableColumn id="8584" xr3:uid="{7741C217-33E8-49D4-B766-C05016C738E4}" name="Column8578"/>
    <tableColumn id="8585" xr3:uid="{876A56E7-A683-4945-A45E-0A0C192B6FA3}" name="Column8579"/>
    <tableColumn id="8586" xr3:uid="{4ADF26BB-30CF-41A7-8591-A711A86EC74B}" name="Column8580"/>
    <tableColumn id="8587" xr3:uid="{18CD8122-383B-4A71-B6D1-87D79E6B9B60}" name="Column8581"/>
    <tableColumn id="8588" xr3:uid="{579D913B-E832-466E-8CB6-AF87FE5FC4BB}" name="Column8582"/>
    <tableColumn id="8589" xr3:uid="{1927A1A7-169C-4527-9D40-7C6C5A5B76A4}" name="Column8583"/>
    <tableColumn id="8590" xr3:uid="{D2DA0159-1B57-49C7-AE4A-0A041890B0B3}" name="Column8584"/>
    <tableColumn id="8591" xr3:uid="{334917EB-AC2B-4D33-A534-BE90835C3574}" name="Column8585"/>
    <tableColumn id="8592" xr3:uid="{1F541F0E-6CCA-423D-B35C-C3C4DE24F4F5}" name="Column8586"/>
    <tableColumn id="8593" xr3:uid="{B34256EF-7AF4-4BB8-9131-0C1E240EA3E3}" name="Column8587"/>
    <tableColumn id="8594" xr3:uid="{2F930E53-323B-48D2-96BE-2C1567504B81}" name="Column8588"/>
    <tableColumn id="8595" xr3:uid="{A728D280-056E-448C-8799-DCEEB589EAEF}" name="Column8589"/>
    <tableColumn id="8596" xr3:uid="{0BABEAB6-E952-4D70-85AE-421CABC0CA61}" name="Column8590"/>
    <tableColumn id="8597" xr3:uid="{5BC808FA-4F32-4E70-91BB-8F4C7538D5CE}" name="Column8591"/>
    <tableColumn id="8598" xr3:uid="{316FC414-3AA9-438A-8602-8BB0BCC74906}" name="Column8592"/>
    <tableColumn id="8599" xr3:uid="{04178BA0-7F2C-4722-A548-B51C2774D5E9}" name="Column8593"/>
    <tableColumn id="8600" xr3:uid="{E0FEC8D9-8B2E-459A-BD9A-5FE2BE616B1E}" name="Column8594"/>
    <tableColumn id="8601" xr3:uid="{26205440-959F-42A8-B5C6-C17F0EB11AD6}" name="Column8595"/>
    <tableColumn id="8602" xr3:uid="{2C37CB9F-355A-465B-BDD6-115808EC6766}" name="Column8596"/>
    <tableColumn id="8603" xr3:uid="{C4365F1E-FC37-4B7A-B695-B5E308947925}" name="Column8597"/>
    <tableColumn id="8604" xr3:uid="{9BF82392-362F-4F7E-BB74-E16FA0F455A2}" name="Column8598"/>
    <tableColumn id="8605" xr3:uid="{D44C38DF-7ECF-4FCB-8852-6DDD3D73ED7D}" name="Column8599"/>
    <tableColumn id="8606" xr3:uid="{3681F749-4A7E-4EDC-BD31-320867A714CD}" name="Column8600"/>
    <tableColumn id="8607" xr3:uid="{4A0683CD-97A8-44EC-9752-8AA0BE4DD2AE}" name="Column8601"/>
    <tableColumn id="8608" xr3:uid="{4D8DCE68-B366-40E4-B791-EA951C77F9FA}" name="Column8602"/>
    <tableColumn id="8609" xr3:uid="{4B795619-B502-4EB6-92DA-A273325562B7}" name="Column8603"/>
    <tableColumn id="8610" xr3:uid="{BC7679FC-13DB-4860-97F6-96A310CB088F}" name="Column8604"/>
    <tableColumn id="8611" xr3:uid="{DAA2C8A1-E434-4CA8-A79B-74B0B36F3AA6}" name="Column8605"/>
    <tableColumn id="8612" xr3:uid="{DA86EBAC-C760-4F5B-A876-686072E96613}" name="Column8606"/>
    <tableColumn id="8613" xr3:uid="{595BF207-1AA2-4DE1-A194-C1EF4FADCDC7}" name="Column8607"/>
    <tableColumn id="8614" xr3:uid="{92248299-23DC-4142-9EF2-E73A6787B0F6}" name="Column8608"/>
    <tableColumn id="8615" xr3:uid="{B62835ED-1827-488F-9B47-0F816E04E556}" name="Column8609"/>
    <tableColumn id="8616" xr3:uid="{4A46372D-F191-42C1-AE95-8C68ADC5DF47}" name="Column8610"/>
    <tableColumn id="8617" xr3:uid="{E9643A96-BFBC-4A29-B39C-D11CA86C34B8}" name="Column8611"/>
    <tableColumn id="8618" xr3:uid="{AB9BC74D-8AB0-44B1-84DA-976543F04648}" name="Column8612"/>
    <tableColumn id="8619" xr3:uid="{C60F896D-8036-4843-9487-9F6DB7FFD0E4}" name="Column8613"/>
    <tableColumn id="8620" xr3:uid="{0BF4D0A1-0D1F-40FD-B389-EAAA48C96A88}" name="Column8614"/>
    <tableColumn id="8621" xr3:uid="{F1E2BCC5-78D3-4267-B25D-CACCB60329A7}" name="Column8615"/>
    <tableColumn id="8622" xr3:uid="{F9DD0694-8A2C-4277-AC8A-63B2E375937E}" name="Column8616"/>
    <tableColumn id="8623" xr3:uid="{36D9B0D1-B3E4-4EBB-885C-67D4F147B96E}" name="Column8617"/>
    <tableColumn id="8624" xr3:uid="{1A462060-0B3C-4DD3-ABDC-EEB41641083B}" name="Column8618"/>
    <tableColumn id="8625" xr3:uid="{FB11A9FE-1FED-4073-88E2-F0F705DEE27B}" name="Column8619"/>
    <tableColumn id="8626" xr3:uid="{8C7F11D1-1E59-4172-AF0B-57490FA0F5E6}" name="Column8620"/>
    <tableColumn id="8627" xr3:uid="{4F9EF1D5-0671-4DD1-AEA2-7809379F974B}" name="Column8621"/>
    <tableColumn id="8628" xr3:uid="{73CE6E2F-FB56-4A6E-AF23-9E0264BC90DA}" name="Column8622"/>
    <tableColumn id="8629" xr3:uid="{AB47ED01-7611-40DE-B4C3-926A60E0F835}" name="Column8623"/>
    <tableColumn id="8630" xr3:uid="{291F42D3-4EFF-4C57-BFBC-E46F4C6C042F}" name="Column8624"/>
    <tableColumn id="8631" xr3:uid="{D3A67507-F353-4B05-A233-996221ADDD19}" name="Column8625"/>
    <tableColumn id="8632" xr3:uid="{B1B82567-FF38-4275-8C0E-484EC242EEC6}" name="Column8626"/>
    <tableColumn id="8633" xr3:uid="{A154D164-21C9-4B64-AF64-92269905294A}" name="Column8627"/>
    <tableColumn id="8634" xr3:uid="{A6ADA950-0F0C-4F46-8C61-8D22E5DBAE18}" name="Column8628"/>
    <tableColumn id="8635" xr3:uid="{2F956DFF-FDEC-49C1-B018-8551E77D698E}" name="Column8629"/>
    <tableColumn id="8636" xr3:uid="{77E64B30-0E95-485E-9A5B-0B18CE7ABD35}" name="Column8630"/>
    <tableColumn id="8637" xr3:uid="{A8D5913D-FBB8-4F2F-9F2F-B560845DA9AD}" name="Column8631"/>
    <tableColumn id="8638" xr3:uid="{28E63AFB-CA4E-48CA-9DFC-255950A2CAF1}" name="Column8632"/>
    <tableColumn id="8639" xr3:uid="{D79E676E-E908-464E-B95B-C64707FB43DB}" name="Column8633"/>
    <tableColumn id="8640" xr3:uid="{DA0EB22D-07E5-4AC3-A9CB-8647561C1BDD}" name="Column8634"/>
    <tableColumn id="8641" xr3:uid="{15AF18E5-D00B-4278-B45C-55147872388C}" name="Column8635"/>
    <tableColumn id="8642" xr3:uid="{8FFAA679-72A7-436A-92A0-A8FB18B3DE9A}" name="Column8636"/>
    <tableColumn id="8643" xr3:uid="{4FD74A45-76E7-48F1-8B2A-3AB6BF468C3E}" name="Column8637"/>
    <tableColumn id="8644" xr3:uid="{51D8C516-8D9B-4425-AE88-A55831A7AB67}" name="Column8638"/>
    <tableColumn id="8645" xr3:uid="{80E4AEFD-DCD4-4D1E-935E-1F22CADC64B6}" name="Column8639"/>
    <tableColumn id="8646" xr3:uid="{E3AFAF12-AB36-4F88-89D7-4561915DA720}" name="Column8640"/>
    <tableColumn id="8647" xr3:uid="{644A9D86-CF64-4922-9F41-04D6EF79CBFF}" name="Column8641"/>
    <tableColumn id="8648" xr3:uid="{A731707B-2D59-4A26-8016-2C91FC0CA30C}" name="Column8642"/>
    <tableColumn id="8649" xr3:uid="{5C03E83C-1097-48C3-ACCF-7408500DF8CA}" name="Column8643"/>
    <tableColumn id="8650" xr3:uid="{A3C95854-AA72-4307-8F24-F12BCD7DECE8}" name="Column8644"/>
    <tableColumn id="8651" xr3:uid="{A7773038-98E4-4D90-A63B-FA5369F8AE79}" name="Column8645"/>
    <tableColumn id="8652" xr3:uid="{CAE0400C-2AE7-4686-A1CA-9C222E869B26}" name="Column8646"/>
    <tableColumn id="8653" xr3:uid="{3F7A00AA-D068-4BD4-A40C-905177FFA49A}" name="Column8647"/>
    <tableColumn id="8654" xr3:uid="{A98C171A-2214-4B08-BC3B-4E6A4FE708C5}" name="Column8648"/>
    <tableColumn id="8655" xr3:uid="{FBFE7DB2-2E21-4CF6-8CFF-F07AEA5771C9}" name="Column8649"/>
    <tableColumn id="8656" xr3:uid="{AFF544BF-04E5-45C0-8C20-32FFA00F606F}" name="Column8650"/>
    <tableColumn id="8657" xr3:uid="{32B12000-E8FD-4303-AEE5-406AA3297460}" name="Column8651"/>
    <tableColumn id="8658" xr3:uid="{2EF2BD2B-2E52-4692-951E-6A86F2096078}" name="Column8652"/>
    <tableColumn id="8659" xr3:uid="{0C72A2FB-D768-4A03-8D9D-88A974837903}" name="Column8653"/>
    <tableColumn id="8660" xr3:uid="{69BA13D6-BA66-4CE8-A08F-A04FB387C57C}" name="Column8654"/>
    <tableColumn id="8661" xr3:uid="{D276AA5E-93CF-4E37-9118-0DD57B768640}" name="Column8655"/>
    <tableColumn id="8662" xr3:uid="{17BEC242-7929-4F97-9541-99ECF9548615}" name="Column8656"/>
    <tableColumn id="8663" xr3:uid="{624CB655-390E-43EF-AD81-0077F3723449}" name="Column8657"/>
    <tableColumn id="8664" xr3:uid="{7D0C062E-2E29-4D21-934B-5A112C025060}" name="Column8658"/>
    <tableColumn id="8665" xr3:uid="{2434B6A9-1D0A-4E3E-B8C7-F8AEA8F0A54D}" name="Column8659"/>
    <tableColumn id="8666" xr3:uid="{D802D91F-9F1F-40BE-9829-17224C1B16EB}" name="Column8660"/>
    <tableColumn id="8667" xr3:uid="{C06F8DC0-B6C6-43FA-B087-5D966F365C2C}" name="Column8661"/>
    <tableColumn id="8668" xr3:uid="{F295EA6A-4667-4920-B14C-F3A6AEF56C3E}" name="Column8662"/>
    <tableColumn id="8669" xr3:uid="{C0325FCE-7860-4DB6-92EE-A5316342A8C1}" name="Column8663"/>
    <tableColumn id="8670" xr3:uid="{F61912A4-85A7-4B07-A96F-EA235D21DB28}" name="Column8664"/>
    <tableColumn id="8671" xr3:uid="{D33F633E-8005-4F7F-A9B2-DC2654E1D62D}" name="Column8665"/>
    <tableColumn id="8672" xr3:uid="{4A19131C-CC6F-45E6-A906-3085B753BBED}" name="Column8666"/>
    <tableColumn id="8673" xr3:uid="{05B56766-4330-42E9-8801-AB0B262F4CAB}" name="Column8667"/>
    <tableColumn id="8674" xr3:uid="{64CD7F11-9EE0-47CC-8E15-DF0211AF6E98}" name="Column8668"/>
    <tableColumn id="8675" xr3:uid="{B4132FD2-B765-4B2F-B864-1F13D2145301}" name="Column8669"/>
    <tableColumn id="8676" xr3:uid="{6E4F1C97-6C0B-495D-AEC7-C55076AAC980}" name="Column8670"/>
    <tableColumn id="8677" xr3:uid="{1E665EC4-9185-4D8E-A7DA-8549EF472A9D}" name="Column8671"/>
    <tableColumn id="8678" xr3:uid="{12E0FF58-19E0-40EC-8E3B-303DC41E59B5}" name="Column8672"/>
    <tableColumn id="8679" xr3:uid="{5C0D23F4-C374-4E42-AA4E-1F9AA9EAEE77}" name="Column8673"/>
    <tableColumn id="8680" xr3:uid="{21D70186-63B6-40A9-A9F7-7F61F61013AD}" name="Column8674"/>
    <tableColumn id="8681" xr3:uid="{5B127740-8D94-4005-978C-3FACC08904BC}" name="Column8675"/>
    <tableColumn id="8682" xr3:uid="{8D4D8D18-AB7B-4798-A077-8CAF20504DE7}" name="Column8676"/>
    <tableColumn id="8683" xr3:uid="{F23640C4-DB89-47DD-9750-39773F9709D1}" name="Column8677"/>
    <tableColumn id="8684" xr3:uid="{3FCB9867-2A61-462D-B0ED-8D02DAE07DFA}" name="Column8678"/>
    <tableColumn id="8685" xr3:uid="{A37CB69D-CA8E-4617-AF92-F44CAB03EAA6}" name="Column8679"/>
    <tableColumn id="8686" xr3:uid="{BD13442E-1D63-4016-A504-20C6BD27F459}" name="Column8680"/>
    <tableColumn id="8687" xr3:uid="{CBD67B39-2BFA-4E8E-A2BA-1C36454D512B}" name="Column8681"/>
    <tableColumn id="8688" xr3:uid="{708B0C93-8BE6-4F47-BCDC-80434E14AC85}" name="Column8682"/>
    <tableColumn id="8689" xr3:uid="{369D89D3-0502-44E4-B345-26133503AA9A}" name="Column8683"/>
    <tableColumn id="8690" xr3:uid="{FE7F660F-4EBD-4B83-8C95-FF9007B1D3B6}" name="Column8684"/>
    <tableColumn id="8691" xr3:uid="{077E75B9-078F-4BB9-9ABC-631682E3A7EF}" name="Column8685"/>
    <tableColumn id="8692" xr3:uid="{FA7C539C-D100-48B0-9AEC-3C327A7FABD7}" name="Column8686"/>
    <tableColumn id="8693" xr3:uid="{645996D0-1A9B-4638-BF0E-F8953C6B2ABC}" name="Column8687"/>
    <tableColumn id="8694" xr3:uid="{D71C88F4-A252-42D0-96D8-BC659E447173}" name="Column8688"/>
    <tableColumn id="8695" xr3:uid="{44C169FE-2C25-42E7-9361-BFF7AF4C74FD}" name="Column8689"/>
    <tableColumn id="8696" xr3:uid="{82AE4912-579A-4306-8EC8-E110DE5124E6}" name="Column8690"/>
    <tableColumn id="8697" xr3:uid="{1357ED8A-86C2-4E15-9F83-9E3890EB2733}" name="Column8691"/>
    <tableColumn id="8698" xr3:uid="{0E5A2C54-55D0-4E0D-8949-EB156855CCB6}" name="Column8692"/>
    <tableColumn id="8699" xr3:uid="{81B48402-8F0D-4084-BC7B-391D41B424F9}" name="Column8693"/>
    <tableColumn id="8700" xr3:uid="{0E5C0318-03FF-4339-9274-F49FB97C6F8A}" name="Column8694"/>
    <tableColumn id="8701" xr3:uid="{EE66FFD7-AEE0-4FAA-ACC5-895929D32429}" name="Column8695"/>
    <tableColumn id="8702" xr3:uid="{EEF96766-C19C-4561-A71A-B199525DB08B}" name="Column8696"/>
    <tableColumn id="8703" xr3:uid="{E15005F0-4C7F-473E-8FF8-676235F243F3}" name="Column8697"/>
    <tableColumn id="8704" xr3:uid="{52421F94-9A8B-491D-8469-2378D4E099E9}" name="Column8698"/>
    <tableColumn id="8705" xr3:uid="{349C1DD5-8F61-43B6-898B-676B6A86B400}" name="Column8699"/>
    <tableColumn id="8706" xr3:uid="{DF3333CB-8D59-469D-B5BF-1B46D7C92E26}" name="Column8700"/>
    <tableColumn id="8707" xr3:uid="{61FAA429-FFDA-4084-A4CF-A178A690B5C1}" name="Column8701"/>
    <tableColumn id="8708" xr3:uid="{B60A9C4D-B5F8-4F8B-9369-40F9CE84AA3E}" name="Column8702"/>
    <tableColumn id="8709" xr3:uid="{0159E448-B07C-4159-A682-B9BE4CA3B2D5}" name="Column8703"/>
    <tableColumn id="8710" xr3:uid="{21BB44BF-4916-4940-A364-58CAD4C4FEED}" name="Column8704"/>
    <tableColumn id="8711" xr3:uid="{B78A3303-1CC7-499B-B85D-646F26359393}" name="Column8705"/>
    <tableColumn id="8712" xr3:uid="{2835ADCE-FB34-45AF-860B-D5ACEDBE8BAA}" name="Column8706"/>
    <tableColumn id="8713" xr3:uid="{98D63047-DBA0-4A2B-B3FB-1A64C882E3EC}" name="Column8707"/>
    <tableColumn id="8714" xr3:uid="{323AE7B0-84CE-420D-9E64-B1B37EA57AC4}" name="Column8708"/>
    <tableColumn id="8715" xr3:uid="{1798B7B5-C66A-4E3A-8004-216967447D0C}" name="Column8709"/>
    <tableColumn id="8716" xr3:uid="{C9F2FFBD-7F3B-4810-B9BA-3E55C3DD796E}" name="Column8710"/>
    <tableColumn id="8717" xr3:uid="{9692B965-82B5-4567-A493-F82F87376BBA}" name="Column8711"/>
    <tableColumn id="8718" xr3:uid="{7E3268EC-B02E-4580-BD4C-E9A880ADBAD6}" name="Column8712"/>
    <tableColumn id="8719" xr3:uid="{D7D37C4E-1726-469D-957C-7F714141E013}" name="Column8713"/>
    <tableColumn id="8720" xr3:uid="{9EF000D0-545B-4BB2-B405-9CB7B1C2C643}" name="Column8714"/>
    <tableColumn id="8721" xr3:uid="{79B1F1F2-28ED-4836-A6D9-BEE8B0174D6C}" name="Column8715"/>
    <tableColumn id="8722" xr3:uid="{8677FF76-3867-49D1-A792-1F053F33151F}" name="Column8716"/>
    <tableColumn id="8723" xr3:uid="{0DC78B63-94DD-4F64-A7D1-7D5851882497}" name="Column8717"/>
    <tableColumn id="8724" xr3:uid="{955C36E2-BCD7-4C1A-A44B-1C5196D263ED}" name="Column8718"/>
    <tableColumn id="8725" xr3:uid="{F14F22E6-A3AE-4F15-B86D-3637FEDC6F59}" name="Column8719"/>
    <tableColumn id="8726" xr3:uid="{B8E67155-36ED-4995-B724-F8E4F1D813B8}" name="Column8720"/>
    <tableColumn id="8727" xr3:uid="{5AA5A58A-37F8-4364-BA31-A93C3C00981B}" name="Column8721"/>
    <tableColumn id="8728" xr3:uid="{2A8BE11F-B955-4904-A9B5-926EAC78A889}" name="Column8722"/>
    <tableColumn id="8729" xr3:uid="{0647CF25-2230-47B9-92CE-597157CA5DBD}" name="Column8723"/>
    <tableColumn id="8730" xr3:uid="{ACF3FEEF-7247-4DA3-9B66-A1F6FE2BEA14}" name="Column8724"/>
    <tableColumn id="8731" xr3:uid="{EBED116D-BDD8-4C0B-BCDD-D51DEFFF593B}" name="Column8725"/>
    <tableColumn id="8732" xr3:uid="{277FECC8-EF76-43C2-A131-D16241ADCCA0}" name="Column8726"/>
    <tableColumn id="8733" xr3:uid="{54134ADB-2FF8-4F5B-A437-F638C79A9191}" name="Column8727"/>
    <tableColumn id="8734" xr3:uid="{339A2519-690B-4A73-A59A-A54483BC4367}" name="Column8728"/>
    <tableColumn id="8735" xr3:uid="{B2325C5D-108B-40E7-A86A-CBC573A866A5}" name="Column8729"/>
    <tableColumn id="8736" xr3:uid="{9693B490-867C-4CCF-9E47-B9829E17F82F}" name="Column8730"/>
    <tableColumn id="8737" xr3:uid="{E0168BE2-1EAE-44F4-8259-04047A0E90A7}" name="Column8731"/>
    <tableColumn id="8738" xr3:uid="{DAE73B98-6322-49A8-B6B1-6BD224BCD463}" name="Column8732"/>
    <tableColumn id="8739" xr3:uid="{DE882609-796D-4809-B816-D6A8EE250DDE}" name="Column8733"/>
    <tableColumn id="8740" xr3:uid="{DEADC45B-2BAA-4741-93A8-34A4B05060C5}" name="Column8734"/>
    <tableColumn id="8741" xr3:uid="{1221CB47-368B-42F5-B172-3B5294E98B45}" name="Column8735"/>
    <tableColumn id="8742" xr3:uid="{6DEF4C7D-577F-4120-BFA4-5AD104F5B692}" name="Column8736"/>
    <tableColumn id="8743" xr3:uid="{5DDBE961-A17D-43DF-A846-8F3DA3A527F2}" name="Column8737"/>
    <tableColumn id="8744" xr3:uid="{3E91CF1B-D535-4C3F-946B-38DC5B9F74E7}" name="Column8738"/>
    <tableColumn id="8745" xr3:uid="{1F7B7B21-4152-4A62-806D-64E7129AB4B4}" name="Column8739"/>
    <tableColumn id="8746" xr3:uid="{1075B191-0B14-4E30-90CF-E4304F970574}" name="Column8740"/>
    <tableColumn id="8747" xr3:uid="{AC7D0B9D-9888-439F-8F72-AB00417FB3B3}" name="Column8741"/>
    <tableColumn id="8748" xr3:uid="{4AF57321-FDAA-4EA7-938F-8F6A00ABE75D}" name="Column8742"/>
    <tableColumn id="8749" xr3:uid="{60706EB6-86D4-4B2D-8226-7E41F14A90C3}" name="Column8743"/>
    <tableColumn id="8750" xr3:uid="{4FDB292D-5A8B-493E-AA3D-5F292428AE03}" name="Column8744"/>
    <tableColumn id="8751" xr3:uid="{C553863E-C168-4241-8C2E-ACD5E5B3322A}" name="Column8745"/>
    <tableColumn id="8752" xr3:uid="{BDFF5AC7-C83C-4102-8707-B692D10EBAAC}" name="Column8746"/>
    <tableColumn id="8753" xr3:uid="{62F95220-9D04-43DD-9AF2-A0BFC2484873}" name="Column8747"/>
    <tableColumn id="8754" xr3:uid="{9D4C1002-65A2-4E9C-9798-505B07E9A7F2}" name="Column8748"/>
    <tableColumn id="8755" xr3:uid="{685BA42B-CB81-46F4-A3C3-9425AA0B23A1}" name="Column8749"/>
    <tableColumn id="8756" xr3:uid="{28391E03-C711-49DD-A3BF-3E92D52A206A}" name="Column8750"/>
    <tableColumn id="8757" xr3:uid="{39BDB075-4739-4FAA-9FBE-A3F06DB85594}" name="Column8751"/>
    <tableColumn id="8758" xr3:uid="{A34050DD-DB5B-4007-942B-659DB6A4E932}" name="Column8752"/>
    <tableColumn id="8759" xr3:uid="{606B1D0E-5F72-4023-A7F5-7889E3AFE3B4}" name="Column8753"/>
    <tableColumn id="8760" xr3:uid="{3101B23C-54DC-4D47-AE84-BC7F3B364A2D}" name="Column8754"/>
    <tableColumn id="8761" xr3:uid="{84024F61-7479-46AA-84BF-3E7A37BAF271}" name="Column8755"/>
    <tableColumn id="8762" xr3:uid="{39E507CF-B55B-4930-A74C-7D4AA6722D88}" name="Column8756"/>
    <tableColumn id="8763" xr3:uid="{E7F558CE-2697-43C8-A80E-DE456ABC4165}" name="Column8757"/>
    <tableColumn id="8764" xr3:uid="{A52C385B-57AE-4CE8-B9F2-48734BAF1BED}" name="Column8758"/>
    <tableColumn id="8765" xr3:uid="{A74BAE9E-5FA6-4493-AFFD-0ADF9A8B05CF}" name="Column8759"/>
    <tableColumn id="8766" xr3:uid="{4198E387-71AE-4BF3-90B6-A9C1788EE61A}" name="Column8760"/>
    <tableColumn id="8767" xr3:uid="{AF2E8F18-B992-4BE2-BB80-284A475AC5FC}" name="Column8761"/>
    <tableColumn id="8768" xr3:uid="{FD1A5A20-8A41-4F0E-8EE7-A0BF761EA321}" name="Column8762"/>
    <tableColumn id="8769" xr3:uid="{29BD16C7-FFDA-417A-92B3-A9BE4C87EFBE}" name="Column8763"/>
    <tableColumn id="8770" xr3:uid="{E8A7E438-A765-4AFC-A54B-66486099BFCD}" name="Column8764"/>
    <tableColumn id="8771" xr3:uid="{D9BE9094-3AF0-41B3-969F-5EF8993D2CD6}" name="Column8765"/>
    <tableColumn id="8772" xr3:uid="{3964D24D-E614-45D1-BB0E-1B168D2D7007}" name="Column8766"/>
    <tableColumn id="8773" xr3:uid="{5BC17A23-C959-4588-931F-13861A9F9DF8}" name="Column8767"/>
    <tableColumn id="8774" xr3:uid="{EB29466A-4C74-4CEF-AC0B-32E94FC13AAD}" name="Column8768"/>
    <tableColumn id="8775" xr3:uid="{EBE16DAE-8225-43C9-8D5D-92F4E6E8C413}" name="Column8769"/>
    <tableColumn id="8776" xr3:uid="{61A52E1F-D626-4F50-BB9D-0DFD34DC9170}" name="Column8770"/>
    <tableColumn id="8777" xr3:uid="{779A85E4-D39F-43F8-A726-E51D87CAE0FC}" name="Column8771"/>
    <tableColumn id="8778" xr3:uid="{C827A698-CD7F-4F31-B0F6-2B3B07D53AF7}" name="Column8772"/>
    <tableColumn id="8779" xr3:uid="{1CF224F0-9B84-4270-80D6-1A0FE3FC4FA4}" name="Column8773"/>
    <tableColumn id="8780" xr3:uid="{AEE64727-C151-4BE4-A907-489B5BC72E2C}" name="Column8774"/>
    <tableColumn id="8781" xr3:uid="{36B17E8A-A702-4A79-AFB5-8ADEDC165461}" name="Column8775"/>
    <tableColumn id="8782" xr3:uid="{2C70CC0D-1AFD-481A-9C4E-EC9D9D81D243}" name="Column8776"/>
    <tableColumn id="8783" xr3:uid="{F49519BE-7218-4DE2-B7E8-2A0079CEC1B8}" name="Column8777"/>
    <tableColumn id="8784" xr3:uid="{6C53AB61-2F49-4833-8222-0BA1AAD7AE10}" name="Column8778"/>
    <tableColumn id="8785" xr3:uid="{03DAADB2-958A-4AA5-9938-CC4290CDE54B}" name="Column8779"/>
    <tableColumn id="8786" xr3:uid="{E4697A47-9911-4991-9318-43089F0DEC10}" name="Column8780"/>
    <tableColumn id="8787" xr3:uid="{D46FCD85-3047-457F-9189-74C5C11E64A0}" name="Column8781"/>
    <tableColumn id="8788" xr3:uid="{9E73EBE0-8089-4ACC-8514-4F89A6D3AB0C}" name="Column8782"/>
    <tableColumn id="8789" xr3:uid="{83A2EC18-6C35-460D-886D-02FC2E061494}" name="Column8783"/>
    <tableColumn id="8790" xr3:uid="{685390E1-FBF2-42BF-964C-AC78F62DD2C4}" name="Column8784"/>
    <tableColumn id="8791" xr3:uid="{D6AFF37D-ED78-42D4-BB25-242797DA44E9}" name="Column8785"/>
    <tableColumn id="8792" xr3:uid="{CD6DBC87-09A5-4147-A40A-5634DBF2DA1E}" name="Column8786"/>
    <tableColumn id="8793" xr3:uid="{C2ADC69E-48F5-422B-BDE9-2712353181F5}" name="Column8787"/>
    <tableColumn id="8794" xr3:uid="{234D99D3-8FCA-471D-87FA-B5B0D02C309D}" name="Column8788"/>
    <tableColumn id="8795" xr3:uid="{F8089843-0333-4558-872B-DC93388172EC}" name="Column8789"/>
    <tableColumn id="8796" xr3:uid="{C9AAA7DA-9B7B-4263-BFD0-29F1F94F649A}" name="Column8790"/>
    <tableColumn id="8797" xr3:uid="{17F831E8-0A5D-479D-ABCD-A9266D80EFBB}" name="Column8791"/>
    <tableColumn id="8798" xr3:uid="{015CBACE-FB61-40DB-B007-CA01A8430C33}" name="Column8792"/>
    <tableColumn id="8799" xr3:uid="{CE9B5621-7C02-4E4A-A3D2-AF018C6D9B53}" name="Column8793"/>
    <tableColumn id="8800" xr3:uid="{6541586F-CE66-47C8-A30F-53480E84A861}" name="Column8794"/>
    <tableColumn id="8801" xr3:uid="{7159DA80-2E66-490D-AA13-06119B8BD58F}" name="Column8795"/>
    <tableColumn id="8802" xr3:uid="{44C29FC6-BFDA-4A82-8810-4AEEF22E37CD}" name="Column8796"/>
    <tableColumn id="8803" xr3:uid="{A89C96D6-9309-4C87-BEFB-75DBE9DBC7AB}" name="Column8797"/>
    <tableColumn id="8804" xr3:uid="{AA7706E7-FF01-4766-A990-15688D8C49B8}" name="Column8798"/>
    <tableColumn id="8805" xr3:uid="{FB34F676-BB27-4304-9A0B-D8C31B3FCC96}" name="Column8799"/>
    <tableColumn id="8806" xr3:uid="{36C44340-3388-40CC-880B-2AB5AD770F4B}" name="Column8800"/>
    <tableColumn id="8807" xr3:uid="{3AC33AE3-D42F-4E5B-AFB7-902C6E370BBD}" name="Column8801"/>
    <tableColumn id="8808" xr3:uid="{24BF48A2-6735-47B0-A88A-CF5FBD4106A9}" name="Column8802"/>
    <tableColumn id="8809" xr3:uid="{1A19A35B-257D-4D5F-8919-4F1670DA0449}" name="Column8803"/>
    <tableColumn id="8810" xr3:uid="{0614B55D-2503-4C2A-822D-D305CF853B58}" name="Column8804"/>
    <tableColumn id="8811" xr3:uid="{AFDB0521-B291-4B35-9554-5F5A5D0C7F41}" name="Column8805"/>
    <tableColumn id="8812" xr3:uid="{655D689A-46FE-48FF-AB15-EC6A57FD6D04}" name="Column8806"/>
    <tableColumn id="8813" xr3:uid="{AD5293E9-FFAD-4018-AF60-A65BDA162DD6}" name="Column8807"/>
    <tableColumn id="8814" xr3:uid="{A444B558-5A8B-43B3-9C9B-6109C9F38DAE}" name="Column8808"/>
    <tableColumn id="8815" xr3:uid="{81C3FA4D-E2DF-4685-A1BD-3A6FF6779249}" name="Column8809"/>
    <tableColumn id="8816" xr3:uid="{54C6F95D-4E46-431D-A1DA-94B12E5F373E}" name="Column8810"/>
    <tableColumn id="8817" xr3:uid="{75E3B654-784B-4236-9588-2CE79FD8C020}" name="Column8811"/>
    <tableColumn id="8818" xr3:uid="{65DF733D-5342-4700-89CF-ED45EDBDDC18}" name="Column8812"/>
    <tableColumn id="8819" xr3:uid="{3106E91A-0485-4BD1-A715-77909157B724}" name="Column8813"/>
    <tableColumn id="8820" xr3:uid="{448BE31D-0684-4500-BF46-5A9C2A3A1D8F}" name="Column8814"/>
    <tableColumn id="8821" xr3:uid="{F1D0E35A-679C-4999-B68F-D5DC483A988A}" name="Column8815"/>
    <tableColumn id="8822" xr3:uid="{78362EE6-9E29-4041-A432-AB9589D7C3C6}" name="Column8816"/>
    <tableColumn id="8823" xr3:uid="{85C7AE2C-A408-4FA3-84EF-8E0A1FDC3A9D}" name="Column8817"/>
    <tableColumn id="8824" xr3:uid="{A55D2901-FF0B-47D6-A08D-91EC39C14B58}" name="Column8818"/>
    <tableColumn id="8825" xr3:uid="{1A53138D-C22A-4A0D-AB49-86B4BE6C3F90}" name="Column8819"/>
    <tableColumn id="8826" xr3:uid="{69C1D9EE-2035-4D8F-89B8-3EE269A55FDE}" name="Column8820"/>
    <tableColumn id="8827" xr3:uid="{AB2D587F-A6EF-4745-8E4F-19E5D0895F0A}" name="Column8821"/>
    <tableColumn id="8828" xr3:uid="{8DE27954-A691-455D-927B-536A63FF0F48}" name="Column8822"/>
    <tableColumn id="8829" xr3:uid="{FB8CB764-EEC6-4842-85AA-7A8295E89CA4}" name="Column8823"/>
    <tableColumn id="8830" xr3:uid="{84BF6E9D-A8B0-4664-94A1-AD4D2BE4A764}" name="Column8824"/>
    <tableColumn id="8831" xr3:uid="{93152CF1-8454-4DCD-B57E-147036C229A7}" name="Column8825"/>
    <tableColumn id="8832" xr3:uid="{3FBE2763-4D51-47BA-BF06-8511169CECA7}" name="Column8826"/>
    <tableColumn id="8833" xr3:uid="{2E2F10F1-C001-4BFA-AEA2-11C26FC31A40}" name="Column8827"/>
    <tableColumn id="8834" xr3:uid="{8845659C-BF47-4FE4-8E97-593B1D37EADE}" name="Column8828"/>
    <tableColumn id="8835" xr3:uid="{FB5AA2F1-7032-4C25-B267-2C03F36EF6D8}" name="Column8829"/>
    <tableColumn id="8836" xr3:uid="{0990EA77-9BE1-4F4F-A767-134054C5DD5B}" name="Column8830"/>
    <tableColumn id="8837" xr3:uid="{F829A66B-6D83-4A6C-936A-F992CDBBA3BC}" name="Column8831"/>
    <tableColumn id="8838" xr3:uid="{2250CFFB-9974-4D60-BA74-B995CC9D6B05}" name="Column8832"/>
    <tableColumn id="8839" xr3:uid="{DD363781-CDD4-4BCE-A772-8A69C300422D}" name="Column8833"/>
    <tableColumn id="8840" xr3:uid="{96A73792-A2A2-44E6-B094-E4D6065EACA8}" name="Column8834"/>
    <tableColumn id="8841" xr3:uid="{0D3915BF-610E-4B19-81F8-945D76A711E3}" name="Column8835"/>
    <tableColumn id="8842" xr3:uid="{302DC3DA-8171-4AAD-B45F-3C861DC178C8}" name="Column8836"/>
    <tableColumn id="8843" xr3:uid="{52EC0010-9309-4034-A126-481C54983C56}" name="Column8837"/>
    <tableColumn id="8844" xr3:uid="{EB3B0D00-A7DE-4CDB-91CF-10C88EE9B269}" name="Column8838"/>
    <tableColumn id="8845" xr3:uid="{F5165899-48F3-4379-9AFB-5875601CD718}" name="Column8839"/>
    <tableColumn id="8846" xr3:uid="{BD90A1CF-3AFB-4FC4-9DFA-329C1BA42A4D}" name="Column8840"/>
    <tableColumn id="8847" xr3:uid="{FA2FCC32-51BF-49CE-9468-DD55B056DB33}" name="Column8841"/>
    <tableColumn id="8848" xr3:uid="{AB542324-FCB6-415B-B43E-B12E1F9C6406}" name="Column8842"/>
    <tableColumn id="8849" xr3:uid="{D183EB65-4CD1-410F-8EFC-C6F75B928EA4}" name="Column8843"/>
    <tableColumn id="8850" xr3:uid="{910E6824-EC50-49BE-8A58-021E11B9120F}" name="Column8844"/>
    <tableColumn id="8851" xr3:uid="{8E3AA486-8F1B-4A2B-A7AE-3B3D05800AD4}" name="Column8845"/>
    <tableColumn id="8852" xr3:uid="{9ADA4F06-AFC0-4CC9-969E-3FD62F396DE1}" name="Column8846"/>
    <tableColumn id="8853" xr3:uid="{DAF040E3-24BC-41DC-8DAE-F40C2C8B16B1}" name="Column8847"/>
    <tableColumn id="8854" xr3:uid="{8CA98B80-34DA-4A7C-A42B-B389C0C7D184}" name="Column8848"/>
    <tableColumn id="8855" xr3:uid="{C31875F1-FAAB-480C-809D-B53567063121}" name="Column8849"/>
    <tableColumn id="8856" xr3:uid="{99E5078D-76C5-42BB-8F80-445BD80F6C41}" name="Column8850"/>
    <tableColumn id="8857" xr3:uid="{7FD8CFAD-2562-4BB8-9BBE-AED51D15DEE5}" name="Column8851"/>
    <tableColumn id="8858" xr3:uid="{EABB53A2-6B20-4D68-A211-C62C635DA3A1}" name="Column8852"/>
    <tableColumn id="8859" xr3:uid="{30A56711-3928-49DE-9B1E-4B5D5E502C0E}" name="Column8853"/>
    <tableColumn id="8860" xr3:uid="{DDE8F2E9-9615-41B5-8EEF-50904A4DA072}" name="Column8854"/>
    <tableColumn id="8861" xr3:uid="{DF313921-5C6D-4B17-B8D3-021BFC31A8C5}" name="Column8855"/>
    <tableColumn id="8862" xr3:uid="{7F38833B-4A55-4B07-8D43-41B314870091}" name="Column8856"/>
    <tableColumn id="8863" xr3:uid="{7946159D-4571-4A29-8454-E6956DAE8D53}" name="Column8857"/>
    <tableColumn id="8864" xr3:uid="{DF8D0150-6FC8-41B1-ACEE-EA6F55D4A98D}" name="Column8858"/>
    <tableColumn id="8865" xr3:uid="{6BE8FC62-BC1A-4AE0-B47C-32E285D08CBD}" name="Column8859"/>
    <tableColumn id="8866" xr3:uid="{F6F966EB-4B85-4F3E-9FB2-2B8F0EE37FC5}" name="Column8860"/>
    <tableColumn id="8867" xr3:uid="{DEBC6FCC-2BE4-497C-9DFB-A9044B35CFD7}" name="Column8861"/>
    <tableColumn id="8868" xr3:uid="{3981FA18-8406-421C-880F-C26378494C69}" name="Column8862"/>
    <tableColumn id="8869" xr3:uid="{4D92BC38-F7BC-46EF-B2BB-8B45EB21E05C}" name="Column8863"/>
    <tableColumn id="8870" xr3:uid="{27921D33-3B55-4ECC-9F4A-7AA99A98CD76}" name="Column8864"/>
    <tableColumn id="8871" xr3:uid="{1ADA4FE1-E7DE-4F72-A480-8DF8A848C1A6}" name="Column8865"/>
    <tableColumn id="8872" xr3:uid="{BA06B73C-5A49-482D-9EE0-C95BC67D4691}" name="Column8866"/>
    <tableColumn id="8873" xr3:uid="{25304221-A70B-4F51-A20F-639B2BA6F00E}" name="Column8867"/>
    <tableColumn id="8874" xr3:uid="{D8AACD4A-5E2A-4063-B144-ED0A1BE42EAB}" name="Column8868"/>
    <tableColumn id="8875" xr3:uid="{5EB2A0A3-9E30-4505-A373-4E25E17E10B3}" name="Column8869"/>
    <tableColumn id="8876" xr3:uid="{5DE15FCC-FB9B-4473-88AC-1D15C3439636}" name="Column8870"/>
    <tableColumn id="8877" xr3:uid="{D21D6BA6-E828-4068-8404-116EC2C31B09}" name="Column8871"/>
    <tableColumn id="8878" xr3:uid="{028AF129-6F6A-4968-9872-07D994EA4665}" name="Column8872"/>
    <tableColumn id="8879" xr3:uid="{49628F6F-8696-4BB2-9B7A-C31699D08F7D}" name="Column8873"/>
    <tableColumn id="8880" xr3:uid="{10B5FC75-E348-45A7-A475-CF76B14EB24F}" name="Column8874"/>
    <tableColumn id="8881" xr3:uid="{5365CA29-E348-4D1C-B19D-F7B7261EEC96}" name="Column8875"/>
    <tableColumn id="8882" xr3:uid="{E81C23EA-E9F9-4F01-8DC6-E076D10D5D6A}" name="Column8876"/>
    <tableColumn id="8883" xr3:uid="{88CA78B4-A467-4C67-B293-96E21966625E}" name="Column8877"/>
    <tableColumn id="8884" xr3:uid="{8EF7ED8A-1CCE-43C2-8FE3-7D69CB22DDB7}" name="Column8878"/>
    <tableColumn id="8885" xr3:uid="{AFD5D568-7E89-4CB0-98B0-D03187CFB970}" name="Column8879"/>
    <tableColumn id="8886" xr3:uid="{3AD950DD-87AF-4732-A26D-3661CBAF1636}" name="Column8880"/>
    <tableColumn id="8887" xr3:uid="{7CED4170-0580-4B8C-B6DE-82F3330B7278}" name="Column8881"/>
    <tableColumn id="8888" xr3:uid="{4A40D0D3-A7FF-4CF8-9D9E-B878370C1BE0}" name="Column8882"/>
    <tableColumn id="8889" xr3:uid="{4E8ABD59-7C94-426F-9347-A5C9F7BA6E56}" name="Column8883"/>
    <tableColumn id="8890" xr3:uid="{B8AA4F63-96BF-4AC0-8FCA-761E027C725B}" name="Column8884"/>
    <tableColumn id="8891" xr3:uid="{49C8212C-5553-482D-8376-DFE891FB5FE3}" name="Column8885"/>
    <tableColumn id="8892" xr3:uid="{C676E681-5DF2-4651-8FA5-15067A42797D}" name="Column8886"/>
    <tableColumn id="8893" xr3:uid="{411C8156-1F31-4B3A-9889-EC7766C15F21}" name="Column8887"/>
    <tableColumn id="8894" xr3:uid="{C594CF75-87AD-4B10-A948-2906FB2AC8A5}" name="Column8888"/>
    <tableColumn id="8895" xr3:uid="{E3E871F2-14FC-4D6D-A11A-8EE45D1D44D8}" name="Column8889"/>
    <tableColumn id="8896" xr3:uid="{0176ED47-3B8A-4068-B53B-B0FE4F6DB27D}" name="Column8890"/>
    <tableColumn id="8897" xr3:uid="{B07365FA-A189-4709-BE1B-CF5D7389A3EB}" name="Column8891"/>
    <tableColumn id="8898" xr3:uid="{2B877DDF-C97A-4365-8E24-8217AC6BFCEB}" name="Column8892"/>
    <tableColumn id="8899" xr3:uid="{4C14750F-E71A-4630-B7CA-5B7977BB0A49}" name="Column8893"/>
    <tableColumn id="8900" xr3:uid="{CF428D4C-BBDA-4930-97B1-EFBBC262D5A7}" name="Column8894"/>
    <tableColumn id="8901" xr3:uid="{E930A421-FD40-4ADB-A704-E01C9B61AD5B}" name="Column8895"/>
    <tableColumn id="8902" xr3:uid="{4A18186E-DDB3-4074-928C-707B2341CA72}" name="Column8896"/>
    <tableColumn id="8903" xr3:uid="{E15F0632-0970-449A-AE00-F7FA2B1A8A97}" name="Column8897"/>
    <tableColumn id="8904" xr3:uid="{467F3351-8409-472E-96F9-E0CCDA5725D4}" name="Column8898"/>
    <tableColumn id="8905" xr3:uid="{813489CB-A265-4EA9-949C-5235CB373E18}" name="Column8899"/>
    <tableColumn id="8906" xr3:uid="{CAE526DA-21DD-4D60-B9E8-1505E9850CFA}" name="Column8900"/>
    <tableColumn id="8907" xr3:uid="{96B83554-EBC3-40A7-A5ED-D36C2034510D}" name="Column8901"/>
    <tableColumn id="8908" xr3:uid="{5EDBF945-2EDE-4E19-8C27-43A871FA2FD8}" name="Column8902"/>
    <tableColumn id="8909" xr3:uid="{A4C5BD5F-488F-4141-B4D5-525742734305}" name="Column8903"/>
    <tableColumn id="8910" xr3:uid="{60983009-A1B5-4194-8E08-B60F10863D92}" name="Column8904"/>
    <tableColumn id="8911" xr3:uid="{E44BD15A-C57C-45E1-B648-C66480B0105C}" name="Column8905"/>
    <tableColumn id="8912" xr3:uid="{CAC68F5F-536A-49CD-8AC1-2A7C95887479}" name="Column8906"/>
    <tableColumn id="8913" xr3:uid="{BF02930C-FF0A-4A05-88A5-267C03575E2C}" name="Column8907"/>
    <tableColumn id="8914" xr3:uid="{F0C22C34-A9B6-4A2F-888E-6DCB49FFE818}" name="Column8908"/>
    <tableColumn id="8915" xr3:uid="{5814744A-1B5E-42CF-BC85-5443228C0BFB}" name="Column8909"/>
    <tableColumn id="8916" xr3:uid="{7E2B1E77-66F8-4703-85B0-ABAD8B30A01B}" name="Column8910"/>
    <tableColumn id="8917" xr3:uid="{8AC69AD4-0B2F-446F-BB61-9ED432DD5404}" name="Column8911"/>
    <tableColumn id="8918" xr3:uid="{EE9C24EC-703E-488B-B20A-F5BF21DD1FAD}" name="Column8912"/>
    <tableColumn id="8919" xr3:uid="{068D62D6-1A86-4372-9698-93C7EFE05C31}" name="Column8913"/>
    <tableColumn id="8920" xr3:uid="{ECA9E8FF-B560-4024-A347-874772C0480A}" name="Column8914"/>
    <tableColumn id="8921" xr3:uid="{61C9F061-DFDA-45B0-BB2C-65B2FDE88A46}" name="Column8915"/>
    <tableColumn id="8922" xr3:uid="{89435859-4519-473B-89EF-F5DF3C2A4639}" name="Column8916"/>
    <tableColumn id="8923" xr3:uid="{B4654D17-59A4-4B7F-8229-729B3F81EAA6}" name="Column8917"/>
    <tableColumn id="8924" xr3:uid="{45FED7B4-4614-4F58-957C-8B1400154FB0}" name="Column8918"/>
    <tableColumn id="8925" xr3:uid="{DFC8D995-B0A3-4A53-AC9A-EA97EFE73BC6}" name="Column8919"/>
    <tableColumn id="8926" xr3:uid="{ECB27556-8071-4069-80B9-56388CE14472}" name="Column8920"/>
    <tableColumn id="8927" xr3:uid="{B17F728F-6FCE-4490-BD10-94464D21D878}" name="Column8921"/>
    <tableColumn id="8928" xr3:uid="{EDCC5F90-45CF-43A5-80E7-E2107ABAB6C2}" name="Column8922"/>
    <tableColumn id="8929" xr3:uid="{42EB19F3-3B66-4BAD-AD25-FB982DA59C8D}" name="Column8923"/>
    <tableColumn id="8930" xr3:uid="{9CEC38A6-365D-445D-BAD7-091587187DD7}" name="Column8924"/>
    <tableColumn id="8931" xr3:uid="{4F4972EF-18F6-4A8A-BCDE-BEBE400CE651}" name="Column8925"/>
    <tableColumn id="8932" xr3:uid="{F0BF63A2-7C9F-4072-B6CC-36645AAB81CA}" name="Column8926"/>
    <tableColumn id="8933" xr3:uid="{2C3963BA-06BE-41E5-8CC3-C9622EF93EA7}" name="Column8927"/>
    <tableColumn id="8934" xr3:uid="{4B62D7E1-ED0D-4295-9AF9-3AE6CD5DEDEB}" name="Column8928"/>
    <tableColumn id="8935" xr3:uid="{92D017E4-94C7-45D3-979D-F898C17106FC}" name="Column8929"/>
    <tableColumn id="8936" xr3:uid="{9A5BDEB4-D474-4682-BC16-03D39D876AD5}" name="Column8930"/>
    <tableColumn id="8937" xr3:uid="{8A58743D-E104-46F0-A2DC-08A347ACCA73}" name="Column8931"/>
    <tableColumn id="8938" xr3:uid="{7D946FA1-EF97-4B12-93B6-459F28639044}" name="Column8932"/>
    <tableColumn id="8939" xr3:uid="{9B7BFEA8-9337-4CF3-8082-4F36FA4DF101}" name="Column8933"/>
    <tableColumn id="8940" xr3:uid="{F44177B7-B21A-4AA7-9566-C2EDC7899CE0}" name="Column8934"/>
    <tableColumn id="8941" xr3:uid="{C7AA9D30-47B9-46EB-BA0E-A09EA2DCD720}" name="Column8935"/>
    <tableColumn id="8942" xr3:uid="{A9B8834A-62C5-4893-B47B-F9A4CFC87069}" name="Column8936"/>
    <tableColumn id="8943" xr3:uid="{9D8EABF7-3474-4A65-B1A4-540A7368953E}" name="Column8937"/>
    <tableColumn id="8944" xr3:uid="{F329BE1A-BE84-4CD0-956B-E4F1F0668A03}" name="Column8938"/>
    <tableColumn id="8945" xr3:uid="{FCF1465A-B8A8-4D17-8723-AE27221CBCF1}" name="Column8939"/>
    <tableColumn id="8946" xr3:uid="{49E505B1-3FB6-4EA7-8B90-07BF78358023}" name="Column8940"/>
    <tableColumn id="8947" xr3:uid="{B4003824-7A21-45DA-8355-D4DBA63125C3}" name="Column8941"/>
    <tableColumn id="8948" xr3:uid="{4085CB27-6928-4B01-A402-95BE4F44EF5F}" name="Column8942"/>
    <tableColumn id="8949" xr3:uid="{99EA016C-BF1A-4127-94E1-728BA6A38BC6}" name="Column8943"/>
    <tableColumn id="8950" xr3:uid="{F49034EA-DBF4-46F7-BBBB-2A7FBAC10CB2}" name="Column8944"/>
    <tableColumn id="8951" xr3:uid="{08C639C8-4FF6-4E55-BD1E-D7E3ECD31C30}" name="Column8945"/>
    <tableColumn id="8952" xr3:uid="{20FF1AC3-BEBB-4F1A-BEF2-624E226E11EC}" name="Column8946"/>
    <tableColumn id="8953" xr3:uid="{767B916D-7E1A-41E1-8555-932D39F04710}" name="Column8947"/>
    <tableColumn id="8954" xr3:uid="{53113084-C2A3-48E9-91A9-3C53A70E6DA2}" name="Column8948"/>
    <tableColumn id="8955" xr3:uid="{573691D7-CFCB-4D79-A68B-C77A30B0FA44}" name="Column8949"/>
    <tableColumn id="8956" xr3:uid="{8042DE23-4004-4910-8EC6-D693783F3884}" name="Column8950"/>
    <tableColumn id="8957" xr3:uid="{C0A02394-4843-4A77-87FD-17356FA0FE5F}" name="Column8951"/>
    <tableColumn id="8958" xr3:uid="{A5E7B911-FBFA-46E1-909F-AC4098EE5F3D}" name="Column8952"/>
    <tableColumn id="8959" xr3:uid="{5D683599-BF10-4DA6-85C0-3DD465A9502D}" name="Column8953"/>
    <tableColumn id="8960" xr3:uid="{A85F5E09-02A1-4252-9406-DADB61725F37}" name="Column8954"/>
    <tableColumn id="8961" xr3:uid="{4775F25B-60C2-466C-AEA2-B21B29810C9D}" name="Column8955"/>
    <tableColumn id="8962" xr3:uid="{F9570207-0F95-45B7-ACD6-56296297A67D}" name="Column8956"/>
    <tableColumn id="8963" xr3:uid="{A4A621BE-E1E0-4738-9076-73F19FBE48C4}" name="Column8957"/>
    <tableColumn id="8964" xr3:uid="{C5740857-D686-47F8-B539-C3F1B5476342}" name="Column8958"/>
    <tableColumn id="8965" xr3:uid="{79F12CB4-D606-4E91-A3C8-2F57C00E407A}" name="Column8959"/>
    <tableColumn id="8966" xr3:uid="{001CB3DE-D878-4C71-894B-6D8796C7A2C8}" name="Column8960"/>
    <tableColumn id="8967" xr3:uid="{886985E0-A669-49C9-A30C-66D4738452E9}" name="Column8961"/>
    <tableColumn id="8968" xr3:uid="{DE62CA9A-4D5D-4653-A2CE-DA04148A28DD}" name="Column8962"/>
    <tableColumn id="8969" xr3:uid="{B7FC968D-07A2-4DAD-8AD0-F306A76E5844}" name="Column8963"/>
    <tableColumn id="8970" xr3:uid="{39D12AA0-AC8A-489D-B7F6-CBE7DB6862A0}" name="Column8964"/>
    <tableColumn id="8971" xr3:uid="{7970B243-C4DD-410A-8F1B-986116D8BBBB}" name="Column8965"/>
    <tableColumn id="8972" xr3:uid="{C893DC6F-5E41-4DC1-A308-C2134D8C31FF}" name="Column8966"/>
    <tableColumn id="8973" xr3:uid="{461E909D-3803-43B6-B063-DD4504F492D4}" name="Column8967"/>
    <tableColumn id="8974" xr3:uid="{D9C0FFC6-327B-454C-95CE-5CACB7238839}" name="Column8968"/>
    <tableColumn id="8975" xr3:uid="{B4882A22-573E-4057-8209-37F33D6E1214}" name="Column8969"/>
    <tableColumn id="8976" xr3:uid="{C4506D2A-2C8F-4FF9-809A-A45707D3BD6F}" name="Column8970"/>
    <tableColumn id="8977" xr3:uid="{0F202355-2752-4C31-B290-2F96262091E7}" name="Column8971"/>
    <tableColumn id="8978" xr3:uid="{33DE70FE-3086-44D3-A584-20FDA53C5B4D}" name="Column8972"/>
    <tableColumn id="8979" xr3:uid="{4E8BA07D-8CE6-4AEF-B967-EC84C7FC4304}" name="Column8973"/>
    <tableColumn id="8980" xr3:uid="{EF9B192B-020A-43CB-8C05-BA6C322D5FF7}" name="Column8974"/>
    <tableColumn id="8981" xr3:uid="{9CBFBD48-2F1E-4122-AD4D-9F90649A14EF}" name="Column8975"/>
    <tableColumn id="8982" xr3:uid="{D3E8C7B4-7516-46F8-9C32-002C1EA8D77C}" name="Column8976"/>
    <tableColumn id="8983" xr3:uid="{AF165B09-56CB-403D-A9A8-ABCE156F012E}" name="Column8977"/>
    <tableColumn id="8984" xr3:uid="{84C4F2B8-8D6A-48CA-A08A-0008782CE5FD}" name="Column8978"/>
    <tableColumn id="8985" xr3:uid="{E595D9B7-FC1A-4367-BDC3-78E096D05C32}" name="Column8979"/>
    <tableColumn id="8986" xr3:uid="{20EF35B7-C941-4842-8C55-55CA528AFCF2}" name="Column8980"/>
    <tableColumn id="8987" xr3:uid="{277F702B-2596-42E3-AA99-E5C9D34B1951}" name="Column8981"/>
    <tableColumn id="8988" xr3:uid="{B50FFB04-E031-49CB-8C63-D951C2328BA1}" name="Column8982"/>
    <tableColumn id="8989" xr3:uid="{CCF3F9C2-81E8-43FC-8495-688E7E5AC53B}" name="Column8983"/>
    <tableColumn id="8990" xr3:uid="{9E22C5EA-E14A-46E6-9A9B-36737DA6467B}" name="Column8984"/>
    <tableColumn id="8991" xr3:uid="{AC54C707-FCF5-4353-AE8C-95D930F1D2AE}" name="Column8985"/>
    <tableColumn id="8992" xr3:uid="{420C3617-5CC2-4B97-90C7-7745CF7BDD01}" name="Column8986"/>
    <tableColumn id="8993" xr3:uid="{5D37D6A6-E872-47ED-A1FA-AC77F12EB430}" name="Column8987"/>
    <tableColumn id="8994" xr3:uid="{FE85C9BB-566A-40A1-AE0B-7E6622551DDF}" name="Column8988"/>
    <tableColumn id="8995" xr3:uid="{1617D084-A77F-4BE1-BF37-3365CB25536A}" name="Column8989"/>
    <tableColumn id="8996" xr3:uid="{2AF6D531-1A98-431D-83D8-DFF68CA4E977}" name="Column8990"/>
    <tableColumn id="8997" xr3:uid="{21FB4B76-EA03-4845-8523-5C568E1E838B}" name="Column8991"/>
    <tableColumn id="8998" xr3:uid="{69EBC25E-A569-4F2F-8F4C-646A93B4A9FD}" name="Column8992"/>
    <tableColumn id="8999" xr3:uid="{91BF4069-76AA-4521-9A18-B69F23271B3F}" name="Column8993"/>
    <tableColumn id="9000" xr3:uid="{4B6BA24A-0672-42AF-90FC-FCCA323A3679}" name="Column8994"/>
    <tableColumn id="9001" xr3:uid="{23C2AD1D-B38A-4D37-90D7-3F218B0194AB}" name="Column8995"/>
    <tableColumn id="9002" xr3:uid="{9088E3B2-7A6F-4660-9721-F3C2B525DC72}" name="Column8996"/>
    <tableColumn id="9003" xr3:uid="{B55F80D1-9184-4F1E-8063-2137CB5CCFFC}" name="Column8997"/>
    <tableColumn id="9004" xr3:uid="{5FAC2781-F46E-4960-B9EF-812BE1E8CCB0}" name="Column8998"/>
    <tableColumn id="9005" xr3:uid="{9E7B425F-D806-428B-82A2-53603AA3A189}" name="Column8999"/>
    <tableColumn id="9006" xr3:uid="{27572FAE-2A7E-4DC2-8560-9A271AF688AC}" name="Column9000"/>
    <tableColumn id="9007" xr3:uid="{18174F7C-C93F-4D79-8822-37400EE9F51C}" name="Column9001"/>
    <tableColumn id="9008" xr3:uid="{F1950531-8209-42C9-B828-4FFDA32445AD}" name="Column9002"/>
    <tableColumn id="9009" xr3:uid="{665E089F-77D4-43EA-9F52-9728B77BBC88}" name="Column9003"/>
    <tableColumn id="9010" xr3:uid="{DD04C257-5C88-4AB3-ACF7-313DDD1CF78A}" name="Column9004"/>
    <tableColumn id="9011" xr3:uid="{D2CACB53-935E-4591-A897-11325327881B}" name="Column9005"/>
    <tableColumn id="9012" xr3:uid="{CCC00F5D-F583-4094-8F5E-D1E70A368118}" name="Column9006"/>
    <tableColumn id="9013" xr3:uid="{8E669339-35D6-42DD-9F4F-587DA7A629B4}" name="Column9007"/>
    <tableColumn id="9014" xr3:uid="{89DB65E0-53A7-4DF6-988B-CC71695C452F}" name="Column9008"/>
    <tableColumn id="9015" xr3:uid="{BB90CFB6-2AF7-40F2-BA17-52089BBC767A}" name="Column9009"/>
    <tableColumn id="9016" xr3:uid="{C12C1CF4-900F-4D3E-A4FB-1D45C751013D}" name="Column9010"/>
    <tableColumn id="9017" xr3:uid="{13B64C59-F16E-47BB-97C3-CE2CACC344A4}" name="Column9011"/>
    <tableColumn id="9018" xr3:uid="{2899EC05-EB26-4A7A-9012-C74AFC7788BB}" name="Column9012"/>
    <tableColumn id="9019" xr3:uid="{8B7278A5-08A3-4557-9023-02BBA2B25AAC}" name="Column9013"/>
    <tableColumn id="9020" xr3:uid="{A2E54989-D3BB-40AD-BC96-622AA3FBB2D0}" name="Column9014"/>
    <tableColumn id="9021" xr3:uid="{A78F4F52-09DF-41C9-A097-6C1D7D357971}" name="Column9015"/>
    <tableColumn id="9022" xr3:uid="{5BD82B7C-DEF6-487C-8390-7630875736D4}" name="Column9016"/>
    <tableColumn id="9023" xr3:uid="{ECA05695-17B2-4573-AAD7-FEF2BAA542B3}" name="Column9017"/>
    <tableColumn id="9024" xr3:uid="{F48958D0-56C5-49B7-A5BE-8717096025A3}" name="Column9018"/>
    <tableColumn id="9025" xr3:uid="{7BD4D42A-2A1D-4713-B93A-5FB16A8B0F15}" name="Column9019"/>
    <tableColumn id="9026" xr3:uid="{FF4D4DA6-2D7A-4422-9F95-334B037D02E0}" name="Column9020"/>
    <tableColumn id="9027" xr3:uid="{C70FB591-641B-4E6E-83F7-E25ECF896F0D}" name="Column9021"/>
    <tableColumn id="9028" xr3:uid="{A44ADDAB-60A2-4555-A8CD-829DC34E6F01}" name="Column9022"/>
    <tableColumn id="9029" xr3:uid="{4F8DF1E4-200A-4FFD-A54D-4858487A7965}" name="Column9023"/>
    <tableColumn id="9030" xr3:uid="{13503A12-CB5E-407F-96D1-DBCADFB68589}" name="Column9024"/>
    <tableColumn id="9031" xr3:uid="{63B1B8D5-05FF-440C-BE7A-9621BE7B58B9}" name="Column9025"/>
    <tableColumn id="9032" xr3:uid="{24C62F8C-B3C1-4E3E-8E5A-2AAB6B57EE0B}" name="Column9026"/>
    <tableColumn id="9033" xr3:uid="{005844A8-CE2C-4917-851B-B08249CA9D83}" name="Column9027"/>
    <tableColumn id="9034" xr3:uid="{E8F646B9-35E2-4215-A5DF-E15C484D0D2E}" name="Column9028"/>
    <tableColumn id="9035" xr3:uid="{F512754E-1344-43E3-A814-52B02EE5775F}" name="Column9029"/>
    <tableColumn id="9036" xr3:uid="{D8D17ED0-B632-4C31-8335-1E184CF02C79}" name="Column9030"/>
    <tableColumn id="9037" xr3:uid="{8696C034-BC31-4D33-9F88-3BFE61A923E2}" name="Column9031"/>
    <tableColumn id="9038" xr3:uid="{CEE7EAA1-5FCB-4F52-A4DF-A948A8473251}" name="Column9032"/>
    <tableColumn id="9039" xr3:uid="{B6593128-947B-413B-B53A-991D54621C2E}" name="Column9033"/>
    <tableColumn id="9040" xr3:uid="{471DB2D2-7E8F-4376-BAF3-6148B2750CD3}" name="Column9034"/>
    <tableColumn id="9041" xr3:uid="{633D3B12-1FF2-4225-BF97-26E7C0853995}" name="Column9035"/>
    <tableColumn id="9042" xr3:uid="{6B4AA645-31B8-4C06-BE39-1E1BAEED8A79}" name="Column9036"/>
    <tableColumn id="9043" xr3:uid="{2295F2C4-205C-41A1-9E83-9B4B530C95B0}" name="Column9037"/>
    <tableColumn id="9044" xr3:uid="{75885AD2-FCCE-4E89-8CA2-D25EBD024793}" name="Column9038"/>
    <tableColumn id="9045" xr3:uid="{26098E3D-1FDE-434B-AEF3-7745E9013976}" name="Column9039"/>
    <tableColumn id="9046" xr3:uid="{FC1EE414-B330-4EB7-8C3D-74106589DA17}" name="Column9040"/>
    <tableColumn id="9047" xr3:uid="{A5E2F99B-5F9A-41E9-93B4-D8CFCF94A45B}" name="Column9041"/>
    <tableColumn id="9048" xr3:uid="{D794B3E9-5DEF-4C29-B45E-6D3130EFF68D}" name="Column9042"/>
    <tableColumn id="9049" xr3:uid="{35D67741-EBA1-4D35-A23D-BD8C089C2BA8}" name="Column9043"/>
    <tableColumn id="9050" xr3:uid="{0E8ED3A7-1681-47B3-917F-ACD24222A16A}" name="Column9044"/>
    <tableColumn id="9051" xr3:uid="{EB6A8E63-0FEE-42B3-98D1-31CFCC7AB57B}" name="Column9045"/>
    <tableColumn id="9052" xr3:uid="{2C7ACB98-4B61-4EB3-A539-EEA54B1EB8D2}" name="Column9046"/>
    <tableColumn id="9053" xr3:uid="{D303D4BE-7755-415F-A2E9-166684710AFA}" name="Column9047"/>
    <tableColumn id="9054" xr3:uid="{735FB25D-FF1D-4058-BF75-66102D8C6F44}" name="Column9048"/>
    <tableColumn id="9055" xr3:uid="{ED025B0E-2C5C-411C-8F18-71D36C8EE3A9}" name="Column9049"/>
    <tableColumn id="9056" xr3:uid="{D3E1E2DC-E4FE-4B1B-8DB9-FD6337B553BE}" name="Column9050"/>
    <tableColumn id="9057" xr3:uid="{5393C6FB-0A29-4C16-8F71-BD8EDD63F36F}" name="Column9051"/>
    <tableColumn id="9058" xr3:uid="{56C156B1-7EF7-4B22-B9F7-AF348699B528}" name="Column9052"/>
    <tableColumn id="9059" xr3:uid="{EB657AE0-9DD9-45F3-93BF-EF7FBF66DFAA}" name="Column9053"/>
    <tableColumn id="9060" xr3:uid="{55D28B72-173C-46DF-A2A4-D1CAA3DA3E07}" name="Column9054"/>
    <tableColumn id="9061" xr3:uid="{F8EABDCA-A2AE-4BE3-9786-A9C3FBA260C3}" name="Column9055"/>
    <tableColumn id="9062" xr3:uid="{64BD3DF1-E119-4408-BC42-82ED38711F7F}" name="Column9056"/>
    <tableColumn id="9063" xr3:uid="{AE7D185E-E3FB-49E5-A2F9-858B3D63CE66}" name="Column9057"/>
    <tableColumn id="9064" xr3:uid="{7182A4B2-A9ED-4F0B-9679-6EB1ABAE17A6}" name="Column9058"/>
    <tableColumn id="9065" xr3:uid="{C724D167-8D72-4BDC-88D6-255AE4ECEBE6}" name="Column9059"/>
    <tableColumn id="9066" xr3:uid="{369BA6B9-C8E3-4D6E-866C-844B5FDDA98A}" name="Column9060"/>
    <tableColumn id="9067" xr3:uid="{F3AF3496-B6C9-4372-914A-D3D95EB5C93D}" name="Column9061"/>
    <tableColumn id="9068" xr3:uid="{668C4C0A-E752-4E9B-A463-AF3C104EDCA5}" name="Column9062"/>
    <tableColumn id="9069" xr3:uid="{6E7C3E13-188C-4931-B7DD-421429B1AD66}" name="Column9063"/>
    <tableColumn id="9070" xr3:uid="{D765B294-03C3-46C6-AE4B-A9C4AB656B17}" name="Column9064"/>
    <tableColumn id="9071" xr3:uid="{65147506-7AF4-45BB-B642-541846E62181}" name="Column9065"/>
    <tableColumn id="9072" xr3:uid="{8156DEF1-AFDA-48A6-AC16-9DC80CC725C9}" name="Column9066"/>
    <tableColumn id="9073" xr3:uid="{F67FA1BC-076F-4D82-BA77-673DA7FECDCD}" name="Column9067"/>
    <tableColumn id="9074" xr3:uid="{BD74B254-978A-41D4-B8B2-0E63CF3CFD38}" name="Column9068"/>
    <tableColumn id="9075" xr3:uid="{C7878A95-3124-41FC-BB2B-10BBEB6AFEDE}" name="Column9069"/>
    <tableColumn id="9076" xr3:uid="{1B8163F0-A268-44B4-BA9D-315DF663110E}" name="Column9070"/>
    <tableColumn id="9077" xr3:uid="{319B3BF5-8D2B-48F6-AF21-6F8C723F07B0}" name="Column9071"/>
    <tableColumn id="9078" xr3:uid="{61A6C5CD-AE88-44AB-A830-6B9951341CA4}" name="Column9072"/>
    <tableColumn id="9079" xr3:uid="{BD4AE97D-8FBC-41EB-BE73-5BD8E0DEE034}" name="Column9073"/>
    <tableColumn id="9080" xr3:uid="{2EFA984E-41F2-44E5-982E-7E097BBFAD20}" name="Column9074"/>
    <tableColumn id="9081" xr3:uid="{B0C08169-45F3-402A-B7DB-2B5020A2679F}" name="Column9075"/>
    <tableColumn id="9082" xr3:uid="{7132DE47-16A7-45AE-8B1A-AE8171449CEB}" name="Column9076"/>
    <tableColumn id="9083" xr3:uid="{213ED9E7-8499-427B-B13B-3ABC2B2B78BA}" name="Column9077"/>
    <tableColumn id="9084" xr3:uid="{91C696EE-ACA3-45F5-ACE0-26855AE6FB25}" name="Column9078"/>
    <tableColumn id="9085" xr3:uid="{05B90B83-3487-43B6-BB92-C7A5D36C8A9A}" name="Column9079"/>
    <tableColumn id="9086" xr3:uid="{821E61AC-5085-48CC-879F-0A619E0E54EE}" name="Column9080"/>
    <tableColumn id="9087" xr3:uid="{6D72CCB5-5600-4DBB-8AF5-A6C94097236A}" name="Column9081"/>
    <tableColumn id="9088" xr3:uid="{6BF257B4-EF30-4CB2-9949-829F7C047A00}" name="Column9082"/>
    <tableColumn id="9089" xr3:uid="{4AF6E036-963A-4784-A140-4D64A4262C21}" name="Column9083"/>
    <tableColumn id="9090" xr3:uid="{432A1A8E-087D-4FAB-B511-5AEF65FC3EC9}" name="Column9084"/>
    <tableColumn id="9091" xr3:uid="{505E5E6C-CDE9-45A6-9BA6-0DFA205383E0}" name="Column9085"/>
    <tableColumn id="9092" xr3:uid="{D74FBA48-B118-4C44-A826-732EA0C99FFB}" name="Column9086"/>
    <tableColumn id="9093" xr3:uid="{D2CE823E-76F7-4E5B-A580-81DAE2BA20A4}" name="Column9087"/>
    <tableColumn id="9094" xr3:uid="{68D12B05-050F-4083-A92E-4DDC44C8C45E}" name="Column9088"/>
    <tableColumn id="9095" xr3:uid="{B6084150-54CD-41C1-8ECD-811B0D172E22}" name="Column9089"/>
    <tableColumn id="9096" xr3:uid="{FD53399B-7A87-4BAF-B684-FF3DF45F5FB1}" name="Column9090"/>
    <tableColumn id="9097" xr3:uid="{9E3F0F20-D76F-499F-823C-1F12B13FF7B7}" name="Column9091"/>
    <tableColumn id="9098" xr3:uid="{210593FA-DAE5-4D3F-93C5-0E44DC8D5C17}" name="Column9092"/>
    <tableColumn id="9099" xr3:uid="{BF4EF833-592D-4CFD-9AAE-159FD52219D0}" name="Column9093"/>
    <tableColumn id="9100" xr3:uid="{474F1B58-FC7F-4A69-96B1-6B96FE666F84}" name="Column9094"/>
    <tableColumn id="9101" xr3:uid="{D1547DB3-8375-4D86-8899-C15F78C355D4}" name="Column9095"/>
    <tableColumn id="9102" xr3:uid="{EA313FB6-AD20-43F9-BDDD-D5297983B001}" name="Column9096"/>
    <tableColumn id="9103" xr3:uid="{BCEB0C88-001B-41A1-96EF-5F61F1D25CC2}" name="Column9097"/>
    <tableColumn id="9104" xr3:uid="{80460837-0F0C-427E-B9C1-FE4CC802D9F5}" name="Column9098"/>
    <tableColumn id="9105" xr3:uid="{EFA4F1E8-237E-4453-A528-84427ABAEA69}" name="Column9099"/>
    <tableColumn id="9106" xr3:uid="{051D3A2D-58A0-454F-B88C-6BB65902C31A}" name="Column9100"/>
    <tableColumn id="9107" xr3:uid="{B30E2DDA-2174-4E89-9BBA-3B97ACAF648E}" name="Column9101"/>
    <tableColumn id="9108" xr3:uid="{DBC48F03-BACB-4461-9423-E2BDF942968F}" name="Column9102"/>
    <tableColumn id="9109" xr3:uid="{B759FFC5-652E-42DE-9419-7ACA19220D20}" name="Column9103"/>
    <tableColumn id="9110" xr3:uid="{821FF06C-4800-4BE9-9839-0E4A811ADF48}" name="Column9104"/>
    <tableColumn id="9111" xr3:uid="{6F9BABD1-9779-4F03-AE9E-AF04E573561D}" name="Column9105"/>
    <tableColumn id="9112" xr3:uid="{8E2D77AB-1C47-4A22-A06E-D84EF6761F75}" name="Column9106"/>
    <tableColumn id="9113" xr3:uid="{C4824A30-3F83-44E2-8912-A58B88E06F10}" name="Column9107"/>
    <tableColumn id="9114" xr3:uid="{FEC88A32-3E92-4F8C-937A-73FBEA2EBB90}" name="Column9108"/>
    <tableColumn id="9115" xr3:uid="{DF3B8F50-1759-4822-9666-64526FF4D68F}" name="Column9109"/>
    <tableColumn id="9116" xr3:uid="{51586360-1274-4898-8FF0-0EB4F6F02964}" name="Column9110"/>
    <tableColumn id="9117" xr3:uid="{4F9986C8-4139-4AE7-87FD-72E15EE823BC}" name="Column9111"/>
    <tableColumn id="9118" xr3:uid="{F7A1C41D-5474-49FE-BB49-2E91FDCDD6A0}" name="Column9112"/>
    <tableColumn id="9119" xr3:uid="{6B7C666F-A249-481B-83BA-82E03EE38BD8}" name="Column9113"/>
    <tableColumn id="9120" xr3:uid="{37591001-F787-4E82-996F-C7AD434D1D70}" name="Column9114"/>
    <tableColumn id="9121" xr3:uid="{4853A84B-FEAF-4EEE-9D10-F4BF33272C4B}" name="Column9115"/>
    <tableColumn id="9122" xr3:uid="{B6351EF6-1452-4759-B319-9B5BDBC3F348}" name="Column9116"/>
    <tableColumn id="9123" xr3:uid="{F829B126-D220-4991-8535-942F12A67112}" name="Column9117"/>
    <tableColumn id="9124" xr3:uid="{917F2727-F996-4ED1-8F50-A906BC056700}" name="Column9118"/>
    <tableColumn id="9125" xr3:uid="{24DFF544-E319-471E-B5F6-648D72BE3760}" name="Column9119"/>
    <tableColumn id="9126" xr3:uid="{660D9313-9EB1-48D8-8B48-D60DF0E2A0F0}" name="Column9120"/>
    <tableColumn id="9127" xr3:uid="{A736D644-6AF1-4555-BFAE-0069F061D1F4}" name="Column9121"/>
    <tableColumn id="9128" xr3:uid="{29C89335-619C-4309-8F88-A6106CF7CCB0}" name="Column9122"/>
    <tableColumn id="9129" xr3:uid="{DB517FF4-D5AC-4913-A08D-8F8744D447BB}" name="Column9123"/>
    <tableColumn id="9130" xr3:uid="{612205ED-F0F6-42F3-9DC5-698E575BC68C}" name="Column9124"/>
    <tableColumn id="9131" xr3:uid="{086A8D59-5256-4BA3-B59C-14F5D06E94F0}" name="Column9125"/>
    <tableColumn id="9132" xr3:uid="{35760B77-0599-40F9-A016-27C73430BDAB}" name="Column9126"/>
    <tableColumn id="9133" xr3:uid="{2D2A81E1-E01E-4C34-BCD6-F7F78BAF7E0E}" name="Column9127"/>
    <tableColumn id="9134" xr3:uid="{5A27E6FC-136B-4545-811B-F82C76D0BE61}" name="Column9128"/>
    <tableColumn id="9135" xr3:uid="{9983584D-AAF2-4028-8BBE-E6B8D57EE0D1}" name="Column9129"/>
    <tableColumn id="9136" xr3:uid="{3505A9EC-1A2B-4FF8-A942-7DFC49EC45F9}" name="Column9130"/>
    <tableColumn id="9137" xr3:uid="{FA46BE62-3077-4126-B18E-5498BD4FD418}" name="Column9131"/>
    <tableColumn id="9138" xr3:uid="{F026D523-633B-4E7D-8B33-99A09D469A37}" name="Column9132"/>
    <tableColumn id="9139" xr3:uid="{08FE9D25-B5E8-4EB2-917F-DDE45D5AD76A}" name="Column9133"/>
    <tableColumn id="9140" xr3:uid="{DE759AC6-52FD-4BC1-9556-2E01412E4380}" name="Column9134"/>
    <tableColumn id="9141" xr3:uid="{41A4A98A-A87F-48E9-8007-4FAA5C0AD552}" name="Column9135"/>
    <tableColumn id="9142" xr3:uid="{7FABF8EB-E404-430D-930F-DA1F6234A4F0}" name="Column9136"/>
    <tableColumn id="9143" xr3:uid="{397BA2FE-C0F9-41E7-AA9E-1F4A53FEC882}" name="Column9137"/>
    <tableColumn id="9144" xr3:uid="{51EEE4FF-0DAF-4D6E-B2B0-CE7321E25D32}" name="Column9138"/>
    <tableColumn id="9145" xr3:uid="{C40E75DD-5CFE-4518-8328-4E7585FC8447}" name="Column9139"/>
    <tableColumn id="9146" xr3:uid="{EF1DC694-A2E5-4437-974E-B717D5ACF3AD}" name="Column9140"/>
    <tableColumn id="9147" xr3:uid="{918C08D8-0387-4179-A86B-CF907DB0F991}" name="Column9141"/>
    <tableColumn id="9148" xr3:uid="{B90287D2-976D-4711-926B-903F629CE92E}" name="Column9142"/>
    <tableColumn id="9149" xr3:uid="{1F7C8484-C346-482E-AA19-DFF00C080D5D}" name="Column9143"/>
    <tableColumn id="9150" xr3:uid="{3CE18191-51B9-4243-BB6A-0EFC5FABDC80}" name="Column9144"/>
    <tableColumn id="9151" xr3:uid="{7FA39516-90C0-4F3D-A39E-B0AA217A92D8}" name="Column9145"/>
    <tableColumn id="9152" xr3:uid="{471245F8-6B28-4230-81E3-D216F0D88461}" name="Column9146"/>
    <tableColumn id="9153" xr3:uid="{0389649E-7D80-4E2E-B5D7-50D5A076825B}" name="Column9147"/>
    <tableColumn id="9154" xr3:uid="{51637616-6BD7-4665-98F3-33A6A99EA131}" name="Column9148"/>
    <tableColumn id="9155" xr3:uid="{F894FB59-D529-4574-90C6-989093F0C799}" name="Column9149"/>
    <tableColumn id="9156" xr3:uid="{A86B2E3E-B305-4572-BD86-EBFF7A5B815D}" name="Column9150"/>
    <tableColumn id="9157" xr3:uid="{4C813FD5-F748-4F8C-9385-02A262EC1329}" name="Column9151"/>
    <tableColumn id="9158" xr3:uid="{3B95C1DB-642A-401D-B059-2EFA6BDF47EB}" name="Column9152"/>
    <tableColumn id="9159" xr3:uid="{70E25091-77A9-40C2-A5E9-B7A2E53BE161}" name="Column9153"/>
    <tableColumn id="9160" xr3:uid="{15555FC1-D20F-4A97-B6A8-D4FEDA68C700}" name="Column9154"/>
    <tableColumn id="9161" xr3:uid="{D2D1C9AC-ECBD-458B-A98E-B391D7BD6DAC}" name="Column9155"/>
    <tableColumn id="9162" xr3:uid="{E9892FCB-EE15-4F37-9EA7-2579923B73B1}" name="Column9156"/>
    <tableColumn id="9163" xr3:uid="{417C7C21-490B-47BC-9E5C-6DA9D74CC3EE}" name="Column9157"/>
    <tableColumn id="9164" xr3:uid="{B220401A-4081-48E3-8D8B-8E7847863A84}" name="Column9158"/>
    <tableColumn id="9165" xr3:uid="{A133E01A-99C4-4B0A-A4D5-87C0C13CD8AF}" name="Column9159"/>
    <tableColumn id="9166" xr3:uid="{55901999-918F-41E3-880B-204D15D0DC55}" name="Column9160"/>
    <tableColumn id="9167" xr3:uid="{67A1F7E5-CCB3-4D53-AB5F-93853469AA55}" name="Column9161"/>
    <tableColumn id="9168" xr3:uid="{805FF0F7-3BDA-4C23-9A95-CDA0940FC14F}" name="Column9162"/>
    <tableColumn id="9169" xr3:uid="{50C789A5-887E-4E82-AEED-5F34A4318ED5}" name="Column9163"/>
    <tableColumn id="9170" xr3:uid="{9EAB68FA-259A-4CC4-848C-0E2E75704D7D}" name="Column9164"/>
    <tableColumn id="9171" xr3:uid="{A626FCB1-E163-4EC7-993F-74653F9A6E52}" name="Column9165"/>
    <tableColumn id="9172" xr3:uid="{635D6CBE-8FE1-46B0-86E4-932F0B59D82B}" name="Column9166"/>
    <tableColumn id="9173" xr3:uid="{CAB1839A-B5F3-42CB-91B2-66EB4B4BDD3E}" name="Column9167"/>
    <tableColumn id="9174" xr3:uid="{A0A0707C-4C49-4E8F-9A00-1B75DC0FA14C}" name="Column9168"/>
    <tableColumn id="9175" xr3:uid="{A7011A86-157C-4802-B1CD-A3DF97BEE2D3}" name="Column9169"/>
    <tableColumn id="9176" xr3:uid="{4F668372-1DF6-4BDF-A6DA-4CE2DF82D0DD}" name="Column9170"/>
    <tableColumn id="9177" xr3:uid="{73A1D42A-6B26-4710-B7D2-06D2795CAB75}" name="Column9171"/>
    <tableColumn id="9178" xr3:uid="{E65CDAA0-50FD-416C-BE3F-15ED59BFBA3F}" name="Column9172"/>
    <tableColumn id="9179" xr3:uid="{D0F927F3-B5D6-41AA-AC4A-E31C649C2ED2}" name="Column9173"/>
    <tableColumn id="9180" xr3:uid="{E9A97D5A-3A4A-4015-967D-4BBE417E40F8}" name="Column9174"/>
    <tableColumn id="9181" xr3:uid="{8AFC3D66-174A-4C3F-A594-D0D031937B67}" name="Column9175"/>
    <tableColumn id="9182" xr3:uid="{C8A22D05-64C6-4C64-A6FE-051D6409D2FA}" name="Column9176"/>
    <tableColumn id="9183" xr3:uid="{09F42207-31D5-41A5-B3C1-C6F3895AC1A2}" name="Column9177"/>
    <tableColumn id="9184" xr3:uid="{FC3A361A-A83E-49AF-A03E-474B080B63D8}" name="Column9178"/>
    <tableColumn id="9185" xr3:uid="{2E9F87CE-E55C-4A80-A1C9-B60EC038CB6F}" name="Column9179"/>
    <tableColumn id="9186" xr3:uid="{C347E3C5-E4A0-40F0-9D13-1644DEBBAB04}" name="Column9180"/>
    <tableColumn id="9187" xr3:uid="{35B1E4F9-7D76-4046-ADC3-03F17CD8D0AF}" name="Column9181"/>
    <tableColumn id="9188" xr3:uid="{A04C1A48-EF8E-434A-AADC-CA19AA115B74}" name="Column9182"/>
    <tableColumn id="9189" xr3:uid="{8B8765C5-8BFE-4573-9C5C-E339BBA8A894}" name="Column9183"/>
    <tableColumn id="9190" xr3:uid="{2A0BC6ED-8C94-4583-9D98-AACD01B82BE9}" name="Column9184"/>
    <tableColumn id="9191" xr3:uid="{F874E9D6-90E6-4B75-B60C-070ECE84E9C8}" name="Column9185"/>
    <tableColumn id="9192" xr3:uid="{4DE896BA-BBB0-41FF-BA7B-A911169E71C0}" name="Column9186"/>
    <tableColumn id="9193" xr3:uid="{C5DD8B09-0BEF-47B7-8ECD-767E8FE726DC}" name="Column9187"/>
    <tableColumn id="9194" xr3:uid="{899C3240-F7A7-4F86-A03C-719D49071E69}" name="Column9188"/>
    <tableColumn id="9195" xr3:uid="{30213E38-CD16-46E7-A740-750E67A6241F}" name="Column9189"/>
    <tableColumn id="9196" xr3:uid="{B74556FD-43A6-4606-8DC3-15EC7B603683}" name="Column9190"/>
    <tableColumn id="9197" xr3:uid="{439CEA2D-6006-467D-9F5B-341CB5175E0A}" name="Column9191"/>
    <tableColumn id="9198" xr3:uid="{0E012B05-04ED-4D71-AA82-D1ADB61104CC}" name="Column9192"/>
    <tableColumn id="9199" xr3:uid="{3482DF0B-E4AF-4382-A842-46DAE99C7D5D}" name="Column9193"/>
    <tableColumn id="9200" xr3:uid="{050E3884-2486-4918-8EA4-8BBB9399CCEB}" name="Column9194"/>
    <tableColumn id="9201" xr3:uid="{C1BFF935-7B0D-48F2-B200-CA2C6A561E82}" name="Column9195"/>
    <tableColumn id="9202" xr3:uid="{FB13AF7A-D43E-4871-8530-F9D50A123EBD}" name="Column9196"/>
    <tableColumn id="9203" xr3:uid="{CC8AB095-5957-4CAD-B57B-18D7CC6778C5}" name="Column9197"/>
    <tableColumn id="9204" xr3:uid="{F287925D-ADF6-471E-A6C6-C87CFAE16154}" name="Column9198"/>
    <tableColumn id="9205" xr3:uid="{9EF0064B-D250-40D9-B4AD-168229DF1336}" name="Column9199"/>
    <tableColumn id="9206" xr3:uid="{51071DC1-0529-4A83-8A71-A3D5CD387BCF}" name="Column9200"/>
    <tableColumn id="9207" xr3:uid="{FDBE46C2-51E3-4017-BE2E-FB65516E4C7F}" name="Column9201"/>
    <tableColumn id="9208" xr3:uid="{746B9F4F-BC65-436A-9959-CE608CA8508D}" name="Column9202"/>
    <tableColumn id="9209" xr3:uid="{D5B62E1E-9B28-4776-A605-F366012C6BA6}" name="Column9203"/>
    <tableColumn id="9210" xr3:uid="{5FDE8290-2BCD-41BF-BE8D-5C625149CBB9}" name="Column9204"/>
    <tableColumn id="9211" xr3:uid="{4ED3A67B-C7DD-4C8A-9C61-3423219EC453}" name="Column9205"/>
    <tableColumn id="9212" xr3:uid="{4178BACF-53D9-4BFC-9DF6-2EAF800403E5}" name="Column9206"/>
    <tableColumn id="9213" xr3:uid="{A0B7B449-DA10-4DD7-89FF-7BFCBBDCE8DF}" name="Column9207"/>
    <tableColumn id="9214" xr3:uid="{C21C1D44-42A3-410B-9407-443C7EE3B46D}" name="Column9208"/>
    <tableColumn id="9215" xr3:uid="{F88A0B56-C0F1-4924-9AC4-6EE6495D5616}" name="Column9209"/>
    <tableColumn id="9216" xr3:uid="{DA23A98C-A1CC-4BBB-9F04-3CC6CD3A0123}" name="Column9210"/>
    <tableColumn id="9217" xr3:uid="{C760AA45-1147-40D4-A7CE-6B8A2D610253}" name="Column9211"/>
    <tableColumn id="9218" xr3:uid="{D29E6C59-3FB0-4555-B58B-2AA33E88766F}" name="Column9212"/>
    <tableColumn id="9219" xr3:uid="{3C04DEA9-6333-48ED-A33F-3D99C1B268C3}" name="Column9213"/>
    <tableColumn id="9220" xr3:uid="{97D11CD0-B307-4C82-A4B7-6649E640650F}" name="Column9214"/>
    <tableColumn id="9221" xr3:uid="{047CA654-D90B-4DAB-928E-E37BF761359E}" name="Column9215"/>
    <tableColumn id="9222" xr3:uid="{7C4CD29D-50AE-4284-96C5-BCFDD2BB2F10}" name="Column9216"/>
    <tableColumn id="9223" xr3:uid="{B6747189-12FE-4285-9D5D-08E3BE26D23C}" name="Column9217"/>
    <tableColumn id="9224" xr3:uid="{347BC95F-F464-4853-84D9-86986EA66C33}" name="Column9218"/>
    <tableColumn id="9225" xr3:uid="{F84C4FC8-196A-448C-B0B5-018BB483EDAD}" name="Column9219"/>
    <tableColumn id="9226" xr3:uid="{2043C35F-3FDA-4000-9291-06808408FF29}" name="Column9220"/>
    <tableColumn id="9227" xr3:uid="{8E8A8045-AC6C-4847-AC00-BCA74B491495}" name="Column9221"/>
    <tableColumn id="9228" xr3:uid="{55C89646-4A31-4B42-8018-57B5E37942EE}" name="Column9222"/>
    <tableColumn id="9229" xr3:uid="{0560059D-7E16-489D-84D0-F16B9BA11E8E}" name="Column9223"/>
    <tableColumn id="9230" xr3:uid="{AC2C8932-9688-4F3A-9C36-BB0786D226A6}" name="Column9224"/>
    <tableColumn id="9231" xr3:uid="{E63CF514-DFD0-471C-BB0F-1FBEFFC3D7BF}" name="Column9225"/>
    <tableColumn id="9232" xr3:uid="{CA5D2480-A051-415F-99A1-D76E3EECFE07}" name="Column9226"/>
    <tableColumn id="9233" xr3:uid="{E70BEE3F-E8D2-42D1-9578-60954E8C00E0}" name="Column9227"/>
    <tableColumn id="9234" xr3:uid="{A12DB0F7-AE51-4183-B2C7-976C15DA7516}" name="Column9228"/>
    <tableColumn id="9235" xr3:uid="{22C6A53B-36E9-4F3D-87F0-843A3DBD6AF4}" name="Column9229"/>
    <tableColumn id="9236" xr3:uid="{A8617926-CAF4-4B23-8F7B-C3F21F72B126}" name="Column9230"/>
    <tableColumn id="9237" xr3:uid="{7CF23656-775C-48F8-B285-4402A16C85FD}" name="Column9231"/>
    <tableColumn id="9238" xr3:uid="{F8456859-182B-4E6B-87ED-E5B3FCF8EA9E}" name="Column9232"/>
    <tableColumn id="9239" xr3:uid="{B6D9F481-A65F-42E6-A59C-2E5F7AEA37D0}" name="Column9233"/>
    <tableColumn id="9240" xr3:uid="{A6C9E14D-0C85-482B-A4C2-86EAA305795D}" name="Column9234"/>
    <tableColumn id="9241" xr3:uid="{82FD07D4-2574-4DD3-B6C0-6A4BCFBFB7C0}" name="Column9235"/>
    <tableColumn id="9242" xr3:uid="{46DA9BF8-FA55-4C69-B21C-93C322F4F695}" name="Column9236"/>
    <tableColumn id="9243" xr3:uid="{DAC0ABEB-5547-4CCF-BCA7-BEF9CC294AF8}" name="Column9237"/>
    <tableColumn id="9244" xr3:uid="{C547C89A-A10D-4E65-87EF-870A7C9C4C06}" name="Column9238"/>
    <tableColumn id="9245" xr3:uid="{24EF3A50-7E65-4E87-AC60-55EE331A5903}" name="Column9239"/>
    <tableColumn id="9246" xr3:uid="{DA1F2461-D921-42B8-9B5B-3D49E2CD8097}" name="Column9240"/>
    <tableColumn id="9247" xr3:uid="{86E0F726-A4FB-4F05-9689-902C446206A7}" name="Column9241"/>
    <tableColumn id="9248" xr3:uid="{74A2E369-9EB7-4FCC-AEC8-7233A0C68B20}" name="Column9242"/>
    <tableColumn id="9249" xr3:uid="{40EA733F-8849-4D57-84E4-0DB9873DE650}" name="Column9243"/>
    <tableColumn id="9250" xr3:uid="{E284750F-4955-4338-AE66-670E257D8613}" name="Column9244"/>
    <tableColumn id="9251" xr3:uid="{9A38FBE9-4F2F-47AE-81AA-E37B48B648A4}" name="Column9245"/>
    <tableColumn id="9252" xr3:uid="{8FCA1AB3-A8DB-499F-A6A0-882DA66D0B0C}" name="Column9246"/>
    <tableColumn id="9253" xr3:uid="{1AEA0552-6A9D-4981-89E5-64226D3E190A}" name="Column9247"/>
    <tableColumn id="9254" xr3:uid="{B2A489FA-4D70-4F44-B9F2-1EDACB14F670}" name="Column9248"/>
    <tableColumn id="9255" xr3:uid="{840AB209-D09C-4825-A616-3C423D00C40C}" name="Column9249"/>
    <tableColumn id="9256" xr3:uid="{067F3F4D-FE29-4DDB-96EA-58D936DE1D1F}" name="Column9250"/>
    <tableColumn id="9257" xr3:uid="{DE0FF069-7B24-4927-BEBB-652DF0540FB9}" name="Column9251"/>
    <tableColumn id="9258" xr3:uid="{C815CE1B-B67E-408C-9930-1FB2E6BA4A1E}" name="Column9252"/>
    <tableColumn id="9259" xr3:uid="{303BB4AD-ADE1-4CE6-9D86-567951F47A2B}" name="Column9253"/>
    <tableColumn id="9260" xr3:uid="{3E60EBA6-98CD-4DF8-8A89-73EDA8AACE80}" name="Column9254"/>
    <tableColumn id="9261" xr3:uid="{7F6765A2-E040-4B81-BE83-DDBA56C8D09D}" name="Column9255"/>
    <tableColumn id="9262" xr3:uid="{3889CF4B-E80B-463E-A0A2-476A1CB06025}" name="Column9256"/>
    <tableColumn id="9263" xr3:uid="{DB8FFE16-62FC-42A4-96FF-907E6EEFFA10}" name="Column9257"/>
    <tableColumn id="9264" xr3:uid="{3B5B16DA-F427-4F8B-82E9-6AC9A5F4D23D}" name="Column9258"/>
    <tableColumn id="9265" xr3:uid="{9FBCF9BD-3273-4176-B7A3-B01EF23C5B56}" name="Column9259"/>
    <tableColumn id="9266" xr3:uid="{7B323DFD-29E6-41CC-9D71-51A4C7BB22E2}" name="Column9260"/>
    <tableColumn id="9267" xr3:uid="{7BA69EDF-BCA0-43F4-B833-DC2E60F353EC}" name="Column9261"/>
    <tableColumn id="9268" xr3:uid="{C94F2C91-F8D1-4B34-AD20-1A4D74BB9675}" name="Column9262"/>
    <tableColumn id="9269" xr3:uid="{6CBE874B-8E6E-44C9-9F38-06417A9EC802}" name="Column9263"/>
    <tableColumn id="9270" xr3:uid="{3F28C0C2-2CFE-49BF-9CB0-C74202E0A1DA}" name="Column9264"/>
    <tableColumn id="9271" xr3:uid="{F12C3887-314F-4494-8086-5F27E02AC93E}" name="Column9265"/>
    <tableColumn id="9272" xr3:uid="{3269DA4C-E4E2-4EB6-8529-56CC31448AB8}" name="Column9266"/>
    <tableColumn id="9273" xr3:uid="{B0768A2A-5148-4254-8520-3C11BBAB698F}" name="Column9267"/>
    <tableColumn id="9274" xr3:uid="{160341A9-6B2A-4DD4-8A1E-27C5FD3F0F2C}" name="Column9268"/>
    <tableColumn id="9275" xr3:uid="{CB3B19AD-2D9E-4ED7-8B96-096D57A931CE}" name="Column9269"/>
    <tableColumn id="9276" xr3:uid="{A5287660-DF38-4A9F-B945-FBAEDDC3F0D2}" name="Column9270"/>
    <tableColumn id="9277" xr3:uid="{00756943-AC76-409D-A978-0674A4319462}" name="Column9271"/>
    <tableColumn id="9278" xr3:uid="{F3B2059F-7621-4C79-BCE7-7CE79DCFBDF7}" name="Column9272"/>
    <tableColumn id="9279" xr3:uid="{5DF3518E-FDC4-481B-92EC-05648BCE7D24}" name="Column9273"/>
    <tableColumn id="9280" xr3:uid="{AB30CA90-66F8-481B-8905-58DE5FD927CB}" name="Column9274"/>
    <tableColumn id="9281" xr3:uid="{CEF604D9-511C-4706-9549-3BC38285A2C0}" name="Column9275"/>
    <tableColumn id="9282" xr3:uid="{462FDBBF-3925-419F-969E-B6A4F28C76C0}" name="Column9276"/>
    <tableColumn id="9283" xr3:uid="{C98A85C3-AA7F-4E2E-BD8D-F537ABE647BE}" name="Column9277"/>
    <tableColumn id="9284" xr3:uid="{12622178-8F51-4184-970D-643862EE9A68}" name="Column9278"/>
    <tableColumn id="9285" xr3:uid="{3EA1ADBA-FBC2-4F7F-A003-0CC86DC1CB66}" name="Column9279"/>
    <tableColumn id="9286" xr3:uid="{22DB5ABC-90F5-4656-A34C-B8F99CBBA8BD}" name="Column9280"/>
    <tableColumn id="9287" xr3:uid="{DE00ED82-EF7F-4A4E-8CF6-432E91A37854}" name="Column9281"/>
    <tableColumn id="9288" xr3:uid="{B5097615-6B0E-4E92-8169-CF1DDC250EB9}" name="Column9282"/>
    <tableColumn id="9289" xr3:uid="{8A46CD35-A528-4509-B4CE-3E5F3BBC3B10}" name="Column9283"/>
    <tableColumn id="9290" xr3:uid="{F4CDE824-DC3B-4AF4-A9A3-C0D3A156AE24}" name="Column9284"/>
    <tableColumn id="9291" xr3:uid="{800A7C86-C4DF-40C8-98DA-F16914E6321B}" name="Column9285"/>
    <tableColumn id="9292" xr3:uid="{1C2A473D-423A-4A60-9B55-B768E7C00CF9}" name="Column9286"/>
    <tableColumn id="9293" xr3:uid="{801C8A69-77C3-4C1B-ABF5-BE3487CB8344}" name="Column9287"/>
    <tableColumn id="9294" xr3:uid="{C7951B2E-7F9B-4B94-BD12-47317AEDF23A}" name="Column9288"/>
    <tableColumn id="9295" xr3:uid="{79BAA1A4-22CA-417A-819D-AEFD9690C914}" name="Column9289"/>
    <tableColumn id="9296" xr3:uid="{C21E4B0D-796E-4689-8670-D10061E46915}" name="Column9290"/>
    <tableColumn id="9297" xr3:uid="{5A2764B6-E955-4055-B110-BE7DA703B663}" name="Column9291"/>
    <tableColumn id="9298" xr3:uid="{5874A4CD-CFD3-4E48-A052-04328B629409}" name="Column9292"/>
    <tableColumn id="9299" xr3:uid="{73BA1A43-36FE-4812-993D-2D20AD92BEAB}" name="Column9293"/>
    <tableColumn id="9300" xr3:uid="{D37A5370-F52C-44E1-9478-7CCD808B03BF}" name="Column9294"/>
    <tableColumn id="9301" xr3:uid="{923F82CA-1CA0-48E3-930C-727BA0C09736}" name="Column9295"/>
    <tableColumn id="9302" xr3:uid="{06D4C24B-B8D0-4ABD-ACE0-AC36084CC56B}" name="Column9296"/>
    <tableColumn id="9303" xr3:uid="{0F764AD5-8BC6-4B11-A172-FD89D482A223}" name="Column9297"/>
    <tableColumn id="9304" xr3:uid="{F7DE5502-2530-4E42-9310-EB19CA534C0B}" name="Column9298"/>
    <tableColumn id="9305" xr3:uid="{9EE212FF-6CDF-429F-B868-31013B142CDD}" name="Column9299"/>
    <tableColumn id="9306" xr3:uid="{FCCEDBF0-F35F-426D-86DE-C2C6817F43F2}" name="Column9300"/>
    <tableColumn id="9307" xr3:uid="{5C3FD8C3-81B6-418D-910F-7A170982C881}" name="Column9301"/>
    <tableColumn id="9308" xr3:uid="{AAEAA205-FF16-4CEF-BFD0-E8D5D80709BF}" name="Column9302"/>
    <tableColumn id="9309" xr3:uid="{E9B0B07E-8975-4509-A357-9BC57BDCE529}" name="Column9303"/>
    <tableColumn id="9310" xr3:uid="{83239E41-6349-4B27-81D9-A8C2536064FA}" name="Column9304"/>
    <tableColumn id="9311" xr3:uid="{8605D508-476E-4FBF-B8DC-EC7A03E17215}" name="Column9305"/>
    <tableColumn id="9312" xr3:uid="{C2C1A475-897B-4EBE-8FBE-809C68A9BCE0}" name="Column9306"/>
    <tableColumn id="9313" xr3:uid="{7C58D659-EA67-499B-B6EE-E99E45C92FAD}" name="Column9307"/>
    <tableColumn id="9314" xr3:uid="{093430F9-36D5-4C75-A838-4003AD9039F7}" name="Column9308"/>
    <tableColumn id="9315" xr3:uid="{4E70E592-2799-4119-BB05-DF6D8334A10E}" name="Column9309"/>
    <tableColumn id="9316" xr3:uid="{63B21696-8ECB-4E17-8077-1756F20E288F}" name="Column9310"/>
    <tableColumn id="9317" xr3:uid="{C770785B-0E09-4F20-984B-9F0A4F769B89}" name="Column9311"/>
    <tableColumn id="9318" xr3:uid="{E4DF192D-8B9F-4C1D-B25C-719D24A41F59}" name="Column9312"/>
    <tableColumn id="9319" xr3:uid="{19D2D410-46A8-496A-AB24-97CE0C258588}" name="Column9313"/>
    <tableColumn id="9320" xr3:uid="{443F4F01-EFA2-42FB-8065-65E2298F733F}" name="Column9314"/>
    <tableColumn id="9321" xr3:uid="{6269AB0F-4C22-433C-8A66-B6FBBBA89D8E}" name="Column9315"/>
    <tableColumn id="9322" xr3:uid="{7360C05B-D6C4-41D9-8DB2-845E3EF1A286}" name="Column9316"/>
    <tableColumn id="9323" xr3:uid="{5FC80986-4A37-44D5-A72B-626DCC401DD7}" name="Column9317"/>
    <tableColumn id="9324" xr3:uid="{7D90E9F8-A74B-46CB-B58E-DD3357565AE3}" name="Column9318"/>
    <tableColumn id="9325" xr3:uid="{8EFED7F3-B74F-427B-A09A-9C36221BA3EE}" name="Column9319"/>
    <tableColumn id="9326" xr3:uid="{56848410-7BBB-428B-9B3E-29ED86F0097A}" name="Column9320"/>
    <tableColumn id="9327" xr3:uid="{A58E05CB-228F-4387-89E8-7340109362F1}" name="Column9321"/>
    <tableColumn id="9328" xr3:uid="{E6124DBC-C1D0-4AC6-9A66-C81CBFF8C2F8}" name="Column9322"/>
    <tableColumn id="9329" xr3:uid="{2605200F-4A7A-4D02-AB2D-C689E84F5547}" name="Column9323"/>
    <tableColumn id="9330" xr3:uid="{92EB3FFE-F211-47F2-9947-37CFB5E927B5}" name="Column9324"/>
    <tableColumn id="9331" xr3:uid="{EC2E0474-158B-4223-A433-83E85DEB9628}" name="Column9325"/>
    <tableColumn id="9332" xr3:uid="{7026A23A-3AA8-4B3F-A25E-AB15E0C51D80}" name="Column9326"/>
    <tableColumn id="9333" xr3:uid="{52A63E19-9171-4CE8-8F08-D2475BB70661}" name="Column9327"/>
    <tableColumn id="9334" xr3:uid="{5C8D2F5D-D0D3-4389-9E4B-FF4F5DC0015D}" name="Column9328"/>
    <tableColumn id="9335" xr3:uid="{252D2134-DD4E-461F-8CC4-9DDEE6440AC5}" name="Column9329"/>
    <tableColumn id="9336" xr3:uid="{906CD023-6BEF-4A15-BC0E-71EF02219E57}" name="Column9330"/>
    <tableColumn id="9337" xr3:uid="{E59E83FF-774A-4D5D-83D7-E15A8813C9E5}" name="Column9331"/>
    <tableColumn id="9338" xr3:uid="{7E994BB8-ACB0-4A14-8262-FAEA231D30AC}" name="Column9332"/>
    <tableColumn id="9339" xr3:uid="{470E1EE1-EAC0-4698-89E5-721FF0471807}" name="Column9333"/>
    <tableColumn id="9340" xr3:uid="{7B2885DC-CD4A-4992-AC22-0994737B9A2D}" name="Column9334"/>
    <tableColumn id="9341" xr3:uid="{D5FCC602-1DD3-4E63-BCA2-8FFB69A0B5E7}" name="Column9335"/>
    <tableColumn id="9342" xr3:uid="{AE0A79F8-6EDB-457F-9FE7-A11A86AEF0B9}" name="Column9336"/>
    <tableColumn id="9343" xr3:uid="{413D3281-2ED6-460D-A503-BF372F5D6113}" name="Column9337"/>
    <tableColumn id="9344" xr3:uid="{816B3DA7-E0AA-4B77-84BB-E2882FDBB9A4}" name="Column9338"/>
    <tableColumn id="9345" xr3:uid="{BEA8CB89-01A6-457B-A7CD-DE1CADECD7C9}" name="Column9339"/>
    <tableColumn id="9346" xr3:uid="{E52AF5DA-21F0-4173-A79A-90478AE0C9F5}" name="Column9340"/>
    <tableColumn id="9347" xr3:uid="{092B3434-6C9E-4494-A2DC-1B0716151884}" name="Column9341"/>
    <tableColumn id="9348" xr3:uid="{C3047BDA-E05A-4334-AA56-0D3D1DE7F765}" name="Column9342"/>
    <tableColumn id="9349" xr3:uid="{1E4607EA-A863-48BD-9D2C-EC8A7B1E65CA}" name="Column9343"/>
    <tableColumn id="9350" xr3:uid="{99A9BED8-E583-49B4-9584-82FCD6445307}" name="Column9344"/>
    <tableColumn id="9351" xr3:uid="{2A896DF3-DAE0-4D2C-AC42-F9774E9A8029}" name="Column9345"/>
    <tableColumn id="9352" xr3:uid="{891B7BD2-E4AE-403D-96FC-A19391BC8235}" name="Column9346"/>
    <tableColumn id="9353" xr3:uid="{F570B90B-9E95-4921-A49B-0BCCDE678EBB}" name="Column9347"/>
    <tableColumn id="9354" xr3:uid="{4560779C-1A67-42C4-8526-1E6179D24955}" name="Column9348"/>
    <tableColumn id="9355" xr3:uid="{4479D30C-0D9D-4633-B505-9309D9080AA4}" name="Column9349"/>
    <tableColumn id="9356" xr3:uid="{C907D2ED-B118-489A-A310-485DB84BBC65}" name="Column9350"/>
    <tableColumn id="9357" xr3:uid="{A02628E5-03CD-414E-8FF1-BDB8BED95659}" name="Column9351"/>
    <tableColumn id="9358" xr3:uid="{2773C749-9324-4739-9169-326AB2D1ACE8}" name="Column9352"/>
    <tableColumn id="9359" xr3:uid="{F77E6854-0EE1-4D41-9BDD-450C97D59B7B}" name="Column9353"/>
    <tableColumn id="9360" xr3:uid="{664AECEA-749C-44AA-A157-3B3101D9F480}" name="Column9354"/>
    <tableColumn id="9361" xr3:uid="{6FE51996-C696-4B2A-A7CD-851552D15B8B}" name="Column9355"/>
    <tableColumn id="9362" xr3:uid="{F3BDD692-940B-4FDB-B0EF-4F53D911E1F3}" name="Column9356"/>
    <tableColumn id="9363" xr3:uid="{25EFF4B7-0299-4951-8A8E-BA19A856FA62}" name="Column9357"/>
    <tableColumn id="9364" xr3:uid="{4D8E8209-8B0B-4DF7-A9B0-FE33D92E449E}" name="Column9358"/>
    <tableColumn id="9365" xr3:uid="{4BF8E8B9-492C-4678-AAF5-198A150C69F3}" name="Column9359"/>
    <tableColumn id="9366" xr3:uid="{20BB8A90-A049-4E89-BDDB-0C31F941C37E}" name="Column9360"/>
    <tableColumn id="9367" xr3:uid="{FC4C37C3-1C9D-4A58-B8B6-D9E45E9BBF90}" name="Column9361"/>
    <tableColumn id="9368" xr3:uid="{66771487-3362-4BB7-8121-EF9B31BE08DF}" name="Column9362"/>
    <tableColumn id="9369" xr3:uid="{A49312D7-D313-48F1-981D-2947BBA785A4}" name="Column9363"/>
    <tableColumn id="9370" xr3:uid="{60979156-FAE5-44B1-9B34-605B6258F57E}" name="Column9364"/>
    <tableColumn id="9371" xr3:uid="{21A56897-0E7D-4581-A58D-DF1D8D131A49}" name="Column9365"/>
    <tableColumn id="9372" xr3:uid="{658FF749-372F-4095-9227-5443EFB4FD99}" name="Column9366"/>
    <tableColumn id="9373" xr3:uid="{E9FB92AA-1D3C-4EB3-9385-4F8810448E03}" name="Column9367"/>
    <tableColumn id="9374" xr3:uid="{BAB85B7E-B484-401B-AB0D-24B8EE233816}" name="Column9368"/>
    <tableColumn id="9375" xr3:uid="{C4559C19-3C6E-416D-B5E1-D85E535E82BA}" name="Column9369"/>
    <tableColumn id="9376" xr3:uid="{3398AAF3-E2A6-4694-A390-2AA6FAA47B62}" name="Column9370"/>
    <tableColumn id="9377" xr3:uid="{CD2BA704-66B0-46F5-8459-6FE1E7202EE7}" name="Column9371"/>
    <tableColumn id="9378" xr3:uid="{D78C873A-8583-464F-A281-A560B13E652B}" name="Column9372"/>
    <tableColumn id="9379" xr3:uid="{20AA75FB-458F-4C1D-82B5-B9707B909565}" name="Column9373"/>
    <tableColumn id="9380" xr3:uid="{61897C0D-6D04-4794-AEAC-3AD81695A97C}" name="Column9374"/>
    <tableColumn id="9381" xr3:uid="{8FF6EB2A-FE98-4633-B4F9-68F60538D181}" name="Column9375"/>
    <tableColumn id="9382" xr3:uid="{6879BEE5-9179-441F-AB08-89915ACFD9AB}" name="Column9376"/>
    <tableColumn id="9383" xr3:uid="{CF0DDE29-219E-4414-8617-FBFCEDDC56FE}" name="Column9377"/>
    <tableColumn id="9384" xr3:uid="{9980570D-ACC1-445B-9532-FD33746096F2}" name="Column9378"/>
    <tableColumn id="9385" xr3:uid="{A2115D36-52B8-4CDA-B042-863086DB4F9B}" name="Column9379"/>
    <tableColumn id="9386" xr3:uid="{2F8E5021-ADC7-49B3-8AA6-CFD269DCB890}" name="Column9380"/>
    <tableColumn id="9387" xr3:uid="{52E35AB1-26A4-4D97-8651-08575C4C15C8}" name="Column9381"/>
    <tableColumn id="9388" xr3:uid="{D29B14D8-FD30-4F58-8FAE-B939C3EA4FBB}" name="Column9382"/>
    <tableColumn id="9389" xr3:uid="{5D1390E7-9261-498C-9FFC-7A77EFCBB4EF}" name="Column9383"/>
    <tableColumn id="9390" xr3:uid="{A847664D-1963-487B-BD08-A519DAD5A8DD}" name="Column9384"/>
    <tableColumn id="9391" xr3:uid="{8E0AB7E7-6B14-4B3D-9CCC-A2D69B1E892D}" name="Column9385"/>
    <tableColumn id="9392" xr3:uid="{AA5EE70B-CB0C-4C55-A768-68BC1283E092}" name="Column9386"/>
    <tableColumn id="9393" xr3:uid="{B2FCF455-8FF4-4C37-B778-A59288577056}" name="Column9387"/>
    <tableColumn id="9394" xr3:uid="{F3A0B6B5-7E87-4691-AFC9-972EA1454252}" name="Column9388"/>
    <tableColumn id="9395" xr3:uid="{24191BBB-1F4F-42FA-9EEC-0FD0E66A9690}" name="Column9389"/>
    <tableColumn id="9396" xr3:uid="{F192E7D8-9773-4465-B7F1-59B3EED6A208}" name="Column9390"/>
    <tableColumn id="9397" xr3:uid="{0C26A2F6-C9B8-4A2D-9481-FBBCCAF06A48}" name="Column9391"/>
    <tableColumn id="9398" xr3:uid="{28C29A3C-B1D8-4BB4-8346-039237DFAFB4}" name="Column9392"/>
    <tableColumn id="9399" xr3:uid="{98809771-6289-4AA7-8049-11AC52210341}" name="Column9393"/>
    <tableColumn id="9400" xr3:uid="{3D4DA484-6D24-43D4-A838-CA20C1A77568}" name="Column9394"/>
    <tableColumn id="9401" xr3:uid="{73D4199B-C0BA-4F32-A361-5C9C6AC16C8D}" name="Column9395"/>
    <tableColumn id="9402" xr3:uid="{CF9738A5-3877-4D52-B230-790062AFD003}" name="Column9396"/>
    <tableColumn id="9403" xr3:uid="{C28AE86D-9091-477F-994B-A16616A142D6}" name="Column9397"/>
    <tableColumn id="9404" xr3:uid="{05A0A7E9-81C1-4EAA-BAB9-B846439B3AE6}" name="Column9398"/>
    <tableColumn id="9405" xr3:uid="{BA1AEBE6-4C2E-427F-ABEA-18FA09A4190F}" name="Column9399"/>
    <tableColumn id="9406" xr3:uid="{139BA72C-FEA1-4208-A284-DD104A0BA2C5}" name="Column9400"/>
    <tableColumn id="9407" xr3:uid="{6915F71D-A171-4EC6-967F-41D9CEAA51DB}" name="Column9401"/>
    <tableColumn id="9408" xr3:uid="{A24E5026-F07C-4089-94AB-EF5447ED0C83}" name="Column9402"/>
    <tableColumn id="9409" xr3:uid="{4166B836-65B9-47C0-8598-7421B3296287}" name="Column9403"/>
    <tableColumn id="9410" xr3:uid="{676E7F82-9AF1-4BF8-B82C-AD14E202BD51}" name="Column9404"/>
    <tableColumn id="9411" xr3:uid="{CA3DC2C9-4861-4531-ABA3-3548B25EA79B}" name="Column9405"/>
    <tableColumn id="9412" xr3:uid="{EC979590-6D33-4F06-A2E3-58C9DB56D9FC}" name="Column9406"/>
    <tableColumn id="9413" xr3:uid="{CFAE2DF5-E3D0-4D18-AD17-2A5A50D8BFB3}" name="Column9407"/>
    <tableColumn id="9414" xr3:uid="{87A3DBBB-1FC7-4E9A-8032-E48ABA71BDC3}" name="Column9408"/>
    <tableColumn id="9415" xr3:uid="{1B3163E4-86A7-443F-8773-C67C5219B6BE}" name="Column9409"/>
    <tableColumn id="9416" xr3:uid="{D4906D92-A38A-42E7-B9EE-23D53C66D9A3}" name="Column9410"/>
    <tableColumn id="9417" xr3:uid="{C8B971F0-7E0A-4407-A177-3361A1329BC1}" name="Column9411"/>
    <tableColumn id="9418" xr3:uid="{0931314B-711E-447F-9E9A-1F6554D9F6F1}" name="Column9412"/>
    <tableColumn id="9419" xr3:uid="{14846E28-B67E-4835-8EA7-5C26F573F505}" name="Column9413"/>
    <tableColumn id="9420" xr3:uid="{442BD197-CD4B-4868-96D5-1C5ED2844227}" name="Column9414"/>
    <tableColumn id="9421" xr3:uid="{1BA97EDF-473B-4D7E-9889-0E984829181C}" name="Column9415"/>
    <tableColumn id="9422" xr3:uid="{377CC8F3-3FCF-4886-B36A-1CFCD00273E8}" name="Column9416"/>
    <tableColumn id="9423" xr3:uid="{40C2DADD-199C-43A8-B132-F061B60058A6}" name="Column9417"/>
    <tableColumn id="9424" xr3:uid="{802629C2-3EEC-49B1-ACFF-3C98085B9093}" name="Column9418"/>
    <tableColumn id="9425" xr3:uid="{43AF6D17-4915-4656-AECD-295EAC5604E1}" name="Column9419"/>
    <tableColumn id="9426" xr3:uid="{A61B091A-393D-4F69-8E4F-983E53674180}" name="Column9420"/>
    <tableColumn id="9427" xr3:uid="{C8C3E5BC-F4FF-4029-8E0A-EF348F93665A}" name="Column9421"/>
    <tableColumn id="9428" xr3:uid="{D4F4688E-042A-4FD8-A9BA-E561D23174E7}" name="Column9422"/>
    <tableColumn id="9429" xr3:uid="{082BF8F8-3992-4526-9031-2686B23EF5E4}" name="Column9423"/>
    <tableColumn id="9430" xr3:uid="{6EA1B769-E023-4816-B235-1A3F4467D580}" name="Column9424"/>
    <tableColumn id="9431" xr3:uid="{7A198170-FA0F-435B-A2EC-7C059F096EFA}" name="Column9425"/>
    <tableColumn id="9432" xr3:uid="{5116C978-F481-4F20-9E62-96D1A50C68EC}" name="Column9426"/>
    <tableColumn id="9433" xr3:uid="{5837B7E3-E65F-4B83-8941-1C4DFD9C3856}" name="Column9427"/>
    <tableColumn id="9434" xr3:uid="{AE488689-1D4F-4D9A-9A2E-5472079E1BE8}" name="Column9428"/>
    <tableColumn id="9435" xr3:uid="{7B7BB237-B5CA-422B-8716-0D5F48BEFFF0}" name="Column9429"/>
    <tableColumn id="9436" xr3:uid="{7D20AEAC-EB49-42B4-AEB1-ED3297996E79}" name="Column9430"/>
    <tableColumn id="9437" xr3:uid="{33D37163-FCDC-4C4C-9D45-DC115D6F980F}" name="Column9431"/>
    <tableColumn id="9438" xr3:uid="{3137DD46-4B8A-4EEA-B280-692C7A55E970}" name="Column9432"/>
    <tableColumn id="9439" xr3:uid="{53CCB235-E991-48B8-A7E4-9B53158E454A}" name="Column9433"/>
    <tableColumn id="9440" xr3:uid="{54589B1D-4E81-4708-93E2-7A10F0177484}" name="Column9434"/>
    <tableColumn id="9441" xr3:uid="{77AC86CF-FAEB-44C5-95FB-75C712E8E3EB}" name="Column9435"/>
    <tableColumn id="9442" xr3:uid="{F61B6808-FB74-4DDC-9A0D-D253346F7E75}" name="Column9436"/>
    <tableColumn id="9443" xr3:uid="{F90A778C-E44D-4FEC-836F-5A6C301B9079}" name="Column9437"/>
    <tableColumn id="9444" xr3:uid="{632BED1F-8E50-4758-AB50-E3F7842832A4}" name="Column9438"/>
    <tableColumn id="9445" xr3:uid="{744F99ED-0821-46C9-B10F-C624B795BA0A}" name="Column9439"/>
    <tableColumn id="9446" xr3:uid="{F9583E73-3832-44E9-9D91-1D611899CBD7}" name="Column9440"/>
    <tableColumn id="9447" xr3:uid="{C14325DE-1341-4172-9B54-99455999D786}" name="Column9441"/>
    <tableColumn id="9448" xr3:uid="{5F37737A-1555-4061-B5C2-36D0C71E8A2A}" name="Column9442"/>
    <tableColumn id="9449" xr3:uid="{1F236A95-5680-4EA9-ABF4-9F62527D9112}" name="Column9443"/>
    <tableColumn id="9450" xr3:uid="{DCAD1A19-21EB-469A-91C4-96FCE24A4AAE}" name="Column9444"/>
    <tableColumn id="9451" xr3:uid="{15FB1925-EDD5-4447-8911-653AAC37CAE8}" name="Column9445"/>
    <tableColumn id="9452" xr3:uid="{AD57761F-51C2-42B5-B4A2-0A4A14A16487}" name="Column9446"/>
    <tableColumn id="9453" xr3:uid="{7576E2E7-DBF6-431E-9C0B-6E9605ACD2E6}" name="Column9447"/>
    <tableColumn id="9454" xr3:uid="{CCF6B5F6-EEE5-4DA8-A639-6A262A1B4748}" name="Column9448"/>
    <tableColumn id="9455" xr3:uid="{66B1B27A-461C-4928-88B5-D41A49027848}" name="Column9449"/>
    <tableColumn id="9456" xr3:uid="{6E711881-9438-4107-B70E-4DE5BFE4E30B}" name="Column9450"/>
    <tableColumn id="9457" xr3:uid="{DBC33699-4254-47CE-A8EC-92332FD2C0BC}" name="Column9451"/>
    <tableColumn id="9458" xr3:uid="{8CE4F952-F280-42A6-B6AF-B7405609E3CA}" name="Column9452"/>
    <tableColumn id="9459" xr3:uid="{AA43DACA-F85E-449C-9D8F-A8BD0709E05A}" name="Column9453"/>
    <tableColumn id="9460" xr3:uid="{2665A78A-6B51-49CE-8030-C182AE8B86DA}" name="Column9454"/>
    <tableColumn id="9461" xr3:uid="{D337287F-529C-49D5-AD8B-EAA986978601}" name="Column9455"/>
    <tableColumn id="9462" xr3:uid="{D5967D08-C4D4-4B75-B8C6-68411D8C228A}" name="Column9456"/>
    <tableColumn id="9463" xr3:uid="{4AEADF6D-5EEA-4859-A9F1-484BB4BB5F81}" name="Column9457"/>
    <tableColumn id="9464" xr3:uid="{A1CBFB2B-0D50-4F33-9CE0-F722A6B31685}" name="Column9458"/>
    <tableColumn id="9465" xr3:uid="{EF41902C-1BE8-4352-B57D-BF488972054B}" name="Column9459"/>
    <tableColumn id="9466" xr3:uid="{ECB253E4-8EAB-471B-9AD5-6876C47AD85B}" name="Column9460"/>
    <tableColumn id="9467" xr3:uid="{96F7D5BF-852D-4354-B900-C21F5400A30B}" name="Column9461"/>
    <tableColumn id="9468" xr3:uid="{724E89C5-5376-47AA-B48F-73891ACB2082}" name="Column9462"/>
    <tableColumn id="9469" xr3:uid="{5771DDEE-E743-44B6-B156-BD4DDAD90322}" name="Column9463"/>
    <tableColumn id="9470" xr3:uid="{87E745F8-3DF7-401A-8A14-B75957D18A1B}" name="Column9464"/>
    <tableColumn id="9471" xr3:uid="{175F5B98-C4A4-47C9-B68C-123F91C39A77}" name="Column9465"/>
    <tableColumn id="9472" xr3:uid="{F502C533-7653-4524-A951-6AF265CE6C62}" name="Column9466"/>
    <tableColumn id="9473" xr3:uid="{319AD78C-A85A-4E15-A755-435A7638185A}" name="Column9467"/>
    <tableColumn id="9474" xr3:uid="{1951552A-6FC1-43E5-8207-0835D2F1E52F}" name="Column9468"/>
    <tableColumn id="9475" xr3:uid="{D5BD6135-AD39-4D56-B4D3-4F7514C03213}" name="Column9469"/>
    <tableColumn id="9476" xr3:uid="{1D3EEADD-298B-4110-8299-ED46F5ABAEA6}" name="Column9470"/>
    <tableColumn id="9477" xr3:uid="{3B8DCF5F-D97D-4B31-8C24-A05770DFE229}" name="Column9471"/>
    <tableColumn id="9478" xr3:uid="{4967BC57-4A6B-4C1D-AFF8-7BFCA98CDE2B}" name="Column9472"/>
    <tableColumn id="9479" xr3:uid="{925592A5-2B12-453F-84A6-1A825B6FFC95}" name="Column9473"/>
    <tableColumn id="9480" xr3:uid="{10FD689C-0FB2-448E-B1EA-1CF08C1255AF}" name="Column9474"/>
    <tableColumn id="9481" xr3:uid="{D031425A-C8FC-45B0-AE2F-A08BEDBA3A43}" name="Column9475"/>
    <tableColumn id="9482" xr3:uid="{72A5AB62-6B0A-4E82-A8DE-7B563589C45E}" name="Column9476"/>
    <tableColumn id="9483" xr3:uid="{10AE3A1F-117B-4A2E-8FA3-169D0166D028}" name="Column9477"/>
    <tableColumn id="9484" xr3:uid="{8C9D5D84-0730-45FD-9FFB-414D2A675FEB}" name="Column9478"/>
    <tableColumn id="9485" xr3:uid="{0B1262E6-FC02-43F6-BF4A-80A1D5AFDE18}" name="Column9479"/>
    <tableColumn id="9486" xr3:uid="{1B29A5D9-E8AC-4308-9123-8A90699F915A}" name="Column9480"/>
    <tableColumn id="9487" xr3:uid="{ED662902-4799-4599-BBD6-4F583CD292D7}" name="Column9481"/>
    <tableColumn id="9488" xr3:uid="{7C4581CC-C224-48D4-AF37-958AF20C3B9D}" name="Column9482"/>
    <tableColumn id="9489" xr3:uid="{5CD8E73B-533D-4021-A249-F1E8EFE3E328}" name="Column9483"/>
    <tableColumn id="9490" xr3:uid="{FFE2FB9D-A164-453E-B3DB-D66CA6405F32}" name="Column9484"/>
    <tableColumn id="9491" xr3:uid="{D17EDE12-7A6D-4FDB-B6F9-8328C8984422}" name="Column9485"/>
    <tableColumn id="9492" xr3:uid="{B3083A37-1CAA-4448-B69C-5DF9A3A5116F}" name="Column9486"/>
    <tableColumn id="9493" xr3:uid="{03F72F30-E7D3-449F-931A-DE2E8367F74F}" name="Column9487"/>
    <tableColumn id="9494" xr3:uid="{64312666-9385-4687-BE53-98675CD96928}" name="Column9488"/>
    <tableColumn id="9495" xr3:uid="{4E078F31-ABC1-4C41-82EC-351A88D2EF0A}" name="Column9489"/>
    <tableColumn id="9496" xr3:uid="{DFE307DD-9F3B-40B8-A79C-A04BFE414BE2}" name="Column9490"/>
    <tableColumn id="9497" xr3:uid="{9E48D6BE-C6E2-4819-BCA2-BCEAABF6E00F}" name="Column9491"/>
    <tableColumn id="9498" xr3:uid="{645B9931-6D57-4ACE-AE69-C6D5E2255829}" name="Column9492"/>
    <tableColumn id="9499" xr3:uid="{8C98DB58-E838-4852-A915-80B7CA676753}" name="Column9493"/>
    <tableColumn id="9500" xr3:uid="{CD1FA9DD-5996-4F70-A6BA-B0A1EF62FF5E}" name="Column9494"/>
    <tableColumn id="9501" xr3:uid="{66611C44-EEE7-46ED-B630-74A59E3104BF}" name="Column9495"/>
    <tableColumn id="9502" xr3:uid="{05CA3CE3-3C74-45A3-9279-D8B84B0F268B}" name="Column9496"/>
    <tableColumn id="9503" xr3:uid="{7CF86141-FE2C-418C-8FEC-FB1437273E1C}" name="Column9497"/>
    <tableColumn id="9504" xr3:uid="{FA721D71-1E35-47E6-B1DB-4BF50899F14E}" name="Column9498"/>
    <tableColumn id="9505" xr3:uid="{9ACF156C-7E7E-4914-9F1A-DB198FC83DD2}" name="Column9499"/>
    <tableColumn id="9506" xr3:uid="{07AD5D77-F0B4-49CC-8EE9-5A738A5E4599}" name="Column9500"/>
    <tableColumn id="9507" xr3:uid="{33ED9474-FF2C-4D25-AA87-0EE70789D170}" name="Column9501"/>
    <tableColumn id="9508" xr3:uid="{FBFE7F8E-E764-40DE-92DE-728EC3A2803A}" name="Column9502"/>
    <tableColumn id="9509" xr3:uid="{F74E1123-FD47-4250-9A9B-0C44AA564795}" name="Column9503"/>
    <tableColumn id="9510" xr3:uid="{59393789-8B85-4415-8BBA-BE192EDF8116}" name="Column9504"/>
    <tableColumn id="9511" xr3:uid="{FF7F597C-654D-4AEE-BFD1-24433ECD8E5B}" name="Column9505"/>
    <tableColumn id="9512" xr3:uid="{EAD10680-C29E-453E-A082-5312D5AD0EF5}" name="Column9506"/>
    <tableColumn id="9513" xr3:uid="{BBEC5740-80F3-4590-9D4E-29F4D9653067}" name="Column9507"/>
    <tableColumn id="9514" xr3:uid="{80EE4018-C50A-437B-BEA5-E07AF3E8CAA7}" name="Column9508"/>
    <tableColumn id="9515" xr3:uid="{EF524E7C-2B8C-4EB2-B59B-1EB96D99990C}" name="Column9509"/>
    <tableColumn id="9516" xr3:uid="{38896560-642B-4D6A-AEC5-A286DEC1E5E3}" name="Column9510"/>
    <tableColumn id="9517" xr3:uid="{901B4801-3F02-4063-A2D1-018D783061B5}" name="Column9511"/>
    <tableColumn id="9518" xr3:uid="{2662C829-26FB-4BFC-B4B2-96FB8D1D27CA}" name="Column9512"/>
    <tableColumn id="9519" xr3:uid="{335AE55A-9711-4EB3-81B2-51FFE52969E9}" name="Column9513"/>
    <tableColumn id="9520" xr3:uid="{4E458F8E-C96B-440A-A68D-EDE99A4E6C23}" name="Column9514"/>
    <tableColumn id="9521" xr3:uid="{8621F31F-A008-4F87-89EB-D2804BEA3F5E}" name="Column9515"/>
    <tableColumn id="9522" xr3:uid="{0C92B721-1D14-463C-8477-22B941399CB9}" name="Column9516"/>
    <tableColumn id="9523" xr3:uid="{10533B77-7219-416E-80B2-DA1D7B7281F4}" name="Column9517"/>
    <tableColumn id="9524" xr3:uid="{83A2F614-A193-4E04-8D38-0DEB05E3F5FD}" name="Column9518"/>
    <tableColumn id="9525" xr3:uid="{CF7AA595-11A3-417A-A6DE-05604AB2075D}" name="Column9519"/>
    <tableColumn id="9526" xr3:uid="{43C1641E-C6D6-402D-8126-0A434307CB87}" name="Column9520"/>
    <tableColumn id="9527" xr3:uid="{908DB8C6-3C56-425A-BAB2-9AD8C19BC87B}" name="Column9521"/>
    <tableColumn id="9528" xr3:uid="{D21D5765-9C35-4585-B5BB-50C7481B79CC}" name="Column9522"/>
    <tableColumn id="9529" xr3:uid="{8FF40460-2D93-479D-BD47-BF94D1FCE85D}" name="Column9523"/>
    <tableColumn id="9530" xr3:uid="{CF040222-4AD6-4C49-B03F-C0E42AFB7561}" name="Column9524"/>
    <tableColumn id="9531" xr3:uid="{51254271-F856-47C3-B0B6-065F97221224}" name="Column9525"/>
    <tableColumn id="9532" xr3:uid="{CE1A7FA4-10B9-4E24-8FB9-50E34BBA571D}" name="Column9526"/>
    <tableColumn id="9533" xr3:uid="{0A004E06-700A-4904-B90E-55AD3A784707}" name="Column9527"/>
    <tableColumn id="9534" xr3:uid="{287D5AB5-0B1D-49C2-B502-82F6259BACDE}" name="Column9528"/>
    <tableColumn id="9535" xr3:uid="{682D3620-A51C-40B1-8706-F5E13F3C0C32}" name="Column9529"/>
    <tableColumn id="9536" xr3:uid="{8ACA7BCA-ABB7-48FF-AADF-4F190C5B1A13}" name="Column9530"/>
    <tableColumn id="9537" xr3:uid="{32EAD560-649C-4B1A-B2D9-21C2D53B257A}" name="Column9531"/>
    <tableColumn id="9538" xr3:uid="{CCE70D5F-36E6-4CAF-BC7D-5945D5CBA434}" name="Column9532"/>
    <tableColumn id="9539" xr3:uid="{C1E29AF5-2032-4AD1-A88F-B56D53976303}" name="Column9533"/>
    <tableColumn id="9540" xr3:uid="{F24F8585-6F17-4A0D-ADFF-12BA4DFC2792}" name="Column9534"/>
    <tableColumn id="9541" xr3:uid="{F59031F3-956A-4599-BFD6-F2C0B5D83F9A}" name="Column9535"/>
    <tableColumn id="9542" xr3:uid="{5BFD7485-0DC5-4764-952B-B54061EC6C5E}" name="Column9536"/>
    <tableColumn id="9543" xr3:uid="{C2C8995B-769E-4B6F-8C49-CE65AC0D73BA}" name="Column9537"/>
    <tableColumn id="9544" xr3:uid="{25A2CA74-86A1-47A6-AA56-1B659361F825}" name="Column9538"/>
    <tableColumn id="9545" xr3:uid="{03A2C352-B3B6-487A-AC42-A56FD971DF3B}" name="Column9539"/>
    <tableColumn id="9546" xr3:uid="{DF13CC1C-33CA-4AA7-9BD1-210320E110F7}" name="Column9540"/>
    <tableColumn id="9547" xr3:uid="{71D51194-12A6-4474-8C71-E9AE53A787F6}" name="Column9541"/>
    <tableColumn id="9548" xr3:uid="{E3DC7919-A1E7-4A20-AD0A-113934D99AA6}" name="Column9542"/>
    <tableColumn id="9549" xr3:uid="{56CF56D4-50E0-49BB-856B-C03E8434F51B}" name="Column9543"/>
    <tableColumn id="9550" xr3:uid="{19498775-3205-400B-8CEC-EC30BAFBBD54}" name="Column9544"/>
    <tableColumn id="9551" xr3:uid="{88724755-17E4-4952-8228-E2D57ABC5B8E}" name="Column9545"/>
    <tableColumn id="9552" xr3:uid="{A01E6A62-2ACF-4794-8363-48F41AD919DD}" name="Column9546"/>
    <tableColumn id="9553" xr3:uid="{87E62A50-7580-40C4-ABBE-F4DD71D41F39}" name="Column9547"/>
    <tableColumn id="9554" xr3:uid="{F0811DBE-12F0-452A-86A4-FF66943200DB}" name="Column9548"/>
    <tableColumn id="9555" xr3:uid="{A853DCC4-1393-4604-8E75-00249ABD546C}" name="Column9549"/>
    <tableColumn id="9556" xr3:uid="{A5893D62-8D81-4FDA-A1E6-61581D126FDA}" name="Column9550"/>
    <tableColumn id="9557" xr3:uid="{0FE3A1D7-454D-44B9-BA3F-B7CA48333BBD}" name="Column9551"/>
    <tableColumn id="9558" xr3:uid="{70C7F71F-6E7B-4FF1-A473-25E3DB8868FC}" name="Column9552"/>
    <tableColumn id="9559" xr3:uid="{50AD11F5-5793-4497-913C-CDBB7CBF12B7}" name="Column9553"/>
    <tableColumn id="9560" xr3:uid="{088EF7D8-A95C-4348-83F9-1DBBD49BF4AF}" name="Column9554"/>
    <tableColumn id="9561" xr3:uid="{068C7119-E422-4547-8CC4-015AEEC372D1}" name="Column9555"/>
    <tableColumn id="9562" xr3:uid="{1E0E3D17-B4D3-4F18-BF2A-35A45B066D17}" name="Column9556"/>
    <tableColumn id="9563" xr3:uid="{80E131E5-A417-4995-9CD0-6AEAA3518833}" name="Column9557"/>
    <tableColumn id="9564" xr3:uid="{B43CA7D0-CA90-49DE-9EC3-138751D474E5}" name="Column9558"/>
    <tableColumn id="9565" xr3:uid="{55E75B83-A12B-4252-A11C-52A923A8503A}" name="Column9559"/>
    <tableColumn id="9566" xr3:uid="{8788ACED-793B-4084-8F8E-3338E330C03D}" name="Column9560"/>
    <tableColumn id="9567" xr3:uid="{4FCB3983-1D11-4A5A-83C7-22646F9E3927}" name="Column9561"/>
    <tableColumn id="9568" xr3:uid="{0F10A5CF-BB18-4C9D-8354-7B0E5142792C}" name="Column9562"/>
    <tableColumn id="9569" xr3:uid="{74807BA2-2F7B-4C1D-8708-CF2DE38FDC8C}" name="Column9563"/>
    <tableColumn id="9570" xr3:uid="{829E96DE-C07A-46F3-AD53-1E2CC549CAE4}" name="Column9564"/>
    <tableColumn id="9571" xr3:uid="{A6F16379-A972-43A7-8FFA-2DC68A788434}" name="Column9565"/>
    <tableColumn id="9572" xr3:uid="{0D308300-F980-4E7A-9259-CC282E363E55}" name="Column9566"/>
    <tableColumn id="9573" xr3:uid="{16573D05-ADBE-424E-A90E-FFA4BB1056FB}" name="Column9567"/>
    <tableColumn id="9574" xr3:uid="{4240CE36-B5AC-4A61-BD86-37049360F5A9}" name="Column9568"/>
    <tableColumn id="9575" xr3:uid="{FE1D4838-26E5-45EA-ADD6-676653F66D9C}" name="Column9569"/>
    <tableColumn id="9576" xr3:uid="{7119C7AE-8C5B-49F3-9724-DFA682CEA9E8}" name="Column9570"/>
    <tableColumn id="9577" xr3:uid="{8CB32854-31F7-4C53-8863-21E18660D8E7}" name="Column9571"/>
    <tableColumn id="9578" xr3:uid="{2D00F32F-05F5-45F4-A434-145BB8749806}" name="Column9572"/>
    <tableColumn id="9579" xr3:uid="{05AB0B87-ADE2-4F12-A86C-9CC46B861867}" name="Column9573"/>
    <tableColumn id="9580" xr3:uid="{4BE7B4F8-2F8D-4B45-A28C-9A6C5EF5A40E}" name="Column9574"/>
    <tableColumn id="9581" xr3:uid="{C92F67C6-5122-427E-BAB2-E310A56C4ED3}" name="Column9575"/>
    <tableColumn id="9582" xr3:uid="{320386C4-60FA-4C67-8727-5878F3E1C7F6}" name="Column9576"/>
    <tableColumn id="9583" xr3:uid="{D4EC61D4-E183-4D0D-879B-E7FC8F97AFA5}" name="Column9577"/>
    <tableColumn id="9584" xr3:uid="{A55329F5-9E3F-4266-9786-FF7722165A2F}" name="Column9578"/>
    <tableColumn id="9585" xr3:uid="{D0F6CDEF-2138-4EC2-9445-EA9764213909}" name="Column9579"/>
    <tableColumn id="9586" xr3:uid="{703BEC80-E09C-48DF-9A2F-9270B0C9623F}" name="Column9580"/>
    <tableColumn id="9587" xr3:uid="{0A0D0939-02F1-4D10-8B91-5F8D014F45AD}" name="Column9581"/>
    <tableColumn id="9588" xr3:uid="{23D0725E-EB2E-429D-B105-5F1EBFDDE08A}" name="Column9582"/>
    <tableColumn id="9589" xr3:uid="{31A807BA-FB55-498A-8799-D7E7080DDED5}" name="Column9583"/>
    <tableColumn id="9590" xr3:uid="{9E9C7362-8041-4CF3-93E4-04A14F67FFC7}" name="Column9584"/>
    <tableColumn id="9591" xr3:uid="{E3518701-1DAA-480E-9DD7-9ACB2C9E0618}" name="Column9585"/>
    <tableColumn id="9592" xr3:uid="{26F62B67-1A18-4400-8AFB-96CA0D44CE06}" name="Column9586"/>
    <tableColumn id="9593" xr3:uid="{AC41A8A2-4AC7-4A70-81B1-089AD579A11C}" name="Column9587"/>
    <tableColumn id="9594" xr3:uid="{EA1FFAFC-38C1-4B0C-8826-4022A626B109}" name="Column9588"/>
    <tableColumn id="9595" xr3:uid="{914B9EF6-E7CF-4985-9105-5C01E510E86A}" name="Column9589"/>
    <tableColumn id="9596" xr3:uid="{9A648253-3B67-4E18-82CD-5D0E75C7EA9B}" name="Column9590"/>
    <tableColumn id="9597" xr3:uid="{E399379D-0C92-47EA-A563-55432FFDF82A}" name="Column9591"/>
    <tableColumn id="9598" xr3:uid="{82DD7A10-5E39-4FDD-8AD8-8340B958BA23}" name="Column9592"/>
    <tableColumn id="9599" xr3:uid="{9A92C325-1400-4672-9F38-8673405C4FBC}" name="Column9593"/>
    <tableColumn id="9600" xr3:uid="{CD0F40F5-8462-44AB-A326-9CE0193BE70C}" name="Column9594"/>
    <tableColumn id="9601" xr3:uid="{90A5FA31-7C46-4722-BF48-529677603B56}" name="Column9595"/>
    <tableColumn id="9602" xr3:uid="{3B8EA82D-37DB-42E6-8DC4-F504EFB29EC6}" name="Column9596"/>
    <tableColumn id="9603" xr3:uid="{8EE11A65-98F1-4AC0-A40F-6CAF5C0B93AF}" name="Column9597"/>
    <tableColumn id="9604" xr3:uid="{2168B33C-6A76-492F-A460-7E52FACD7543}" name="Column9598"/>
    <tableColumn id="9605" xr3:uid="{15B19D51-01D9-4C0F-88F5-35EF5C1196F5}" name="Column9599"/>
    <tableColumn id="9606" xr3:uid="{326E925F-EAAF-4E07-B756-D30D745C349A}" name="Column9600"/>
    <tableColumn id="9607" xr3:uid="{3E7D2167-34DC-445C-A4DB-BBD37CFAE543}" name="Column9601"/>
    <tableColumn id="9608" xr3:uid="{8E3E812D-52ED-4563-AB5B-7B66801C9F81}" name="Column9602"/>
    <tableColumn id="9609" xr3:uid="{C7207EEB-EBD0-49BE-B844-DC872D12D3B7}" name="Column9603"/>
    <tableColumn id="9610" xr3:uid="{FF510656-F196-4D16-BC75-E55F9B305FBF}" name="Column9604"/>
    <tableColumn id="9611" xr3:uid="{E33E145C-3A55-4A4E-997A-0515B29D0497}" name="Column9605"/>
    <tableColumn id="9612" xr3:uid="{9BB7A8B7-E6F9-49EF-BB80-6EC20D260A6F}" name="Column9606"/>
    <tableColumn id="9613" xr3:uid="{8772205C-FC33-466A-92E1-AB6A59CD0043}" name="Column9607"/>
    <tableColumn id="9614" xr3:uid="{FCEFF2B5-4413-4C7F-8CE3-B9824D01A4E8}" name="Column9608"/>
    <tableColumn id="9615" xr3:uid="{54BF0DE6-160E-4394-85F0-0D188A0DB466}" name="Column9609"/>
    <tableColumn id="9616" xr3:uid="{5055AFCF-80A2-4CC6-9120-49E80078477A}" name="Column9610"/>
    <tableColumn id="9617" xr3:uid="{99C6082F-A10B-4264-9EE1-B89F1A4A41C6}" name="Column9611"/>
    <tableColumn id="9618" xr3:uid="{460D1881-6754-49FC-AC79-E3D168021B8B}" name="Column9612"/>
    <tableColumn id="9619" xr3:uid="{EFCB1D3C-7EDE-4E91-B983-98FD9EA9E7A7}" name="Column9613"/>
    <tableColumn id="9620" xr3:uid="{D0EDC44A-DDBD-43FE-99AA-311C1D4DE7B0}" name="Column9614"/>
    <tableColumn id="9621" xr3:uid="{E874632A-0E0F-448B-8393-854C086753FD}" name="Column9615"/>
    <tableColumn id="9622" xr3:uid="{39D5E9B4-C3FF-4EFF-A0C0-753954D67A5A}" name="Column9616"/>
    <tableColumn id="9623" xr3:uid="{E0903628-9F57-41CD-AC38-669988C17F1D}" name="Column9617"/>
    <tableColumn id="9624" xr3:uid="{A677FC49-D0A3-4CC4-A610-79F6790CFA4E}" name="Column9618"/>
    <tableColumn id="9625" xr3:uid="{E84C1B30-49B6-428E-8F45-E64B88F1DC0C}" name="Column9619"/>
    <tableColumn id="9626" xr3:uid="{871CFFC1-BDD0-4E25-8E93-0D94DF28BBB4}" name="Column9620"/>
    <tableColumn id="9627" xr3:uid="{6CAAADEF-25B2-49F0-9C4A-CF2D2F0B8C0E}" name="Column9621"/>
    <tableColumn id="9628" xr3:uid="{5C040570-E20B-4208-BFCE-BD2D310DBA04}" name="Column9622"/>
    <tableColumn id="9629" xr3:uid="{E4F886E1-5E41-44E2-9DF6-3F6465FA8DC2}" name="Column9623"/>
    <tableColumn id="9630" xr3:uid="{EAB75FDA-870E-4FC0-ACE5-4CB6475B9701}" name="Column9624"/>
    <tableColumn id="9631" xr3:uid="{821EFA4D-060B-46AA-8681-263BCD4C9BE4}" name="Column9625"/>
    <tableColumn id="9632" xr3:uid="{ECDC4855-6158-4533-8534-7AA7DBE7550B}" name="Column9626"/>
    <tableColumn id="9633" xr3:uid="{96B599D6-D8D6-430E-9441-671954029CDA}" name="Column9627"/>
    <tableColumn id="9634" xr3:uid="{6ADF7EFF-ADD9-49BE-A6B3-E5885C6BB974}" name="Column9628"/>
    <tableColumn id="9635" xr3:uid="{3BC79E38-47F4-4189-B002-D6663FB2E9A1}" name="Column9629"/>
    <tableColumn id="9636" xr3:uid="{FC703209-219D-4968-A559-3523147600B6}" name="Column9630"/>
    <tableColumn id="9637" xr3:uid="{AC275E4B-571E-4D6A-80B1-572DEA701108}" name="Column9631"/>
    <tableColumn id="9638" xr3:uid="{4238D2BC-7257-4E1B-A771-2CB9110290E8}" name="Column9632"/>
    <tableColumn id="9639" xr3:uid="{33F7FC19-5B35-4A56-A521-3AE17F3C0675}" name="Column9633"/>
    <tableColumn id="9640" xr3:uid="{9F45E0F9-8C78-4018-8687-50FEA569C78F}" name="Column9634"/>
    <tableColumn id="9641" xr3:uid="{390976E4-198B-48F6-9BA3-6E83A07A3881}" name="Column9635"/>
    <tableColumn id="9642" xr3:uid="{4F8C3394-281A-479D-8163-902788FD1765}" name="Column9636"/>
    <tableColumn id="9643" xr3:uid="{F815A307-9883-4F03-8ECD-795B3B8F829D}" name="Column9637"/>
    <tableColumn id="9644" xr3:uid="{6510AD06-E3E6-4B7E-BD43-B7BC528C80EB}" name="Column9638"/>
    <tableColumn id="9645" xr3:uid="{97F72098-EF61-40BD-967F-18F44AD8C43F}" name="Column9639"/>
    <tableColumn id="9646" xr3:uid="{C3B30DF4-B32B-410A-9368-95126CC8872B}" name="Column9640"/>
    <tableColumn id="9647" xr3:uid="{6B3E30B7-6EF3-46F0-8358-8D1F29F916DB}" name="Column9641"/>
    <tableColumn id="9648" xr3:uid="{637941F2-B61D-40DF-A805-C78CE43AD99E}" name="Column9642"/>
    <tableColumn id="9649" xr3:uid="{B9AF6E31-5C5A-4339-88F9-F220BBF7802B}" name="Column9643"/>
    <tableColumn id="9650" xr3:uid="{40C72E57-D376-4C91-8C9B-85846B2AD13B}" name="Column9644"/>
    <tableColumn id="9651" xr3:uid="{484135DA-B83F-43F3-A3F8-6768C0E5661A}" name="Column9645"/>
    <tableColumn id="9652" xr3:uid="{10DABBC4-16F2-4594-A56F-CD780405B5CB}" name="Column9646"/>
    <tableColumn id="9653" xr3:uid="{4AE1431C-08F5-46F5-B651-7FBF8FE52F65}" name="Column9647"/>
    <tableColumn id="9654" xr3:uid="{5EF3A399-DB14-4F73-B9E8-874107EC61B1}" name="Column9648"/>
    <tableColumn id="9655" xr3:uid="{87F3BFB5-BA17-473F-AB4B-10DAADB7EC17}" name="Column9649"/>
    <tableColumn id="9656" xr3:uid="{305D3D03-CE52-4D8D-BFE8-3ECD17C61092}" name="Column9650"/>
    <tableColumn id="9657" xr3:uid="{D533FE3E-69D8-4B8F-BB3D-95F831DED6F1}" name="Column9651"/>
    <tableColumn id="9658" xr3:uid="{47D73103-C2F1-4BDC-8C48-EFD23D237FFD}" name="Column9652"/>
    <tableColumn id="9659" xr3:uid="{94BEFBDC-8A0C-4E58-B02E-306733AF71D5}" name="Column9653"/>
    <tableColumn id="9660" xr3:uid="{8F1687CF-FD52-4E5D-B664-096352976061}" name="Column9654"/>
    <tableColumn id="9661" xr3:uid="{94023F81-4AC9-4C2F-AFCA-054704E05EAC}" name="Column9655"/>
    <tableColumn id="9662" xr3:uid="{B1D084C8-DB7E-4CFE-9043-450D0FE4DE9C}" name="Column9656"/>
    <tableColumn id="9663" xr3:uid="{D9068CD3-1251-4FDD-B709-8885DF84D9C6}" name="Column9657"/>
    <tableColumn id="9664" xr3:uid="{E1E9CEA6-D5EC-456F-B794-7B7B0648E4EB}" name="Column9658"/>
    <tableColumn id="9665" xr3:uid="{BFDCA39C-46A6-4E44-9DF8-BBFDC0FCE44E}" name="Column9659"/>
    <tableColumn id="9666" xr3:uid="{F056FBF7-E8D1-4855-8552-98069004F7E4}" name="Column9660"/>
    <tableColumn id="9667" xr3:uid="{E7163CD0-BA47-48D1-8133-9F04215EE009}" name="Column9661"/>
    <tableColumn id="9668" xr3:uid="{8F1433E0-D0D6-43A7-8A83-7B50B869FC90}" name="Column9662"/>
    <tableColumn id="9669" xr3:uid="{6882EE06-FAA6-409E-9027-70D27C94DA4E}" name="Column9663"/>
    <tableColumn id="9670" xr3:uid="{79F253FC-D897-4D80-9A82-6F1A2B00176F}" name="Column9664"/>
    <tableColumn id="9671" xr3:uid="{E6813298-9534-45D7-B26B-FECC8018B1C0}" name="Column9665"/>
    <tableColumn id="9672" xr3:uid="{C0931E79-DECC-4E03-89E4-E7CF6A57C0AD}" name="Column9666"/>
    <tableColumn id="9673" xr3:uid="{56737827-EDC9-43E9-941D-2FC624AC7B15}" name="Column9667"/>
    <tableColumn id="9674" xr3:uid="{C5F1329C-B0E2-4DFA-A6C7-C6CD35BD2BB7}" name="Column9668"/>
    <tableColumn id="9675" xr3:uid="{7A9745AD-0406-4E9D-8DA4-EF2704728982}" name="Column9669"/>
    <tableColumn id="9676" xr3:uid="{14C7536C-852E-4F70-8D17-6B95001D9FDC}" name="Column9670"/>
    <tableColumn id="9677" xr3:uid="{9EA0C467-3388-4E88-AF5B-24EDB8E788B2}" name="Column9671"/>
    <tableColumn id="9678" xr3:uid="{1A8F36D4-378B-4537-BF40-3AF9FC8EC622}" name="Column9672"/>
    <tableColumn id="9679" xr3:uid="{A94644F0-04E7-48B0-9295-AAF68AB819A5}" name="Column9673"/>
    <tableColumn id="9680" xr3:uid="{9539FE16-D002-4DF6-9B62-A28DEAC4E9D9}" name="Column9674"/>
    <tableColumn id="9681" xr3:uid="{D6DA536E-02C2-40D2-B466-06AC06C0DEC5}" name="Column9675"/>
    <tableColumn id="9682" xr3:uid="{68FEA8A7-671C-4669-8BF1-54772079BCF8}" name="Column9676"/>
    <tableColumn id="9683" xr3:uid="{2BA6BEB8-DD73-4746-B54E-6CE0BA898CF2}" name="Column9677"/>
    <tableColumn id="9684" xr3:uid="{39437095-9023-408E-8E31-485A5CED56DB}" name="Column9678"/>
    <tableColumn id="9685" xr3:uid="{A5A0DD3C-E385-44E0-B127-536547521FA8}" name="Column9679"/>
    <tableColumn id="9686" xr3:uid="{D8DEA342-05C8-4B76-A334-1F16D9B8C1B9}" name="Column9680"/>
    <tableColumn id="9687" xr3:uid="{A170AA74-EFB1-40C3-A779-98CE3F6A2F73}" name="Column9681"/>
    <tableColumn id="9688" xr3:uid="{3F055377-97D5-4631-85DF-EE55C792A9C8}" name="Column9682"/>
    <tableColumn id="9689" xr3:uid="{2A531115-CD3B-4B9D-81D8-94588C261CE5}" name="Column9683"/>
    <tableColumn id="9690" xr3:uid="{F0C53364-E087-4BEA-A48B-684F3B122A4E}" name="Column9684"/>
    <tableColumn id="9691" xr3:uid="{7B01DC78-7B15-41E5-BFEF-C047DBF3B97D}" name="Column9685"/>
    <tableColumn id="9692" xr3:uid="{1AABCEBA-154F-4C65-BD98-3A6CD79ADAB3}" name="Column9686"/>
    <tableColumn id="9693" xr3:uid="{877C6EF1-8267-4F33-B0EC-EB09EA4A6A2C}" name="Column9687"/>
    <tableColumn id="9694" xr3:uid="{A56F08B2-618E-4A89-9EEB-51DA4F279ED9}" name="Column9688"/>
    <tableColumn id="9695" xr3:uid="{6CF272AC-BFEF-43FB-AB99-014C7D6FFDA0}" name="Column9689"/>
    <tableColumn id="9696" xr3:uid="{0FE1E0D8-EFD6-4023-A4EC-025009C221E2}" name="Column9690"/>
    <tableColumn id="9697" xr3:uid="{DC80950F-78CF-4AA5-9E95-43B9928541FD}" name="Column9691"/>
    <tableColumn id="9698" xr3:uid="{0A4973E7-16C1-422F-9297-D72B4FB355B3}" name="Column9692"/>
    <tableColumn id="9699" xr3:uid="{79037B1D-28C5-422E-B0E9-85B04AD29A59}" name="Column9693"/>
    <tableColumn id="9700" xr3:uid="{9CF7AD5E-90BB-4AC1-A0B1-D2487774B504}" name="Column9694"/>
    <tableColumn id="9701" xr3:uid="{0E1E277F-B897-4D06-BBE1-00097D27EB52}" name="Column9695"/>
    <tableColumn id="9702" xr3:uid="{FF76B04C-E660-445B-A494-9CF18EA094E1}" name="Column9696"/>
    <tableColumn id="9703" xr3:uid="{C3246639-8282-4449-8BC4-EDA5FCB9C6E8}" name="Column9697"/>
    <tableColumn id="9704" xr3:uid="{FCC9C8C1-9DD1-4E40-AD8B-DB9867149B98}" name="Column9698"/>
    <tableColumn id="9705" xr3:uid="{4F243863-811C-4481-926F-E59E86F959C4}" name="Column9699"/>
    <tableColumn id="9706" xr3:uid="{D11B364B-EA42-473B-A7FC-E71BDCDA1A29}" name="Column9700"/>
    <tableColumn id="9707" xr3:uid="{51151369-ADB8-47E3-9E42-088CBBBCD5E7}" name="Column9701"/>
    <tableColumn id="9708" xr3:uid="{79672A1F-8A32-48DE-83EE-5A99BE767C2D}" name="Column9702"/>
    <tableColumn id="9709" xr3:uid="{E8CBE74C-F797-4113-BE32-F56C142F149C}" name="Column9703"/>
    <tableColumn id="9710" xr3:uid="{EECF6669-73C5-420E-9189-82EAD3019FAA}" name="Column9704"/>
    <tableColumn id="9711" xr3:uid="{5348720C-468C-4283-A05E-AA0AFA90304E}" name="Column9705"/>
    <tableColumn id="9712" xr3:uid="{F3037312-3663-4750-AED8-109EFB4C4828}" name="Column9706"/>
    <tableColumn id="9713" xr3:uid="{693D567D-E9AB-4C47-BC69-C250D04DB5AC}" name="Column9707"/>
    <tableColumn id="9714" xr3:uid="{A53DB96A-459B-4C47-A0FD-001791FCCBCA}" name="Column9708"/>
    <tableColumn id="9715" xr3:uid="{4F279656-3277-4CCF-838F-2102B128C685}" name="Column9709"/>
    <tableColumn id="9716" xr3:uid="{9364F97A-2CF6-4914-8C6E-547803563347}" name="Column9710"/>
    <tableColumn id="9717" xr3:uid="{C75FCCBB-9B6B-46E4-8F82-B8FEF9BD356F}" name="Column9711"/>
    <tableColumn id="9718" xr3:uid="{35701F73-5872-408F-B364-B8BD130EA146}" name="Column9712"/>
    <tableColumn id="9719" xr3:uid="{60F32545-0DD1-4921-8A05-12F699F05DCD}" name="Column9713"/>
    <tableColumn id="9720" xr3:uid="{6530B86D-4E66-479D-B823-0AC69A927B19}" name="Column9714"/>
    <tableColumn id="9721" xr3:uid="{A5D23F6F-A683-4752-A235-7459C770A707}" name="Column9715"/>
    <tableColumn id="9722" xr3:uid="{D79E31C0-0884-451E-BDBD-0BC8D9579BFD}" name="Column9716"/>
    <tableColumn id="9723" xr3:uid="{903CD7C8-04DA-4B04-BFDC-5D2017F3203E}" name="Column9717"/>
    <tableColumn id="9724" xr3:uid="{3140DC80-979E-4BE2-A8BD-BC3C291680AF}" name="Column9718"/>
    <tableColumn id="9725" xr3:uid="{AE7786DA-3214-49ED-8B97-9785BCFDBCDD}" name="Column9719"/>
    <tableColumn id="9726" xr3:uid="{45F2771E-856F-4E8D-BE6E-7C4ACB68ABB5}" name="Column9720"/>
    <tableColumn id="9727" xr3:uid="{DFFC8E99-5DA9-4B6F-A580-0D3FB3BCB151}" name="Column9721"/>
    <tableColumn id="9728" xr3:uid="{9DC60299-9A4D-4295-9E6D-146CE0B5CF4B}" name="Column9722"/>
    <tableColumn id="9729" xr3:uid="{22E9C803-182C-4CEC-A53D-88385E68EDE9}" name="Column9723"/>
    <tableColumn id="9730" xr3:uid="{F42269F4-0E52-4333-8735-4828BBD5564B}" name="Column9724"/>
    <tableColumn id="9731" xr3:uid="{D64D867B-AB6F-4ADC-A488-B0C49A14834B}" name="Column9725"/>
    <tableColumn id="9732" xr3:uid="{CD34E8CE-5B1D-4800-BAC6-A09353BFBED9}" name="Column9726"/>
    <tableColumn id="9733" xr3:uid="{CD680E80-64AC-4EB1-9542-B4B4A2AC1867}" name="Column9727"/>
    <tableColumn id="9734" xr3:uid="{BC06D68D-674E-4CC6-80D7-8CF4DEFA62ED}" name="Column9728"/>
    <tableColumn id="9735" xr3:uid="{81DB355B-57F4-4055-B761-ACF2ACD3D596}" name="Column9729"/>
    <tableColumn id="9736" xr3:uid="{F2F1119A-E3E9-4ADB-AB6E-6C2605A3730B}" name="Column9730"/>
    <tableColumn id="9737" xr3:uid="{0EF98DF2-4FC3-420C-AB38-F9EF7AEABE1A}" name="Column9731"/>
    <tableColumn id="9738" xr3:uid="{851D81DA-E491-4CA4-908D-CC9D819C05F4}" name="Column9732"/>
    <tableColumn id="9739" xr3:uid="{65F68D5B-8547-4798-8F6A-0E020D048C3D}" name="Column9733"/>
    <tableColumn id="9740" xr3:uid="{7583D89E-4FB1-422B-A33F-02E794D5A037}" name="Column9734"/>
    <tableColumn id="9741" xr3:uid="{B7DF2B3C-377B-4CC6-A549-54CC52B7E078}" name="Column9735"/>
    <tableColumn id="9742" xr3:uid="{710DD64B-D384-492D-9509-730B45F552F0}" name="Column9736"/>
    <tableColumn id="9743" xr3:uid="{05F03FB7-9BEF-4A4A-90A9-3F7364CF2C8D}" name="Column9737"/>
    <tableColumn id="9744" xr3:uid="{2F15C080-114F-4026-85CD-04F730C762E2}" name="Column9738"/>
    <tableColumn id="9745" xr3:uid="{737E30D9-465E-44A6-87EB-BDDADFE3B4C2}" name="Column9739"/>
    <tableColumn id="9746" xr3:uid="{314B10A9-B7FD-43D9-866D-23C8C67BF841}" name="Column9740"/>
    <tableColumn id="9747" xr3:uid="{811E0213-03E5-4D79-AA7B-890FBC737ADD}" name="Column9741"/>
    <tableColumn id="9748" xr3:uid="{2471684D-994A-4E16-9347-3A2BE0947F01}" name="Column9742"/>
    <tableColumn id="9749" xr3:uid="{D1F9887C-D8B1-40CF-A545-60F4F64E1601}" name="Column9743"/>
    <tableColumn id="9750" xr3:uid="{F978DDBC-7815-495F-866F-DC018412E9C9}" name="Column9744"/>
    <tableColumn id="9751" xr3:uid="{D1790A89-4D65-4CE7-AF5D-E3249DAB0DF9}" name="Column9745"/>
    <tableColumn id="9752" xr3:uid="{2E464F7B-59B0-44C5-8C45-C613716A1A10}" name="Column9746"/>
    <tableColumn id="9753" xr3:uid="{40E9E1DE-8DD8-48C4-A8D4-0569D4C9E408}" name="Column9747"/>
    <tableColumn id="9754" xr3:uid="{BF964404-DA96-4424-BBBF-5CDC4DD3EE24}" name="Column9748"/>
    <tableColumn id="9755" xr3:uid="{7646351C-8CF5-4BDF-934E-E33DC9843CEB}" name="Column9749"/>
    <tableColumn id="9756" xr3:uid="{E8831FA4-1A1E-4C1D-A47E-14C1E6E9BCE8}" name="Column9750"/>
    <tableColumn id="9757" xr3:uid="{F28FE222-F7C9-414B-812C-9981A1421B37}" name="Column9751"/>
    <tableColumn id="9758" xr3:uid="{7C216B83-252B-46E9-9965-D59D0D5A4DF9}" name="Column9752"/>
    <tableColumn id="9759" xr3:uid="{438126C7-A59C-40E2-80B2-B34AED8BFB9A}" name="Column9753"/>
    <tableColumn id="9760" xr3:uid="{BB2696CB-4DBE-452A-BC38-42981AA7FB36}" name="Column9754"/>
    <tableColumn id="9761" xr3:uid="{C4F7459F-680A-4592-884D-55F648AA6095}" name="Column9755"/>
    <tableColumn id="9762" xr3:uid="{516586D3-C880-4574-8FAC-AB4986BB567F}" name="Column9756"/>
    <tableColumn id="9763" xr3:uid="{55485F51-C43A-47B3-A7BF-4E3DDCA726C5}" name="Column9757"/>
    <tableColumn id="9764" xr3:uid="{C76F3BB3-426B-4209-B8AD-95F75A34D9A3}" name="Column9758"/>
    <tableColumn id="9765" xr3:uid="{79F204E6-3661-481E-A7D7-2A0D8D96915C}" name="Column9759"/>
    <tableColumn id="9766" xr3:uid="{F8545044-B204-4093-9CC4-3C38FCC7A2D2}" name="Column9760"/>
    <tableColumn id="9767" xr3:uid="{24949639-8C8F-4789-8AA0-FA7859EECB48}" name="Column9761"/>
    <tableColumn id="9768" xr3:uid="{1D0823B0-F85E-42D3-BC75-CB49BFD78DA8}" name="Column9762"/>
    <tableColumn id="9769" xr3:uid="{DAEC7822-16E9-43BE-8E2D-1A3CE2BD2DD2}" name="Column9763"/>
    <tableColumn id="9770" xr3:uid="{536326D7-FCDB-480E-9673-FB0AAA95C746}" name="Column9764"/>
    <tableColumn id="9771" xr3:uid="{F7658FAB-308B-4593-AD46-8622D04D9A98}" name="Column9765"/>
    <tableColumn id="9772" xr3:uid="{9BEC6033-5B92-4188-B31C-3691A04A423A}" name="Column9766"/>
    <tableColumn id="9773" xr3:uid="{91D11579-992A-40D8-A96D-7C9F6737F059}" name="Column9767"/>
    <tableColumn id="9774" xr3:uid="{D6C95F02-BEB1-4C81-A4C6-2DB709014D7D}" name="Column9768"/>
    <tableColumn id="9775" xr3:uid="{01A179DB-AA6A-4A34-AC2D-ADC7D571C722}" name="Column9769"/>
    <tableColumn id="9776" xr3:uid="{4A8F15EC-FDFF-4854-BF8A-212346D1FC65}" name="Column9770"/>
    <tableColumn id="9777" xr3:uid="{EEE973D2-D4B8-498B-BF3F-9695E7E43E72}" name="Column9771"/>
    <tableColumn id="9778" xr3:uid="{0BAA5443-8DEE-47AE-9518-15E6E0E3C7AB}" name="Column9772"/>
    <tableColumn id="9779" xr3:uid="{62CE8212-EDDB-4005-BEDA-B64D639D862A}" name="Column9773"/>
    <tableColumn id="9780" xr3:uid="{31DDB75C-DBDB-4D7C-8611-7D86CFEA7D81}" name="Column9774"/>
    <tableColumn id="9781" xr3:uid="{7951E3FE-6C4D-47F4-9590-AF1F770E6D8E}" name="Column9775"/>
    <tableColumn id="9782" xr3:uid="{58A2ED36-7EBF-4BED-BA50-9B52C2B9947B}" name="Column9776"/>
    <tableColumn id="9783" xr3:uid="{2A9BFD9D-F536-49E7-82D7-8DA1355FC56D}" name="Column9777"/>
    <tableColumn id="9784" xr3:uid="{323760B9-FF6A-4CEF-9EBA-DFF9C0F50A85}" name="Column9778"/>
    <tableColumn id="9785" xr3:uid="{0BBF4FD4-C445-4760-8A92-4CEC11F47C45}" name="Column9779"/>
    <tableColumn id="9786" xr3:uid="{6A5AA3D6-15BC-4004-9B70-CDD6307D7D86}" name="Column9780"/>
    <tableColumn id="9787" xr3:uid="{1CD24114-9359-4D30-8127-9F6641ABDE48}" name="Column9781"/>
    <tableColumn id="9788" xr3:uid="{BEE903A1-3F0F-46C9-ABDA-A49BA4B131BF}" name="Column9782"/>
    <tableColumn id="9789" xr3:uid="{F00245BB-434A-49F7-86A4-63EDF51A7E21}" name="Column9783"/>
    <tableColumn id="9790" xr3:uid="{511D6296-9588-4533-87E6-1190F1D2115C}" name="Column9784"/>
    <tableColumn id="9791" xr3:uid="{29439E52-EF34-4384-A08D-0DF62E27FCD7}" name="Column9785"/>
    <tableColumn id="9792" xr3:uid="{7628D751-1320-446F-AC9C-59BCA8F609EE}" name="Column9786"/>
    <tableColumn id="9793" xr3:uid="{21CEB0D2-E682-4E50-8136-CC7FA36D0EF0}" name="Column9787"/>
    <tableColumn id="9794" xr3:uid="{DE2E76A9-7D13-4A73-8F3E-1B457E727EA2}" name="Column9788"/>
    <tableColumn id="9795" xr3:uid="{7B1FD442-83C4-4E96-9AB5-DC95F8481323}" name="Column9789"/>
    <tableColumn id="9796" xr3:uid="{201A9530-E914-45CB-B014-929B58F5C2F5}" name="Column9790"/>
    <tableColumn id="9797" xr3:uid="{1DD82881-61DD-4D66-AD2D-909ABE5D7506}" name="Column9791"/>
    <tableColumn id="9798" xr3:uid="{CA2354E6-A2CF-4879-B32F-3AF0948D9B7C}" name="Column9792"/>
    <tableColumn id="9799" xr3:uid="{09A867B7-E3FB-4FD6-AD4E-4CF185CA917C}" name="Column9793"/>
    <tableColumn id="9800" xr3:uid="{9DDCB7AB-7D92-44BD-B32A-17E8B2B6CAF7}" name="Column9794"/>
    <tableColumn id="9801" xr3:uid="{803192FE-CCCE-4FC2-8D20-C48D7A40193C}" name="Column9795"/>
    <tableColumn id="9802" xr3:uid="{DBE8B39D-0CEF-4A5C-906A-7325C727F853}" name="Column9796"/>
    <tableColumn id="9803" xr3:uid="{46CA3CE8-63C5-4111-AD2F-0E2D97270953}" name="Column9797"/>
    <tableColumn id="9804" xr3:uid="{22E9897B-907A-498A-853B-3E62899E9EB1}" name="Column9798"/>
    <tableColumn id="9805" xr3:uid="{F4F5C61E-71D4-4808-B1D7-E424AAF4C461}" name="Column9799"/>
    <tableColumn id="9806" xr3:uid="{67632E2C-82A0-431D-92CB-731BD2026D27}" name="Column9800"/>
    <tableColumn id="9807" xr3:uid="{2DFC8953-4015-4DE7-ADFB-2BADCA1962BE}" name="Column9801"/>
    <tableColumn id="9808" xr3:uid="{1859C219-82CA-4760-A6B5-9934427DF49B}" name="Column9802"/>
    <tableColumn id="9809" xr3:uid="{98C3B116-BA8B-40BB-BBD1-AE4CFFEA71C8}" name="Column9803"/>
    <tableColumn id="9810" xr3:uid="{5DB951A6-7037-4DF3-9C69-CD914DE5BE89}" name="Column9804"/>
    <tableColumn id="9811" xr3:uid="{39FAADC4-4FE6-448F-8DE8-A6EFB0029487}" name="Column9805"/>
    <tableColumn id="9812" xr3:uid="{9C4B89A3-8203-45BA-AE96-954D4435E919}" name="Column9806"/>
    <tableColumn id="9813" xr3:uid="{8AFB0DBE-606F-4F04-8FA5-FE4A0AA76357}" name="Column9807"/>
    <tableColumn id="9814" xr3:uid="{3BDED096-21A4-4852-A7CB-4B5594D78ACE}" name="Column9808"/>
    <tableColumn id="9815" xr3:uid="{1B1C2B5C-C6AD-4732-9877-9268D6D8491F}" name="Column9809"/>
    <tableColumn id="9816" xr3:uid="{19BE1500-3F13-4211-A1D4-E2A6368E2BF2}" name="Column9810"/>
    <tableColumn id="9817" xr3:uid="{2BC918BC-A74F-4B80-9413-D49340DC787F}" name="Column9811"/>
    <tableColumn id="9818" xr3:uid="{544966AD-FF99-4A24-80AF-C3072AF71974}" name="Column9812"/>
    <tableColumn id="9819" xr3:uid="{6D5D858F-299D-442A-9872-6EF7E00B2941}" name="Column9813"/>
    <tableColumn id="9820" xr3:uid="{8EA5A977-40E5-4067-AE44-A2430B68D871}" name="Column9814"/>
    <tableColumn id="9821" xr3:uid="{B1D9B5F5-6617-4529-B8A4-145D01E17168}" name="Column9815"/>
    <tableColumn id="9822" xr3:uid="{34774DC8-9F18-44C3-9352-DBC4CCD4E0CE}" name="Column9816"/>
    <tableColumn id="9823" xr3:uid="{9B171E09-2D76-4F6B-B04A-BFD4080E6856}" name="Column9817"/>
    <tableColumn id="9824" xr3:uid="{48BCE3F1-8A8A-4AA9-A487-CB584B1C04B1}" name="Column9818"/>
    <tableColumn id="9825" xr3:uid="{DB7BC6CD-5FBC-404E-B883-94B7114E4670}" name="Column9819"/>
    <tableColumn id="9826" xr3:uid="{59E1A59E-DF28-425C-8FA9-033D4D630549}" name="Column9820"/>
    <tableColumn id="9827" xr3:uid="{A7785C42-DC74-4175-8324-2C9085576C9E}" name="Column9821"/>
    <tableColumn id="9828" xr3:uid="{A14AB5CC-DF15-47FA-B16A-F888E128B466}" name="Column9822"/>
    <tableColumn id="9829" xr3:uid="{54864171-00E2-435F-9CA0-1A336B784A19}" name="Column9823"/>
    <tableColumn id="9830" xr3:uid="{C4130A47-E70C-4721-B1F4-3D8EBC0946B1}" name="Column9824"/>
    <tableColumn id="9831" xr3:uid="{C15309D9-BE68-486B-B216-EB8639A36F84}" name="Column9825"/>
    <tableColumn id="9832" xr3:uid="{BEDB1A6F-2E8A-4537-98BF-58008741E908}" name="Column9826"/>
    <tableColumn id="9833" xr3:uid="{DC96F14F-9387-4716-8400-43F6932B98F2}" name="Column9827"/>
    <tableColumn id="9834" xr3:uid="{D41A3EFD-B85A-4E0F-97CF-B5A2A2DEACCC}" name="Column9828"/>
    <tableColumn id="9835" xr3:uid="{71193307-5887-46B2-B574-C1B92323676B}" name="Column9829"/>
    <tableColumn id="9836" xr3:uid="{B8ECD629-498A-4679-BE62-59346795A73F}" name="Column9830"/>
    <tableColumn id="9837" xr3:uid="{8366D3A5-C5DD-41C5-BA96-89E5515E2DCC}" name="Column9831"/>
    <tableColumn id="9838" xr3:uid="{BE1AA76D-8471-411F-99E3-572B35724606}" name="Column9832"/>
    <tableColumn id="9839" xr3:uid="{B86DE237-B6F6-4C57-B44C-3602C2D47D8C}" name="Column9833"/>
    <tableColumn id="9840" xr3:uid="{DAABF66D-96E4-43A3-8C85-0E21C6371A12}" name="Column9834"/>
    <tableColumn id="9841" xr3:uid="{0FEEBE72-B88A-40CE-9840-FD5F690F4EDF}" name="Column9835"/>
    <tableColumn id="9842" xr3:uid="{74B79B69-DBE9-483E-96C6-63F1CADDB196}" name="Column9836"/>
    <tableColumn id="9843" xr3:uid="{75796C38-930E-4BF3-9DCE-C2680B589A6A}" name="Column9837"/>
    <tableColumn id="9844" xr3:uid="{4B43C2FC-1306-4587-867F-B3B74849025D}" name="Column9838"/>
    <tableColumn id="9845" xr3:uid="{5DB749F1-E064-4E8F-BFBD-24C7A9007739}" name="Column9839"/>
    <tableColumn id="9846" xr3:uid="{6D7FA5BD-DE93-4697-9398-225B5ED11C2C}" name="Column9840"/>
    <tableColumn id="9847" xr3:uid="{B803931E-4F1A-483D-A183-FA3BC13C32C1}" name="Column9841"/>
    <tableColumn id="9848" xr3:uid="{59C3990F-DF38-497C-8A16-1C45EE760F80}" name="Column9842"/>
    <tableColumn id="9849" xr3:uid="{D741BB8F-F241-46DE-9DA6-7CA249AAF46D}" name="Column9843"/>
    <tableColumn id="9850" xr3:uid="{4A8BF265-1562-4352-A1F5-77E815961349}" name="Column9844"/>
    <tableColumn id="9851" xr3:uid="{5FA37197-DF35-499B-8FE6-37C829F874BF}" name="Column9845"/>
    <tableColumn id="9852" xr3:uid="{FA8C0DD4-4209-4A09-99E2-8F79BC42F558}" name="Column9846"/>
    <tableColumn id="9853" xr3:uid="{7A5C720E-6A81-40A3-B755-7BE8405A3B33}" name="Column9847"/>
    <tableColumn id="9854" xr3:uid="{B84381CB-1627-43A1-861C-442CF3E9A0D7}" name="Column9848"/>
    <tableColumn id="9855" xr3:uid="{7D9C60C5-AADF-460D-AB89-5F36795974D7}" name="Column9849"/>
    <tableColumn id="9856" xr3:uid="{892A7AF5-914E-48EC-AB89-D44770E2B251}" name="Column9850"/>
    <tableColumn id="9857" xr3:uid="{FF842D79-45D0-47BF-8967-C53CA4B68606}" name="Column9851"/>
    <tableColumn id="9858" xr3:uid="{4D9945ED-4BC0-48A9-9EF2-21F9A1E46F43}" name="Column9852"/>
    <tableColumn id="9859" xr3:uid="{E4516D33-F058-4A53-9856-BCA36050F35D}" name="Column9853"/>
    <tableColumn id="9860" xr3:uid="{90AF4628-A281-439E-8378-68F08BCFD57E}" name="Column9854"/>
    <tableColumn id="9861" xr3:uid="{587DF70F-1969-447D-9A5C-6D42B3C9BAE1}" name="Column9855"/>
    <tableColumn id="9862" xr3:uid="{DBE1473D-2631-43B0-A645-32180200B506}" name="Column9856"/>
    <tableColumn id="9863" xr3:uid="{8BE5F597-D38A-4A5C-B16B-B065CCA353D7}" name="Column9857"/>
    <tableColumn id="9864" xr3:uid="{43C66B57-B07A-457B-88C9-2DEE9D2F6F04}" name="Column9858"/>
    <tableColumn id="9865" xr3:uid="{322BB933-1DC5-42A7-B376-88C9AC55AFFA}" name="Column9859"/>
    <tableColumn id="9866" xr3:uid="{7B294B88-64B2-4E3D-A39E-34F02D1F64AD}" name="Column9860"/>
    <tableColumn id="9867" xr3:uid="{DCEF6D8F-1AF7-479C-AD03-613A298DA33D}" name="Column9861"/>
    <tableColumn id="9868" xr3:uid="{951CAC2C-494A-4065-96D0-179CD5B0634B}" name="Column9862"/>
    <tableColumn id="9869" xr3:uid="{F1A5970F-795B-4964-B294-04BEAF06E7F6}" name="Column9863"/>
    <tableColumn id="9870" xr3:uid="{26E823A1-58F5-44D9-BF5A-56A9B4B13160}" name="Column9864"/>
    <tableColumn id="9871" xr3:uid="{6CA38C37-EA0A-40CD-84AF-5925575C3428}" name="Column9865"/>
    <tableColumn id="9872" xr3:uid="{D35D0AEB-0E62-4042-970D-A880C98B3495}" name="Column9866"/>
    <tableColumn id="9873" xr3:uid="{630D34D4-CEF1-46C5-BD9E-DE501AC32DC5}" name="Column9867"/>
    <tableColumn id="9874" xr3:uid="{E8D8F32C-5E54-4F5F-B56D-5595AD47D691}" name="Column9868"/>
    <tableColumn id="9875" xr3:uid="{40A8F0BD-90E9-47FC-A6D3-0645EAA0676A}" name="Column9869"/>
    <tableColumn id="9876" xr3:uid="{7C012343-AEE4-49DE-B0A7-FC235C3CCD63}" name="Column9870"/>
    <tableColumn id="9877" xr3:uid="{D09E4ABC-AEDE-472B-958E-F40370DED28C}" name="Column9871"/>
    <tableColumn id="9878" xr3:uid="{6E5969DE-FA4E-4B97-970A-378FF8F7E116}" name="Column9872"/>
    <tableColumn id="9879" xr3:uid="{3893B732-F8C0-4C92-96AF-EF4AF21291EF}" name="Column9873"/>
    <tableColumn id="9880" xr3:uid="{5B89BCBC-AE4F-477C-B982-0448E4F8C3C0}" name="Column9874"/>
    <tableColumn id="9881" xr3:uid="{C527D794-2B3C-4376-9B4E-F833352362F0}" name="Column9875"/>
    <tableColumn id="9882" xr3:uid="{B75050A8-9B97-4190-B962-836F5E072FDC}" name="Column9876"/>
    <tableColumn id="9883" xr3:uid="{7F317DD5-9A74-4FC5-BEAB-2BDEC75A96F6}" name="Column9877"/>
    <tableColumn id="9884" xr3:uid="{E054A4E8-454A-4C96-AD19-3B33D2A05303}" name="Column9878"/>
    <tableColumn id="9885" xr3:uid="{84D4FB6C-023A-4A3F-944E-359088C4297A}" name="Column9879"/>
    <tableColumn id="9886" xr3:uid="{4CE3C9BD-375B-402F-96FE-A352380FC454}" name="Column9880"/>
    <tableColumn id="9887" xr3:uid="{EA0E1368-0901-4F41-9F23-BBC3F0E17B53}" name="Column9881"/>
    <tableColumn id="9888" xr3:uid="{0E2B2592-9669-4026-9F1C-78F02F96AED8}" name="Column9882"/>
    <tableColumn id="9889" xr3:uid="{EBC43DA2-E174-4C01-8DBB-1114CF2E8509}" name="Column9883"/>
    <tableColumn id="9890" xr3:uid="{BC31ED46-53B8-439E-8356-9B9B4DDF5507}" name="Column9884"/>
    <tableColumn id="9891" xr3:uid="{F6FA32EC-D13D-4652-82A2-EA5BE6CB6D30}" name="Column9885"/>
    <tableColumn id="9892" xr3:uid="{CBDEF513-51D2-48F3-AEEE-8A6AE5A8AAAE}" name="Column9886"/>
    <tableColumn id="9893" xr3:uid="{0AEBEE7C-38B1-49B5-8DD2-3B26556BC4A7}" name="Column9887"/>
    <tableColumn id="9894" xr3:uid="{369E7AC4-0E04-4C51-902B-17881336B01C}" name="Column9888"/>
    <tableColumn id="9895" xr3:uid="{DCF73A8E-5C39-42FD-9DA2-B822D2579681}" name="Column9889"/>
    <tableColumn id="9896" xr3:uid="{B5180C5B-C284-4547-9A0F-CFB83D76A0F4}" name="Column9890"/>
    <tableColumn id="9897" xr3:uid="{D4083109-43CD-4B18-98B5-8D3915BFECAF}" name="Column9891"/>
    <tableColumn id="9898" xr3:uid="{3414227E-032D-4C59-8241-BDA31B5DE6CD}" name="Column9892"/>
    <tableColumn id="9899" xr3:uid="{65A941ED-9588-4AEF-90A6-F3F566A95D5A}" name="Column9893"/>
    <tableColumn id="9900" xr3:uid="{514FF978-DA97-44B0-84FA-59B730518019}" name="Column9894"/>
    <tableColumn id="9901" xr3:uid="{644C81D8-266B-42AD-A7D7-BA9142D93C70}" name="Column9895"/>
    <tableColumn id="9902" xr3:uid="{91D08769-F13F-4598-9A3C-6069AB1719EF}" name="Column9896"/>
    <tableColumn id="9903" xr3:uid="{67FA080B-CDBD-4E30-8875-4794EC75924A}" name="Column9897"/>
    <tableColumn id="9904" xr3:uid="{C18DF566-4CEF-488E-A408-A6EE2773633D}" name="Column9898"/>
    <tableColumn id="9905" xr3:uid="{B4BE974F-0B4E-4115-9751-DB05B1DF240B}" name="Column9899"/>
    <tableColumn id="9906" xr3:uid="{2BB8E1E8-47B0-44F1-99A7-694D6CBBC0B6}" name="Column9900"/>
    <tableColumn id="9907" xr3:uid="{E6949946-C9B2-4464-904F-86E9F8ECF639}" name="Column9901"/>
    <tableColumn id="9908" xr3:uid="{74D26493-79A3-4955-B308-EAA60F22B311}" name="Column9902"/>
    <tableColumn id="9909" xr3:uid="{2EF2F4BA-F3C5-48A6-9692-3E8034C27C48}" name="Column9903"/>
    <tableColumn id="9910" xr3:uid="{E840BEA4-EC5A-42EB-BBC8-59041D25744D}" name="Column9904"/>
    <tableColumn id="9911" xr3:uid="{198D474D-536E-4E5B-9B16-58F54035E953}" name="Column9905"/>
    <tableColumn id="9912" xr3:uid="{1D27AA58-DA6E-4FEC-A727-CD3528DD16B8}" name="Column9906"/>
    <tableColumn id="9913" xr3:uid="{D67B6099-6238-44DB-8E64-407703ADC248}" name="Column9907"/>
    <tableColumn id="9914" xr3:uid="{656D179A-D33C-43B5-9D09-676A1F1A65B2}" name="Column9908"/>
    <tableColumn id="9915" xr3:uid="{2AC91671-876B-4449-AD2F-ADA7B6B0BE5C}" name="Column9909"/>
    <tableColumn id="9916" xr3:uid="{CE64EB7A-35FB-43D2-9DE8-D4AEA7A55DE7}" name="Column9910"/>
    <tableColumn id="9917" xr3:uid="{129EB05C-6250-4F19-A829-86B1E81D3970}" name="Column9911"/>
    <tableColumn id="9918" xr3:uid="{92BE5E08-4C8D-404A-9B53-E420F6642CCC}" name="Column9912"/>
    <tableColumn id="9919" xr3:uid="{E246FC11-5912-4031-B971-6075AFA9CBE0}" name="Column9913"/>
    <tableColumn id="9920" xr3:uid="{98854352-03E4-431E-81DB-AC01F3E593F9}" name="Column9914"/>
    <tableColumn id="9921" xr3:uid="{2654DFC2-FC0B-4E9A-ACAA-C16093EE6631}" name="Column9915"/>
    <tableColumn id="9922" xr3:uid="{250ABD24-DFA1-4825-9038-4F8AE756EE5B}" name="Column9916"/>
    <tableColumn id="9923" xr3:uid="{1208B68E-161F-409B-9479-FE612FF23107}" name="Column9917"/>
    <tableColumn id="9924" xr3:uid="{C897A62A-FF18-4C3D-B8AB-77257142BFF4}" name="Column9918"/>
    <tableColumn id="9925" xr3:uid="{A7366137-E38A-4172-AA71-C9F41A344AC6}" name="Column9919"/>
    <tableColumn id="9926" xr3:uid="{11E0DBE4-00E8-4B0E-802F-935F86F04476}" name="Column9920"/>
    <tableColumn id="9927" xr3:uid="{2BAF3A62-9E75-4F88-B998-5F3E1AD98D26}" name="Column9921"/>
    <tableColumn id="9928" xr3:uid="{E204600E-ABB3-47B5-9564-2A49D270B108}" name="Column9922"/>
    <tableColumn id="9929" xr3:uid="{E0893899-2782-4095-BF2F-C32976290076}" name="Column9923"/>
    <tableColumn id="9930" xr3:uid="{78F36566-638B-4FCF-A060-6FAD295134FA}" name="Column9924"/>
    <tableColumn id="9931" xr3:uid="{0A194463-DA0C-4FE7-8F5A-CD18767E81A0}" name="Column9925"/>
    <tableColumn id="9932" xr3:uid="{25F8A550-3BB0-4553-891C-BF8925FD33C8}" name="Column9926"/>
    <tableColumn id="9933" xr3:uid="{7146A8FF-44CD-4CAB-BD13-5C6671608FFC}" name="Column9927"/>
    <tableColumn id="9934" xr3:uid="{B41A3300-C0A5-4749-AF30-A7027B185E0C}" name="Column9928"/>
    <tableColumn id="9935" xr3:uid="{BDAF546B-D313-426A-A016-718C077C5EC2}" name="Column9929"/>
    <tableColumn id="9936" xr3:uid="{0B46A3BC-AB73-4801-8270-8A0874D038B9}" name="Column9930"/>
    <tableColumn id="9937" xr3:uid="{7E8688CE-E305-4F9F-BFA7-049FEF4DEA95}" name="Column9931"/>
    <tableColumn id="9938" xr3:uid="{E7F5D37A-7F73-453B-A26E-0C329EB4297B}" name="Column9932"/>
    <tableColumn id="9939" xr3:uid="{66CD950B-362E-4DD6-AFA5-19EA3F7F8C09}" name="Column9933"/>
    <tableColumn id="9940" xr3:uid="{EA5637FB-1791-4093-B88C-2412402C0BEF}" name="Column9934"/>
    <tableColumn id="9941" xr3:uid="{1051BE09-D494-40BA-8849-9CB7C35B226E}" name="Column9935"/>
    <tableColumn id="9942" xr3:uid="{B04176A3-6937-496F-83DB-6730E0BE23A4}" name="Column9936"/>
    <tableColumn id="9943" xr3:uid="{24D0D68E-43F4-470B-92D4-5FF378ED321A}" name="Column9937"/>
    <tableColumn id="9944" xr3:uid="{8C74A902-BED9-42F1-859E-6AC9CD711921}" name="Column9938"/>
    <tableColumn id="9945" xr3:uid="{0407E6EF-D120-4D06-9035-C1D31134D3DC}" name="Column9939"/>
    <tableColumn id="9946" xr3:uid="{23130CC5-3F2C-4ADE-A8F0-E4D668C02DD4}" name="Column9940"/>
    <tableColumn id="9947" xr3:uid="{204AD4A7-25B5-4336-9D61-B929C62D7B0F}" name="Column9941"/>
    <tableColumn id="9948" xr3:uid="{BF9CE471-465E-45B8-972F-F228DD00D031}" name="Column9942"/>
    <tableColumn id="9949" xr3:uid="{53DEDDD2-B1F6-4535-9FC8-EAED16E5E2DC}" name="Column9943"/>
    <tableColumn id="9950" xr3:uid="{97D7B9BB-99A2-48CC-B3C1-C5793B403A23}" name="Column9944"/>
    <tableColumn id="9951" xr3:uid="{817BA61A-BD13-4A8F-AC14-ED61E873731D}" name="Column9945"/>
    <tableColumn id="9952" xr3:uid="{0EBF0DD4-5AEC-44D3-87BF-D98231E35F8C}" name="Column9946"/>
    <tableColumn id="9953" xr3:uid="{339C46F7-3B09-41E3-8544-F4EFF2ED2E55}" name="Column9947"/>
    <tableColumn id="9954" xr3:uid="{AC953C62-CDC2-41FC-B51B-AECABD093FB7}" name="Column9948"/>
    <tableColumn id="9955" xr3:uid="{E346F2AB-6CAA-4363-9E76-8A5EB2065B7E}" name="Column9949"/>
    <tableColumn id="9956" xr3:uid="{22EA3135-ACC7-44A3-8243-B911B6832018}" name="Column9950"/>
    <tableColumn id="9957" xr3:uid="{052C1340-A050-4271-92A7-0256758FF722}" name="Column9951"/>
    <tableColumn id="9958" xr3:uid="{3C9C9670-A64B-4F2F-89F0-1F3A4CF9141D}" name="Column9952"/>
    <tableColumn id="9959" xr3:uid="{5DFCC234-1D78-42D4-9B5F-7CD5392B092E}" name="Column9953"/>
    <tableColumn id="9960" xr3:uid="{D3491860-526F-4F61-8AF0-3538E827D802}" name="Column9954"/>
    <tableColumn id="9961" xr3:uid="{6F9F3C7E-8AA6-4304-9401-2EB78CFE7549}" name="Column9955"/>
    <tableColumn id="9962" xr3:uid="{7645DFDC-468E-4AEB-A9DD-25F20DFCDE91}" name="Column9956"/>
    <tableColumn id="9963" xr3:uid="{C94F8F59-DB3D-4EC3-B8C4-BDC5EF1A48D6}" name="Column9957"/>
    <tableColumn id="9964" xr3:uid="{B9DBA33F-C34B-4290-A6B8-475BBB06C55A}" name="Column9958"/>
    <tableColumn id="9965" xr3:uid="{2D0C637C-1612-4B0D-87D1-20C854625A44}" name="Column9959"/>
    <tableColumn id="9966" xr3:uid="{443EF041-E7C5-4B06-9D97-4F7F4D75EFC5}" name="Column9960"/>
    <tableColumn id="9967" xr3:uid="{16B4741E-7AC2-4822-A421-85D74FF6909F}" name="Column9961"/>
    <tableColumn id="9968" xr3:uid="{2DD05220-EB02-444A-9BAC-E449C52C8992}" name="Column9962"/>
    <tableColumn id="9969" xr3:uid="{3D9A9AD1-ED23-4C15-9453-00411236C3D0}" name="Column9963"/>
    <tableColumn id="9970" xr3:uid="{7AAADBDA-8EB8-4513-A951-C0A48D596F20}" name="Column9964"/>
    <tableColumn id="9971" xr3:uid="{243BCAB2-B93C-4740-8351-8E2BA3FAB2F1}" name="Column9965"/>
    <tableColumn id="9972" xr3:uid="{AA22B611-68FC-43D4-9613-905DBA653EBF}" name="Column9966"/>
    <tableColumn id="9973" xr3:uid="{419C3AD0-FE6B-4EE5-B721-E3AFD91DB25C}" name="Column9967"/>
    <tableColumn id="9974" xr3:uid="{57E793CB-42D7-46BE-BDEC-5934E8F19107}" name="Column9968"/>
    <tableColumn id="9975" xr3:uid="{945DC338-2C8D-443D-B8EB-0F414FB8BFDE}" name="Column9969"/>
    <tableColumn id="9976" xr3:uid="{E18F4D71-B9FA-44E0-BB77-574D6BC4E68F}" name="Column9970"/>
    <tableColumn id="9977" xr3:uid="{71E4CC68-A385-4F3D-A232-2758A47C59FC}" name="Column9971"/>
    <tableColumn id="9978" xr3:uid="{586BAF18-B53A-4BD0-9187-6D16529282C5}" name="Column9972"/>
    <tableColumn id="9979" xr3:uid="{3EB26994-CF77-4734-9FF0-AB9413EB4AA0}" name="Column9973"/>
    <tableColumn id="9980" xr3:uid="{38D06804-9288-4265-A5A8-C94934080613}" name="Column9974"/>
    <tableColumn id="9981" xr3:uid="{554F0C1F-58E0-4BF3-94FC-79DCEFD8A7C1}" name="Column9975"/>
    <tableColumn id="9982" xr3:uid="{FDA92C18-6102-4ED7-AD23-54358547DDFB}" name="Column9976"/>
    <tableColumn id="9983" xr3:uid="{C9B6132A-B329-4574-AACF-4BDB1A4EE18D}" name="Column9977"/>
    <tableColumn id="9984" xr3:uid="{1F642C7B-CCC2-4E61-8B44-EF6E271ED079}" name="Column9978"/>
    <tableColumn id="9985" xr3:uid="{E84C280A-CB0A-48B8-91A5-CC318B264D8A}" name="Column9979"/>
    <tableColumn id="9986" xr3:uid="{05A62E19-5CE1-40EB-A95A-DAC92B07AD55}" name="Column9980"/>
    <tableColumn id="9987" xr3:uid="{9ABC7936-AB46-4F15-9079-1DDD2BE00CE8}" name="Column9981"/>
    <tableColumn id="9988" xr3:uid="{13BBE927-DDFF-4BB7-8501-7F9AE67898ED}" name="Column9982"/>
    <tableColumn id="9989" xr3:uid="{90CB199B-E5EF-40C4-BF5D-257068C24DEA}" name="Column9983"/>
    <tableColumn id="9990" xr3:uid="{43BE520A-724B-43B0-A6DD-2AAA4977BF6A}" name="Column9984"/>
    <tableColumn id="9991" xr3:uid="{33943C8F-3958-4794-8EFD-B36F109717AB}" name="Column9985"/>
    <tableColumn id="9992" xr3:uid="{6B16FF62-DA87-4996-A88F-0855FD17C5EC}" name="Column9986"/>
    <tableColumn id="9993" xr3:uid="{C05B5FBB-16D9-4EDD-B1B4-33C4437D962A}" name="Column9987"/>
    <tableColumn id="9994" xr3:uid="{FCFF9D03-25FE-48E0-BDDB-D37BD5243325}" name="Column9988"/>
    <tableColumn id="9995" xr3:uid="{892C9D13-8006-4504-A719-0E13217F3EE2}" name="Column9989"/>
    <tableColumn id="9996" xr3:uid="{3245EF6D-4B57-49DD-B5C6-173E4124A023}" name="Column9990"/>
    <tableColumn id="9997" xr3:uid="{7F13DAD4-9EA9-4692-98A5-226EA92681DB}" name="Column9991"/>
    <tableColumn id="9998" xr3:uid="{21F88BF1-8302-4726-A102-D72F8AEC3283}" name="Column9992"/>
    <tableColumn id="9999" xr3:uid="{72A8EBC7-BB37-48DC-9C78-024FFCF280C5}" name="Column9993"/>
    <tableColumn id="10000" xr3:uid="{9D5CFBAC-7850-429A-BA1F-DAFC7C30BCBD}" name="Column9994"/>
    <tableColumn id="10001" xr3:uid="{14E98ABF-BD2F-4128-8465-C1CB493E8A07}" name="Column9995"/>
    <tableColumn id="10002" xr3:uid="{3E9CB798-B9B0-457D-B4EA-9264B710B544}" name="Column9996"/>
    <tableColumn id="10003" xr3:uid="{3D260D8E-22EA-4362-8A07-E29CE54482AB}" name="Column9997"/>
    <tableColumn id="10004" xr3:uid="{A44A0019-A0BF-43CD-BDC9-1AFBB3DB3417}" name="Column9998"/>
    <tableColumn id="10005" xr3:uid="{24190FEE-F07B-4D7D-801B-266B5EEC6E03}" name="Column9999"/>
    <tableColumn id="10006" xr3:uid="{99284063-1321-4803-AC45-E2924261E999}" name="Column10000"/>
    <tableColumn id="10007" xr3:uid="{1A0A1E9F-FC74-43F7-AC9F-9534888FFEB6}" name="Column10001"/>
    <tableColumn id="10008" xr3:uid="{B6FE99B4-C19E-4123-9DBD-A250E1C74FC1}" name="Column10002"/>
    <tableColumn id="10009" xr3:uid="{75B464B6-50F7-4095-B66B-C43F4DED289C}" name="Column10003"/>
    <tableColumn id="10010" xr3:uid="{A52E9058-2BA7-4DC9-802F-4685D94A4A75}" name="Column10004"/>
    <tableColumn id="10011" xr3:uid="{0904CDD7-0B8D-40C0-BF0E-D945C78A5C23}" name="Column10005"/>
    <tableColumn id="10012" xr3:uid="{0CF071F4-3CD4-43A7-A9B9-53ACB9A6573E}" name="Column10006"/>
    <tableColumn id="10013" xr3:uid="{DBA6DFE7-03FB-4A5F-979C-65BB6952A28C}" name="Column10007"/>
    <tableColumn id="10014" xr3:uid="{7FCE179B-44D7-4551-BA5C-590C84F77544}" name="Column10008"/>
    <tableColumn id="10015" xr3:uid="{998AFED3-437A-44FD-B03F-DD21CD8576C3}" name="Column10009"/>
    <tableColumn id="10016" xr3:uid="{C19ED91C-E49B-4D60-A206-CA0D6389B35B}" name="Column10010"/>
    <tableColumn id="10017" xr3:uid="{4EB557BD-04CC-4155-9591-886A259C07EC}" name="Column10011"/>
    <tableColumn id="10018" xr3:uid="{6B3D5CB3-B1BA-4CDF-9354-F9960353E0F6}" name="Column10012"/>
    <tableColumn id="10019" xr3:uid="{B42990E6-3008-4855-8919-C200DDF82D69}" name="Column10013"/>
    <tableColumn id="10020" xr3:uid="{DDA4F6F0-A4AF-408E-9FEC-FDA68687DD7F}" name="Column10014"/>
    <tableColumn id="10021" xr3:uid="{8199213F-1507-49F9-961E-C3A6D2945B9D}" name="Column10015"/>
    <tableColumn id="10022" xr3:uid="{11B2DF6F-FA19-4572-8984-75231742C151}" name="Column10016"/>
    <tableColumn id="10023" xr3:uid="{7C6698BA-D6AC-48B7-AB4A-F262FB0B78D5}" name="Column10017"/>
    <tableColumn id="10024" xr3:uid="{D9DBE599-63E8-4868-89CC-E4B216A7B4AF}" name="Column10018"/>
    <tableColumn id="10025" xr3:uid="{A9F472FE-4E25-4B28-93A1-2DF4C1962FB6}" name="Column10019"/>
    <tableColumn id="10026" xr3:uid="{E16D4AC8-7658-4E22-AA00-DE9AD76A67B5}" name="Column10020"/>
    <tableColumn id="10027" xr3:uid="{894916B6-2D04-4AD2-AA98-F67EB4307840}" name="Column10021"/>
    <tableColumn id="10028" xr3:uid="{E09157E6-64FC-4379-B078-FF3D43257F7E}" name="Column10022"/>
    <tableColumn id="10029" xr3:uid="{51A8CF1F-BF35-4142-A752-289F4640B168}" name="Column10023"/>
    <tableColumn id="10030" xr3:uid="{D1A9F474-C397-49C4-99EC-41A6537030D8}" name="Column10024"/>
    <tableColumn id="10031" xr3:uid="{4DD6E7AB-4224-417C-A849-BBCF52DAE455}" name="Column10025"/>
    <tableColumn id="10032" xr3:uid="{2956972E-2CCA-4588-9E5A-7B616B013995}" name="Column10026"/>
    <tableColumn id="10033" xr3:uid="{46FDF4CC-2BF9-4A7F-8064-011507DE37A6}" name="Column10027"/>
    <tableColumn id="10034" xr3:uid="{B81A965F-7350-4C4B-BA5A-AC2C9D952A07}" name="Column10028"/>
    <tableColumn id="10035" xr3:uid="{B8946DF7-17B4-4CFC-B7E5-0DF97345DB22}" name="Column10029"/>
    <tableColumn id="10036" xr3:uid="{3AB4C480-EE4C-4CC8-B5E8-67050E0831CB}" name="Column10030"/>
    <tableColumn id="10037" xr3:uid="{E182CDF8-991F-4F9F-9700-EF56AA5108A2}" name="Column10031"/>
    <tableColumn id="10038" xr3:uid="{29D0969E-7C36-4224-A62B-FBA306F71A7A}" name="Column10032"/>
    <tableColumn id="10039" xr3:uid="{A2AB5336-4225-4908-BEAF-8F8E78058E2C}" name="Column10033"/>
    <tableColumn id="10040" xr3:uid="{BF8AE681-AE4F-4233-8142-F8125C8B963F}" name="Column10034"/>
    <tableColumn id="10041" xr3:uid="{754FE1A5-AB9D-436A-8767-7EB94BF9FC46}" name="Column10035"/>
    <tableColumn id="10042" xr3:uid="{BC0F03D4-41F6-451B-86DC-C23950F956FF}" name="Column10036"/>
    <tableColumn id="10043" xr3:uid="{74219E6B-696A-4FD9-B131-7AF6DEEF1016}" name="Column10037"/>
    <tableColumn id="10044" xr3:uid="{4CE8D70D-E9B1-4D06-AEF3-4698F2321DD4}" name="Column10038"/>
    <tableColumn id="10045" xr3:uid="{B594D9EF-E06B-4862-9D35-7C23DA96C250}" name="Column10039"/>
    <tableColumn id="10046" xr3:uid="{92E1AB9F-FCA7-44B9-85D2-A24494431B2E}" name="Column10040"/>
    <tableColumn id="10047" xr3:uid="{AF2100C1-E7C7-451A-A821-997602D7DA85}" name="Column10041"/>
    <tableColumn id="10048" xr3:uid="{15763282-BEB6-46B8-86DE-97CA54894810}" name="Column10042"/>
    <tableColumn id="10049" xr3:uid="{876350AE-A826-45C3-81C9-24888C01A517}" name="Column10043"/>
    <tableColumn id="10050" xr3:uid="{CE443DA0-CD0F-4E14-AA63-E0665CAACA54}" name="Column10044"/>
    <tableColumn id="10051" xr3:uid="{3D26BFFB-4C95-42DB-9253-29A228374792}" name="Column10045"/>
    <tableColumn id="10052" xr3:uid="{B844C227-11F0-44C3-9255-E536371232B4}" name="Column10046"/>
    <tableColumn id="10053" xr3:uid="{011BD33F-861D-429F-A7BE-98A484B99E24}" name="Column10047"/>
    <tableColumn id="10054" xr3:uid="{C7EDB6EC-9890-4A8E-94A5-6B95A8BCE172}" name="Column10048"/>
    <tableColumn id="10055" xr3:uid="{9ECB753E-F695-4129-AED5-AC117C5BE3F6}" name="Column10049"/>
    <tableColumn id="10056" xr3:uid="{FCDAC1EE-9415-45E8-A51D-DB2C735BF6D0}" name="Column10050"/>
    <tableColumn id="10057" xr3:uid="{AB4E5895-A542-49B8-A8E8-1DBCA5363C51}" name="Column10051"/>
    <tableColumn id="10058" xr3:uid="{F42588B5-B1B4-4724-BCBD-B33F5211C03F}" name="Column10052"/>
    <tableColumn id="10059" xr3:uid="{D7B5E35C-863F-483A-83C0-783E717AD64E}" name="Column10053"/>
    <tableColumn id="10060" xr3:uid="{FE376493-3332-4FA1-93A1-F0C177AEC6D7}" name="Column10054"/>
    <tableColumn id="10061" xr3:uid="{780E1FC3-8382-4617-B6B1-FE1D81F2D68F}" name="Column10055"/>
    <tableColumn id="10062" xr3:uid="{7C70E24E-328F-4EC1-886D-3FB092F8B617}" name="Column10056"/>
    <tableColumn id="10063" xr3:uid="{7BEDCF57-FEFC-4440-B3E1-B1F73EAD60B6}" name="Column10057"/>
    <tableColumn id="10064" xr3:uid="{7EC2AA2C-1F57-44F9-8D54-C5501090DC28}" name="Column10058"/>
    <tableColumn id="10065" xr3:uid="{B73DD2D1-5AC2-47C0-9025-4C1191DCCFFF}" name="Column10059"/>
    <tableColumn id="10066" xr3:uid="{C1A34F9A-51C3-44AA-B7B6-1CCCE680D3F4}" name="Column10060"/>
    <tableColumn id="10067" xr3:uid="{98B480DA-9BFA-4A8D-AA9A-5A0454B77613}" name="Column10061"/>
    <tableColumn id="10068" xr3:uid="{B7ECF952-027A-4EE0-A18E-2E77DE9614FC}" name="Column10062"/>
    <tableColumn id="10069" xr3:uid="{4CA831C4-3BF4-47B8-AB71-D10ADB5BE2F4}" name="Column10063"/>
    <tableColumn id="10070" xr3:uid="{8DDE5443-24E4-41C4-913D-7463027D7C5D}" name="Column10064"/>
    <tableColumn id="10071" xr3:uid="{D2C65990-A5B0-4815-AFBB-A531B78800A2}" name="Column10065"/>
    <tableColumn id="10072" xr3:uid="{93C79BA9-F065-4D3F-8A35-61B5DAC74A0A}" name="Column10066"/>
    <tableColumn id="10073" xr3:uid="{9520E3BC-B145-4290-8AA9-67AF4EFBC1DA}" name="Column10067"/>
    <tableColumn id="10074" xr3:uid="{D359EF65-58FF-4481-9C89-82EF2A9D16B5}" name="Column10068"/>
    <tableColumn id="10075" xr3:uid="{424E0A66-545E-43D4-941D-9B765E86C055}" name="Column10069"/>
    <tableColumn id="10076" xr3:uid="{5108AC90-9AF3-4C0C-AC03-E8EBD974458F}" name="Column10070"/>
    <tableColumn id="10077" xr3:uid="{F211E013-87DC-4942-AA9F-4A01517F5A9D}" name="Column10071"/>
    <tableColumn id="10078" xr3:uid="{97CAAF77-C386-4D1B-8C8D-74E41CD73BB6}" name="Column10072"/>
    <tableColumn id="10079" xr3:uid="{65542404-D6F8-47CD-BEC6-17A8A721B190}" name="Column10073"/>
    <tableColumn id="10080" xr3:uid="{84D73B64-C492-46F3-A478-0AB4C64AEB9E}" name="Column10074"/>
    <tableColumn id="10081" xr3:uid="{8923C80F-CBD5-456B-95CD-8DBF88A6390F}" name="Column10075"/>
    <tableColumn id="10082" xr3:uid="{F0C397DD-ACD2-416C-83B0-97CF68FCA815}" name="Column10076"/>
    <tableColumn id="10083" xr3:uid="{DC92870F-F9B5-4D18-B65D-A353C1B87727}" name="Column10077"/>
    <tableColumn id="10084" xr3:uid="{F2725332-D06D-4AB6-A241-18B12DD6C061}" name="Column10078"/>
    <tableColumn id="10085" xr3:uid="{C3A00FB7-9841-4F0D-A251-A5D6D8FD9E6E}" name="Column10079"/>
    <tableColumn id="10086" xr3:uid="{14E12D5E-E38D-4162-A5D0-6014F380197F}" name="Column10080"/>
    <tableColumn id="10087" xr3:uid="{19427709-6C73-4E31-B4C9-3DDC99189001}" name="Column10081"/>
    <tableColumn id="10088" xr3:uid="{78B5C2B5-12AD-4ACD-9EFD-396904F34E4C}" name="Column10082"/>
    <tableColumn id="10089" xr3:uid="{E872ACD1-E096-4694-9CAA-D9203B8CDD0B}" name="Column10083"/>
    <tableColumn id="10090" xr3:uid="{2B18E773-3514-4701-B04E-FCB6AD18CC10}" name="Column10084"/>
    <tableColumn id="10091" xr3:uid="{E154B9C4-1A2E-4569-9B7E-B0C625AC12FF}" name="Column10085"/>
    <tableColumn id="10092" xr3:uid="{831519E4-7809-483B-B329-0611534519EE}" name="Column10086"/>
    <tableColumn id="10093" xr3:uid="{60FF5168-59AE-4208-A306-A0B6EE5C04F0}" name="Column10087"/>
    <tableColumn id="10094" xr3:uid="{31BD82D2-5619-48BE-928E-69BB609D2F9F}" name="Column10088"/>
    <tableColumn id="10095" xr3:uid="{61FE2DAE-1044-4274-9098-584DA0C9EE6B}" name="Column10089"/>
    <tableColumn id="10096" xr3:uid="{8A6B3E34-5B04-4F2A-AC68-9AA3006D725E}" name="Column10090"/>
    <tableColumn id="10097" xr3:uid="{FD6F61AF-EA3F-42CD-8325-2D7D9429029D}" name="Column10091"/>
    <tableColumn id="10098" xr3:uid="{BA49E2A5-5C79-4BEF-99C8-D7B3639C90C2}" name="Column10092"/>
    <tableColumn id="10099" xr3:uid="{747E7B88-73C3-4E6E-A183-50CE920C0293}" name="Column10093"/>
    <tableColumn id="10100" xr3:uid="{6A69CBCD-C842-43AD-BFB5-BAB2DE54772A}" name="Column10094"/>
    <tableColumn id="10101" xr3:uid="{B1E81623-F60B-4E77-A037-489BF9794ED6}" name="Column10095"/>
    <tableColumn id="10102" xr3:uid="{B8061085-4193-46DF-A550-640D4A67E0EA}" name="Column10096"/>
    <tableColumn id="10103" xr3:uid="{FE872832-122B-44C2-BDE2-AA2E69DC1AEB}" name="Column10097"/>
    <tableColumn id="10104" xr3:uid="{7DE98CF9-A6DE-4982-8FD6-31D53CB3532E}" name="Column10098"/>
    <tableColumn id="10105" xr3:uid="{53BCCA78-3017-4D60-8EE2-83F42AE6D155}" name="Column10099"/>
    <tableColumn id="10106" xr3:uid="{FABC4D85-E0D2-4781-BB9D-D99B7D5A5FFE}" name="Column10100"/>
    <tableColumn id="10107" xr3:uid="{7ED629F0-5D5C-4422-84EA-173AF403920A}" name="Column10101"/>
    <tableColumn id="10108" xr3:uid="{2032C022-12CF-460F-9871-5E1632E46C52}" name="Column10102"/>
    <tableColumn id="10109" xr3:uid="{9425964F-B70E-4B07-9F5C-2F824FB77C69}" name="Column10103"/>
    <tableColumn id="10110" xr3:uid="{453FA1AB-E62C-4257-9112-3C6E30D7CBA7}" name="Column10104"/>
    <tableColumn id="10111" xr3:uid="{A5CD45C4-0DD1-42A1-B654-FFD9AAA9F92E}" name="Column10105"/>
    <tableColumn id="10112" xr3:uid="{4C29ED03-F9C7-40AE-9CAE-7E2004927ED8}" name="Column10106"/>
    <tableColumn id="10113" xr3:uid="{96E7CAA7-A982-4ADB-9349-090F93BBFEF1}" name="Column10107"/>
    <tableColumn id="10114" xr3:uid="{4B6452C5-85B6-428D-A246-23155E8D20AC}" name="Column10108"/>
    <tableColumn id="10115" xr3:uid="{73F90DAF-697E-4AAF-9659-79066ABD6B0A}" name="Column10109"/>
    <tableColumn id="10116" xr3:uid="{74A30733-5AFD-4E09-9974-E446301DD216}" name="Column10110"/>
    <tableColumn id="10117" xr3:uid="{C97ED9ED-FD71-4A09-BDD2-054E045D7BD1}" name="Column10111"/>
    <tableColumn id="10118" xr3:uid="{97928435-7D7A-427D-963E-DC9A98CAE4BE}" name="Column10112"/>
    <tableColumn id="10119" xr3:uid="{F8D2327F-69C3-4934-B476-9E25AE4C99D2}" name="Column10113"/>
    <tableColumn id="10120" xr3:uid="{99BD2A06-AEBC-4D85-BBE0-28212100988E}" name="Column10114"/>
    <tableColumn id="10121" xr3:uid="{7F93E2F5-2BBC-469E-92FD-1BDE10836A5F}" name="Column10115"/>
    <tableColumn id="10122" xr3:uid="{65166B6A-6934-4D75-ADD1-927086078EB2}" name="Column10116"/>
    <tableColumn id="10123" xr3:uid="{2556D01E-09BB-46A5-A6C2-841EC64E963D}" name="Column10117"/>
    <tableColumn id="10124" xr3:uid="{CC038C65-D7E8-4190-B324-CAA078CD662D}" name="Column10118"/>
    <tableColumn id="10125" xr3:uid="{D604F017-1D17-4B5A-B9FE-BD1F4D5488ED}" name="Column10119"/>
    <tableColumn id="10126" xr3:uid="{C18452CA-4BFF-42A4-BE32-A17863928DF4}" name="Column10120"/>
    <tableColumn id="10127" xr3:uid="{5AF89056-09BA-4528-B0A1-6A4F640DDB87}" name="Column10121"/>
    <tableColumn id="10128" xr3:uid="{F5188604-3A23-4FF6-953C-EE7950EADBE1}" name="Column10122"/>
    <tableColumn id="10129" xr3:uid="{208E479D-D169-4BA2-8407-92C9B6C9F6B7}" name="Column10123"/>
    <tableColumn id="10130" xr3:uid="{76AD8042-EA0B-4C77-9C4C-7BFF09FC0AFC}" name="Column10124"/>
    <tableColumn id="10131" xr3:uid="{9EDAD6ED-0221-4231-8D49-F1EB86272582}" name="Column10125"/>
    <tableColumn id="10132" xr3:uid="{CD0B9749-B1E6-4C18-85F4-9B8E40B9AE9A}" name="Column10126"/>
    <tableColumn id="10133" xr3:uid="{5869A08C-AA75-40F5-B49B-B1DAD308A3EF}" name="Column10127"/>
    <tableColumn id="10134" xr3:uid="{F90A2C7B-2406-4E45-8712-FD21FE1E45D8}" name="Column10128"/>
    <tableColumn id="10135" xr3:uid="{99066BFE-78CA-4D95-AFBA-A1CE1155737A}" name="Column10129"/>
    <tableColumn id="10136" xr3:uid="{E00CCF72-B727-44D0-9F6E-800C35452ABB}" name="Column10130"/>
    <tableColumn id="10137" xr3:uid="{E1CFF2C1-DA29-4BD9-BE6F-E7D7426A64BC}" name="Column10131"/>
    <tableColumn id="10138" xr3:uid="{C7847AB7-9714-44BC-83FE-7E2C00B6D02B}" name="Column10132"/>
    <tableColumn id="10139" xr3:uid="{75E1F2B8-16C3-4AAA-9BA8-FBEB025DEA2A}" name="Column10133"/>
    <tableColumn id="10140" xr3:uid="{AAA43C7A-560B-4BA3-A2E2-5D950A1DC028}" name="Column10134"/>
    <tableColumn id="10141" xr3:uid="{F6336EE7-EBD7-4D04-9CD0-A5635BF7F0AE}" name="Column10135"/>
    <tableColumn id="10142" xr3:uid="{B5C58737-F9B7-495D-93E4-17AA708F1DA9}" name="Column10136"/>
    <tableColumn id="10143" xr3:uid="{FFA9D85D-FA25-45FB-807B-DA1B97873D01}" name="Column10137"/>
    <tableColumn id="10144" xr3:uid="{7DBFC226-61FB-4922-9E5A-3F7563543E17}" name="Column10138"/>
    <tableColumn id="10145" xr3:uid="{78154550-2568-4414-B0BD-D2C98A10D7C9}" name="Column10139"/>
    <tableColumn id="10146" xr3:uid="{12CD27CF-055A-465C-8669-5C565C9DFC83}" name="Column10140"/>
    <tableColumn id="10147" xr3:uid="{8CA45854-6C36-40F1-8797-5DC86D786139}" name="Column10141"/>
    <tableColumn id="10148" xr3:uid="{6371CC8B-2F59-40AB-ADD1-0D2280B4FB40}" name="Column10142"/>
    <tableColumn id="10149" xr3:uid="{766BB62E-6E1F-4746-8CEF-A55272F82667}" name="Column10143"/>
    <tableColumn id="10150" xr3:uid="{4B0DBB74-2529-43D6-8C0A-0F20DC10F608}" name="Column10144"/>
    <tableColumn id="10151" xr3:uid="{5EA30CF4-E869-40A2-81CB-897E20025088}" name="Column10145"/>
    <tableColumn id="10152" xr3:uid="{A168B151-7C5F-466F-B692-5E9F453F0014}" name="Column10146"/>
    <tableColumn id="10153" xr3:uid="{B7714C88-3661-4ADD-943A-2A77CAD86170}" name="Column10147"/>
    <tableColumn id="10154" xr3:uid="{DDE269ED-3ABA-4CA8-80BB-033582E6CD2A}" name="Column10148"/>
    <tableColumn id="10155" xr3:uid="{FEBA09DA-1638-4E46-A046-7703417631B3}" name="Column10149"/>
    <tableColumn id="10156" xr3:uid="{C604F3CB-737C-4CB8-A27B-431D1B91B84E}" name="Column10150"/>
    <tableColumn id="10157" xr3:uid="{2CCB2455-7A44-43E8-BA18-B5E3215E3BD5}" name="Column10151"/>
    <tableColumn id="10158" xr3:uid="{47A1743A-9738-442A-8691-D3411745D0E5}" name="Column10152"/>
    <tableColumn id="10159" xr3:uid="{A57E5448-21D4-4EA4-8571-5B5103AFBAC2}" name="Column10153"/>
    <tableColumn id="10160" xr3:uid="{32C4F15E-971A-4612-899F-ACA41E349C7F}" name="Column10154"/>
    <tableColumn id="10161" xr3:uid="{A759BA2A-FA45-4D0C-B43C-588FA79915C1}" name="Column10155"/>
    <tableColumn id="10162" xr3:uid="{83B262E1-FBFC-4AB0-89A1-7E90C635E6FD}" name="Column10156"/>
    <tableColumn id="10163" xr3:uid="{7FC0736B-4B19-4413-9F4A-50A6C4E4B39E}" name="Column10157"/>
    <tableColumn id="10164" xr3:uid="{16438D26-89F8-48A0-A8C1-E0B5BF63CF52}" name="Column10158"/>
    <tableColumn id="10165" xr3:uid="{B98E8BB5-FE5A-4682-A685-C493DC517104}" name="Column10159"/>
    <tableColumn id="10166" xr3:uid="{6D0167FD-B944-4B4E-9715-6982332B2D53}" name="Column10160"/>
    <tableColumn id="10167" xr3:uid="{634ACD2F-CF23-4A51-B1BC-2CBDA957EAD6}" name="Column10161"/>
    <tableColumn id="10168" xr3:uid="{C93E74CD-F8D4-489E-9BAD-E620BC54CE34}" name="Column10162"/>
    <tableColumn id="10169" xr3:uid="{37DBF14E-E598-4428-8FA9-F544AAE6FC1D}" name="Column10163"/>
    <tableColumn id="10170" xr3:uid="{AB3AB0E8-23C1-4BF8-BDED-5E4B988892EA}" name="Column10164"/>
    <tableColumn id="10171" xr3:uid="{173DB170-CD3B-45AE-9C4E-AA6312BC17F3}" name="Column10165"/>
    <tableColumn id="10172" xr3:uid="{06691A84-A25E-43E8-8C8F-5DEF512CD725}" name="Column10166"/>
    <tableColumn id="10173" xr3:uid="{FABC6561-5CB1-47B8-A812-9B45D96BDFAE}" name="Column10167"/>
    <tableColumn id="10174" xr3:uid="{2FB53B94-6D8E-4AC8-8F79-6007EBD376C2}" name="Column10168"/>
    <tableColumn id="10175" xr3:uid="{7E2B221B-DF51-41B0-B1A3-62B472796577}" name="Column10169"/>
    <tableColumn id="10176" xr3:uid="{6921A62A-BC44-438A-93F7-D91850CD9B5C}" name="Column10170"/>
    <tableColumn id="10177" xr3:uid="{93519AD7-2D39-4813-9D8A-152C544DFD7D}" name="Column10171"/>
    <tableColumn id="10178" xr3:uid="{FC1B4BC6-F4F9-4647-8FCC-6DBDA4177622}" name="Column10172"/>
    <tableColumn id="10179" xr3:uid="{938F1567-0C93-4C44-951D-A4C231A2FA38}" name="Column10173"/>
    <tableColumn id="10180" xr3:uid="{BC2D2B05-F898-412E-96A0-45520631DFBA}" name="Column10174"/>
    <tableColumn id="10181" xr3:uid="{8F7EAF6B-D8B9-41C7-963B-2F02FC58FE3B}" name="Column10175"/>
    <tableColumn id="10182" xr3:uid="{AE7F2ADC-9354-4773-A944-80D53209952F}" name="Column10176"/>
    <tableColumn id="10183" xr3:uid="{D56078BC-25DD-4163-B6C6-47BFEF3CC405}" name="Column10177"/>
    <tableColumn id="10184" xr3:uid="{84AD3C42-1C35-4571-9D73-584F3E27CB25}" name="Column10178"/>
    <tableColumn id="10185" xr3:uid="{DA0ABEE1-0943-4FF4-BF36-96FC9F4A0C7B}" name="Column10179"/>
    <tableColumn id="10186" xr3:uid="{E093C220-E55B-4A7E-912B-C65C6124E78D}" name="Column10180"/>
    <tableColumn id="10187" xr3:uid="{83540B50-0422-4A2F-A586-7B61A38FAC36}" name="Column10181"/>
    <tableColumn id="10188" xr3:uid="{8C8A13A7-3D3A-4225-8FE7-98C1FA330163}" name="Column10182"/>
    <tableColumn id="10189" xr3:uid="{7209600A-F061-4A8C-ADA2-BF680F75EF49}" name="Column10183"/>
    <tableColumn id="10190" xr3:uid="{5340FCAB-C1FA-49C1-9C22-9A1C27103DA7}" name="Column10184"/>
    <tableColumn id="10191" xr3:uid="{9C49E9B0-35E0-4C2E-834C-2C34C92FB3ED}" name="Column10185"/>
    <tableColumn id="10192" xr3:uid="{6C35BCC6-BD7F-4809-AF94-67E441DA4B4F}" name="Column10186"/>
    <tableColumn id="10193" xr3:uid="{DF1EE69E-C572-469E-BDA6-BECDA37015CA}" name="Column10187"/>
    <tableColumn id="10194" xr3:uid="{3B625410-32A0-4C10-9156-E03A89D60567}" name="Column10188"/>
    <tableColumn id="10195" xr3:uid="{5692DDFA-F7B9-4265-A9F8-C64D7C963EF2}" name="Column10189"/>
    <tableColumn id="10196" xr3:uid="{9175DAD9-67DE-421B-B40F-49808DA372D6}" name="Column10190"/>
    <tableColumn id="10197" xr3:uid="{F7D388E0-47CD-41E0-9D7D-8D1060E95BEC}" name="Column10191"/>
    <tableColumn id="10198" xr3:uid="{086E009D-30EB-46BD-92EA-501BA907DC4C}" name="Column10192"/>
    <tableColumn id="10199" xr3:uid="{89B58E9B-B57D-4EEB-AF05-1242A24F2BF6}" name="Column10193"/>
    <tableColumn id="10200" xr3:uid="{AFEEABA0-5296-49DC-8669-AFDCD629B978}" name="Column10194"/>
    <tableColumn id="10201" xr3:uid="{DC13323C-40E8-4EA5-8F6C-8896F0BBF5B7}" name="Column10195"/>
    <tableColumn id="10202" xr3:uid="{E3320F86-3A8C-4F91-84E0-B20627ABD772}" name="Column10196"/>
    <tableColumn id="10203" xr3:uid="{7C99E530-2A3F-4844-AF94-0583887EB589}" name="Column10197"/>
    <tableColumn id="10204" xr3:uid="{6985AC55-4158-4E23-B16D-1A780DDD5611}" name="Column10198"/>
    <tableColumn id="10205" xr3:uid="{756DE7D7-6601-41CC-83C7-0CE4E4D5E36F}" name="Column10199"/>
    <tableColumn id="10206" xr3:uid="{C8FC6791-AE9B-422F-AD8C-F1E612A4D05E}" name="Column10200"/>
    <tableColumn id="10207" xr3:uid="{5F357E5D-5016-4C43-B82F-A3B97088E803}" name="Column10201"/>
    <tableColumn id="10208" xr3:uid="{9AA3EF1C-BAB6-4484-B8A5-FC272917BE24}" name="Column10202"/>
    <tableColumn id="10209" xr3:uid="{6D665C82-81AF-44F2-B37E-37F6F4031B59}" name="Column10203"/>
    <tableColumn id="10210" xr3:uid="{D00FF8CB-22AD-4141-9B92-EBCDA3D72B80}" name="Column10204"/>
    <tableColumn id="10211" xr3:uid="{0C7A107B-60FF-487C-B1E9-0780B08A22D2}" name="Column10205"/>
    <tableColumn id="10212" xr3:uid="{E12EEC66-737D-44E9-A3C5-C063FF4E95BA}" name="Column10206"/>
    <tableColumn id="10213" xr3:uid="{FE0453EA-23CB-49D3-BA7F-170D7E868050}" name="Column10207"/>
    <tableColumn id="10214" xr3:uid="{BCBE64CF-7959-4CAF-B7C0-3BD433A33BBE}" name="Column10208"/>
    <tableColumn id="10215" xr3:uid="{32743AEB-D6DC-45FB-B1DD-5F09102BE66F}" name="Column10209"/>
    <tableColumn id="10216" xr3:uid="{6D703B3C-583E-443E-84D7-5C39CC53DF27}" name="Column10210"/>
    <tableColumn id="10217" xr3:uid="{975B971C-6B6F-4E29-A16E-D3BB0E068FCA}" name="Column10211"/>
    <tableColumn id="10218" xr3:uid="{CC066BC1-3D44-4CE5-A843-55EF308ECC10}" name="Column10212"/>
    <tableColumn id="10219" xr3:uid="{2BBCBB44-072C-4901-87AB-4243E2666BCA}" name="Column10213"/>
    <tableColumn id="10220" xr3:uid="{EFE3DA63-D319-4F33-9E1A-206257191A43}" name="Column10214"/>
    <tableColumn id="10221" xr3:uid="{B7B53CBA-01C1-44E2-BA43-7CBBA8F65FBD}" name="Column10215"/>
    <tableColumn id="10222" xr3:uid="{65E8CC90-FE20-4D88-9976-75A9B76CBAAF}" name="Column10216"/>
    <tableColumn id="10223" xr3:uid="{C1D13317-26B2-44E6-A0DC-AE6CE0A3DB96}" name="Column10217"/>
    <tableColumn id="10224" xr3:uid="{D5B8B19D-A277-4EC6-AA8E-2039D82F663C}" name="Column10218"/>
    <tableColumn id="10225" xr3:uid="{AF7DC538-A8CA-4584-8486-DE8090B75029}" name="Column10219"/>
    <tableColumn id="10226" xr3:uid="{B4DE5DAE-8535-4F5A-9B1F-F1E19E9BA500}" name="Column10220"/>
    <tableColumn id="10227" xr3:uid="{CDF1EF99-2576-4799-BFBD-A3598068DA7B}" name="Column10221"/>
    <tableColumn id="10228" xr3:uid="{FED9A0FB-83D8-45D8-876B-9B37CECDDA1C}" name="Column10222"/>
    <tableColumn id="10229" xr3:uid="{44D0F489-EEE3-4C4F-9424-B147CD528652}" name="Column10223"/>
    <tableColumn id="10230" xr3:uid="{DECF76DA-2509-475F-B2E6-8B2E23E9635E}" name="Column10224"/>
    <tableColumn id="10231" xr3:uid="{D437417B-17A4-4FD9-8166-677391762C54}" name="Column10225"/>
    <tableColumn id="10232" xr3:uid="{81723955-5511-4A52-96B8-C7B0028BD12C}" name="Column10226"/>
    <tableColumn id="10233" xr3:uid="{0DD0D080-E36D-49B6-8E5A-CC4E5D93DD92}" name="Column10227"/>
    <tableColumn id="10234" xr3:uid="{27B6ED48-964F-447F-9DCA-BF590F5A77AD}" name="Column10228"/>
    <tableColumn id="10235" xr3:uid="{03479E18-1436-4AC2-B6A7-BA050E45C2AB}" name="Column10229"/>
    <tableColumn id="10236" xr3:uid="{921A9C93-BD16-4015-8FF7-ADBB9F35E778}" name="Column10230"/>
    <tableColumn id="10237" xr3:uid="{2DA1F174-482D-4260-9E18-E255AE6A7498}" name="Column10231"/>
    <tableColumn id="10238" xr3:uid="{34DA5743-2CED-4EE0-940B-0C8BE452A58D}" name="Column10232"/>
    <tableColumn id="10239" xr3:uid="{08AD5F29-34C6-452A-B979-BF6F7000F95C}" name="Column10233"/>
    <tableColumn id="10240" xr3:uid="{D34A7B8C-975F-480F-9E06-6C96C0F0B54C}" name="Column10234"/>
    <tableColumn id="10241" xr3:uid="{75A54B74-CCA0-4D6C-B171-BB60D6115725}" name="Column10235"/>
    <tableColumn id="10242" xr3:uid="{6DAB2575-052D-479D-96AA-81C10A34548F}" name="Column10236"/>
    <tableColumn id="10243" xr3:uid="{19A3DDF0-E49E-40CB-9227-7A0580927EC3}" name="Column10237"/>
    <tableColumn id="10244" xr3:uid="{858C6863-8ADB-4C5E-A739-95A8793E87E0}" name="Column10238"/>
    <tableColumn id="10245" xr3:uid="{5812393E-DCA7-4E36-9659-AE3B05AE42BD}" name="Column10239"/>
    <tableColumn id="10246" xr3:uid="{EC8DB28E-12FE-438D-A047-F9A8BE41A20E}" name="Column10240"/>
    <tableColumn id="10247" xr3:uid="{D219CC60-2207-45E6-AAD3-B56C5F33C6DA}" name="Column10241"/>
    <tableColumn id="10248" xr3:uid="{A02547C7-61BC-4B1D-9D07-CC83F2AFF85D}" name="Column10242"/>
    <tableColumn id="10249" xr3:uid="{1A0749E3-CB5C-4C8B-9A90-62D4A1BD3C8C}" name="Column10243"/>
    <tableColumn id="10250" xr3:uid="{FB071A4B-8E1D-4990-A68D-E2C779481513}" name="Column10244"/>
    <tableColumn id="10251" xr3:uid="{CA5D504D-7CFE-452A-890D-AFB5AE72A0E4}" name="Column10245"/>
    <tableColumn id="10252" xr3:uid="{34CACD5F-FB13-40C7-8D53-AB1ED921EC1F}" name="Column10246"/>
    <tableColumn id="10253" xr3:uid="{63A71B3D-5F52-42AB-98A1-6995CD70F9CA}" name="Column10247"/>
    <tableColumn id="10254" xr3:uid="{AECCA351-B8E2-44C7-A4C3-0E310A3AE0AC}" name="Column10248"/>
    <tableColumn id="10255" xr3:uid="{B76DC865-6B34-4DF7-A8A1-6FBF7D28730F}" name="Column10249"/>
    <tableColumn id="10256" xr3:uid="{80652333-AFAC-4769-A414-2DA7CE4ECD41}" name="Column10250"/>
    <tableColumn id="10257" xr3:uid="{C5C0B790-F2BF-42C2-84C0-2F46D0268E11}" name="Column10251"/>
    <tableColumn id="10258" xr3:uid="{BEBCEFEB-0ACE-4BE2-A909-D8474497493E}" name="Column10252"/>
    <tableColumn id="10259" xr3:uid="{893A3666-24E2-41D8-B3D9-22C961E0E878}" name="Column10253"/>
    <tableColumn id="10260" xr3:uid="{CBD86836-58EE-4DBC-AE6F-E6CF80D4D0BC}" name="Column10254"/>
    <tableColumn id="10261" xr3:uid="{B907C5FB-5C17-42DA-A6CD-FCBFA9F1C953}" name="Column10255"/>
    <tableColumn id="10262" xr3:uid="{9A170428-0F43-4E63-803C-575D1C04F6AA}" name="Column10256"/>
    <tableColumn id="10263" xr3:uid="{454BCD70-22FF-45AC-B88F-BB37AED2CC9D}" name="Column10257"/>
    <tableColumn id="10264" xr3:uid="{12C73998-D030-4AB6-986E-9AC7479AB873}" name="Column10258"/>
    <tableColumn id="10265" xr3:uid="{7A504355-3240-4B6E-B5E1-EC16A5688735}" name="Column10259"/>
    <tableColumn id="10266" xr3:uid="{7F0F6DB3-F715-4622-A623-48ACEA2636DD}" name="Column10260"/>
    <tableColumn id="10267" xr3:uid="{98BB5F4A-658D-4095-B2FA-E691B683DE3D}" name="Column10261"/>
    <tableColumn id="10268" xr3:uid="{BE975A2B-6F30-43DC-BF40-7BC3E4EC0199}" name="Column10262"/>
    <tableColumn id="10269" xr3:uid="{0FB84A3A-B2AE-4BED-B9DC-E56B7A695F8D}" name="Column10263"/>
    <tableColumn id="10270" xr3:uid="{B60D2CD8-591E-407E-9DAA-FECADC2C44EF}" name="Column10264"/>
    <tableColumn id="10271" xr3:uid="{9B3AE318-D416-427C-B655-8826CFC4B52E}" name="Column10265"/>
    <tableColumn id="10272" xr3:uid="{C716CC1E-6A99-4D88-8980-69530BBC02AF}" name="Column10266"/>
    <tableColumn id="10273" xr3:uid="{890827D3-A38A-4757-AAAE-0D84F455A0D6}" name="Column10267"/>
    <tableColumn id="10274" xr3:uid="{F1E48DE3-5E98-4128-B6C6-5DD58D8BF880}" name="Column10268"/>
    <tableColumn id="10275" xr3:uid="{255CF67F-4CA6-4D79-BEB3-98F578AFF6F4}" name="Column10269"/>
    <tableColumn id="10276" xr3:uid="{E8D21516-2F53-4F44-8F9C-C9088890933F}" name="Column10270"/>
    <tableColumn id="10277" xr3:uid="{D68A77B1-8EC1-4EE6-8475-CBA663151E14}" name="Column10271"/>
    <tableColumn id="10278" xr3:uid="{46A3C0A5-FD2D-4C76-8B84-21650F06EA3F}" name="Column10272"/>
    <tableColumn id="10279" xr3:uid="{A7B75148-2773-4F42-911A-6BE6B09B64DE}" name="Column10273"/>
    <tableColumn id="10280" xr3:uid="{AFE01600-C579-458C-BEDA-3897C03F990A}" name="Column10274"/>
    <tableColumn id="10281" xr3:uid="{883D81F6-4FFF-43D6-A26C-A208E0E32D78}" name="Column10275"/>
    <tableColumn id="10282" xr3:uid="{575276BC-2457-4D61-82E8-B72B7E5EE67A}" name="Column10276"/>
    <tableColumn id="10283" xr3:uid="{AADCC626-C5CD-4664-B31D-6D481EA56505}" name="Column10277"/>
    <tableColumn id="10284" xr3:uid="{229D195F-5383-4EB7-9F13-D351D0D5274F}" name="Column10278"/>
    <tableColumn id="10285" xr3:uid="{98105B6D-DB46-40C5-84D5-CBE70A97AB15}" name="Column10279"/>
    <tableColumn id="10286" xr3:uid="{E73E76D1-B682-41D4-B34C-EDD1374C6321}" name="Column10280"/>
    <tableColumn id="10287" xr3:uid="{51928360-2805-4384-9636-5D88B77F4F7C}" name="Column10281"/>
    <tableColumn id="10288" xr3:uid="{75C41E5F-6B64-417E-AB5C-86890B096F4D}" name="Column10282"/>
    <tableColumn id="10289" xr3:uid="{6DCA045F-422F-49AC-AA67-5AA734131ACA}" name="Column10283"/>
    <tableColumn id="10290" xr3:uid="{F7C77246-995A-4348-8AF5-E70B5F3B4259}" name="Column10284"/>
    <tableColumn id="10291" xr3:uid="{8E582A4E-FD34-43E4-B01D-8F9FF7E7E85F}" name="Column10285"/>
    <tableColumn id="10292" xr3:uid="{31B70AAD-7CC6-4D98-9B69-0EBCF4DD3050}" name="Column10286"/>
    <tableColumn id="10293" xr3:uid="{20349DFB-B2C2-4922-9E22-E1F2DFDA9FF9}" name="Column10287"/>
    <tableColumn id="10294" xr3:uid="{A86CCA20-50C3-43B0-B9E4-CB0AEA14FB53}" name="Column10288"/>
    <tableColumn id="10295" xr3:uid="{51CC463C-B1D5-4614-862E-60B57EBD677B}" name="Column10289"/>
    <tableColumn id="10296" xr3:uid="{60DC4EFC-6EC9-4378-9C50-4942F7438DB4}" name="Column10290"/>
    <tableColumn id="10297" xr3:uid="{D76BF3CA-0992-4D50-9662-29A2E34D62F4}" name="Column10291"/>
    <tableColumn id="10298" xr3:uid="{89D418EE-8553-40B4-8F7A-32BC8A8863EE}" name="Column10292"/>
    <tableColumn id="10299" xr3:uid="{0BADBFB1-B956-42EC-9D0E-8D0CEB319060}" name="Column10293"/>
    <tableColumn id="10300" xr3:uid="{BD3B1ED3-6935-4285-81FB-DB55A891BA9C}" name="Column10294"/>
    <tableColumn id="10301" xr3:uid="{883CF9D8-103C-4435-AE10-B80F57191E3E}" name="Column10295"/>
    <tableColumn id="10302" xr3:uid="{2811B703-00A3-4226-9C8C-4C4F8D4E1965}" name="Column10296"/>
    <tableColumn id="10303" xr3:uid="{59DBC0AB-03C3-4966-A929-3EEBC948C23D}" name="Column10297"/>
    <tableColumn id="10304" xr3:uid="{C7784969-F2AC-43EA-9349-C2C4C0C3E89C}" name="Column10298"/>
    <tableColumn id="10305" xr3:uid="{FF034812-3E15-4211-9A0E-D493D3ADFB96}" name="Column10299"/>
    <tableColumn id="10306" xr3:uid="{4AC127E9-3EFA-4674-923D-D88BFD2DE1CA}" name="Column10300"/>
    <tableColumn id="10307" xr3:uid="{5CBFCF42-2CF3-4779-A194-67B1326CC71E}" name="Column10301"/>
    <tableColumn id="10308" xr3:uid="{38FA4B6E-683E-40C7-8379-01024E405DF7}" name="Column10302"/>
    <tableColumn id="10309" xr3:uid="{ADD8A509-2A27-4349-ADFD-452AA83E38E6}" name="Column10303"/>
    <tableColumn id="10310" xr3:uid="{6054F0AD-B758-4149-8AEF-1C61D8775BE3}" name="Column10304"/>
    <tableColumn id="10311" xr3:uid="{C36D5350-3F0D-465C-9353-7E2CBEE81B61}" name="Column10305"/>
    <tableColumn id="10312" xr3:uid="{C241B82E-9B93-4EB7-ABB9-1B2055F85CDE}" name="Column10306"/>
    <tableColumn id="10313" xr3:uid="{31299A3C-8564-4A56-8952-EBA8DA1F1C98}" name="Column10307"/>
    <tableColumn id="10314" xr3:uid="{D440F8AD-0A0F-4A12-927F-07ADED4E337E}" name="Column10308"/>
    <tableColumn id="10315" xr3:uid="{68BA2B54-1847-4DCA-9E57-C127291E22BD}" name="Column10309"/>
    <tableColumn id="10316" xr3:uid="{59BD5111-C132-4F7E-B7D1-86094971E465}" name="Column10310"/>
    <tableColumn id="10317" xr3:uid="{0D131FAA-33C7-4226-A615-806CFAA77F18}" name="Column10311"/>
    <tableColumn id="10318" xr3:uid="{3091D53E-A064-4CAF-B87C-926913422AA0}" name="Column10312"/>
    <tableColumn id="10319" xr3:uid="{D47890BD-6F31-44CC-89F9-91109ED7ACC2}" name="Column10313"/>
    <tableColumn id="10320" xr3:uid="{6BB0AAAE-701D-45A9-9CA1-1C39951110BD}" name="Column10314"/>
    <tableColumn id="10321" xr3:uid="{CE6370D8-12EC-468B-A42F-75F580033D99}" name="Column10315"/>
    <tableColumn id="10322" xr3:uid="{5FD06C03-AA50-44DF-AFA9-ADFD0989D7A9}" name="Column10316"/>
    <tableColumn id="10323" xr3:uid="{C25D7173-0FC3-4402-937C-820298FF3308}" name="Column10317"/>
    <tableColumn id="10324" xr3:uid="{6381D929-9EF9-4D3F-9ACE-9F2A9004034C}" name="Column10318"/>
    <tableColumn id="10325" xr3:uid="{B6606D8F-8A92-42BA-BDF0-1B03BDAC96BD}" name="Column10319"/>
    <tableColumn id="10326" xr3:uid="{F5D3A592-17F5-424C-921E-CC6B0E7561DF}" name="Column10320"/>
    <tableColumn id="10327" xr3:uid="{E4CAA7EB-4003-4D9D-BE07-758493E5FB44}" name="Column10321"/>
    <tableColumn id="10328" xr3:uid="{1100468E-C375-4F38-9EE0-9B118CE56D8B}" name="Column10322"/>
    <tableColumn id="10329" xr3:uid="{DD6AA213-E9EB-4F31-B1B6-31672F1A1A5A}" name="Column10323"/>
    <tableColumn id="10330" xr3:uid="{7248A371-44D3-4E93-A2E4-2F75BA4A1ED8}" name="Column10324"/>
    <tableColumn id="10331" xr3:uid="{F9BDA819-1DA4-428D-8D41-EFAE59862E7A}" name="Column10325"/>
    <tableColumn id="10332" xr3:uid="{6C02C9BB-D69A-48B4-AD90-091E959F8ECF}" name="Column10326"/>
    <tableColumn id="10333" xr3:uid="{D49821CE-A5C9-4D63-8A87-971AD01AF10C}" name="Column10327"/>
    <tableColumn id="10334" xr3:uid="{4CEAA03C-C7FB-46DA-83E5-57B794FA6DBB}" name="Column10328"/>
    <tableColumn id="10335" xr3:uid="{541AD28C-19E2-46E7-B050-B1D1673A1F00}" name="Column10329"/>
    <tableColumn id="10336" xr3:uid="{5F67EE2F-45B7-48B8-9D5F-642EAE535169}" name="Column10330"/>
    <tableColumn id="10337" xr3:uid="{2E859385-462F-4C0A-BB35-CA0440715B19}" name="Column10331"/>
    <tableColumn id="10338" xr3:uid="{3E3CC0FB-2709-4C1D-9537-C8B500A99CF0}" name="Column10332"/>
    <tableColumn id="10339" xr3:uid="{83A0F0B6-1937-478E-83BF-F22A7C7C730E}" name="Column10333"/>
    <tableColumn id="10340" xr3:uid="{2663A05A-0ED9-481E-B6DD-7E3692D6BDC5}" name="Column10334"/>
    <tableColumn id="10341" xr3:uid="{BD3BCDDC-AF8C-4788-B732-104FB187E1A7}" name="Column10335"/>
    <tableColumn id="10342" xr3:uid="{63BA4B6D-DDF5-4C0C-BDC5-868988BB307D}" name="Column10336"/>
    <tableColumn id="10343" xr3:uid="{BEE44BF7-42D4-4814-864E-6C16211104B3}" name="Column10337"/>
    <tableColumn id="10344" xr3:uid="{493926B1-80EE-4D8D-A846-EA0FF00322A2}" name="Column10338"/>
    <tableColumn id="10345" xr3:uid="{AA4BB78C-5703-4B31-98FD-6E7291E22AED}" name="Column10339"/>
    <tableColumn id="10346" xr3:uid="{F279C778-2D7F-497E-B647-DAD5AB34DF0B}" name="Column10340"/>
    <tableColumn id="10347" xr3:uid="{BB83EFB3-54CD-48F2-B73B-74414E0399F3}" name="Column10341"/>
    <tableColumn id="10348" xr3:uid="{5FA98C06-3572-44FE-B2B9-2E1721AA3E05}" name="Column10342"/>
    <tableColumn id="10349" xr3:uid="{263285BF-9F39-439F-B31C-156A46F6883A}" name="Column10343"/>
    <tableColumn id="10350" xr3:uid="{AFB428FD-AF95-4B08-86AE-B229A2FB868E}" name="Column10344"/>
    <tableColumn id="10351" xr3:uid="{A50A4140-95FB-4A33-B723-6ED479E60E82}" name="Column10345"/>
    <tableColumn id="10352" xr3:uid="{726F7548-67C7-4F82-AEDC-3FD5BF52472E}" name="Column10346"/>
    <tableColumn id="10353" xr3:uid="{AB52F95B-3F75-460E-B266-D9830CEB8C34}" name="Column10347"/>
    <tableColumn id="10354" xr3:uid="{AC4E0A33-EB7E-4D39-9C5E-AB9CBE86B616}" name="Column10348"/>
    <tableColumn id="10355" xr3:uid="{2C6E1413-72A9-47F0-BBE2-EA727A149087}" name="Column10349"/>
    <tableColumn id="10356" xr3:uid="{B84EF5F0-F396-44FD-AA47-EC3D8E416E39}" name="Column10350"/>
    <tableColumn id="10357" xr3:uid="{85443C5D-8D9F-4EF5-9303-9C61395E9F88}" name="Column10351"/>
    <tableColumn id="10358" xr3:uid="{69570A45-B35C-4985-AD4C-9A0081EEC38C}" name="Column10352"/>
    <tableColumn id="10359" xr3:uid="{AF3A7C4F-0536-4DC5-BE42-87A44CD29F30}" name="Column10353"/>
    <tableColumn id="10360" xr3:uid="{9F611E25-2696-488C-AAA8-C11DF09511F3}" name="Column10354"/>
    <tableColumn id="10361" xr3:uid="{18C0CFFF-C027-494C-834E-74F47253ACBA}" name="Column10355"/>
    <tableColumn id="10362" xr3:uid="{E44060A2-2C1A-44B4-8881-CBA20674AC26}" name="Column10356"/>
    <tableColumn id="10363" xr3:uid="{B188CAF3-ABBB-42A4-9584-7D55551127F9}" name="Column10357"/>
    <tableColumn id="10364" xr3:uid="{DF0439FA-5869-4676-8719-02BB6AD945C9}" name="Column10358"/>
    <tableColumn id="10365" xr3:uid="{9182B120-893C-45E7-83E4-769FD136735A}" name="Column10359"/>
    <tableColumn id="10366" xr3:uid="{D4C215A4-619E-46F7-A8DC-A219D9FB8431}" name="Column10360"/>
    <tableColumn id="10367" xr3:uid="{30F22427-E96F-47DF-AB46-83670EFF1923}" name="Column10361"/>
    <tableColumn id="10368" xr3:uid="{E2059561-8718-4947-BDCD-BB86491DDE66}" name="Column10362"/>
    <tableColumn id="10369" xr3:uid="{78CBACA3-72AC-4CF9-A3BE-484BE897D8D4}" name="Column10363"/>
    <tableColumn id="10370" xr3:uid="{8B1A7508-3C58-4F13-A19C-48FC60161335}" name="Column10364"/>
    <tableColumn id="10371" xr3:uid="{1D469086-07D4-46C8-9749-79B49E3F1FD5}" name="Column10365"/>
    <tableColumn id="10372" xr3:uid="{D9E7988A-BDF9-409D-B63A-61281918B2CD}" name="Column10366"/>
    <tableColumn id="10373" xr3:uid="{E0D860D2-B158-44DF-8C53-5CA18A02FD34}" name="Column10367"/>
    <tableColumn id="10374" xr3:uid="{F94DD9A3-58D4-489E-91DE-D92E9B95201D}" name="Column10368"/>
    <tableColumn id="10375" xr3:uid="{8F203300-0BC0-4196-BBE4-9701D1507659}" name="Column10369"/>
    <tableColumn id="10376" xr3:uid="{D7E465D6-70DC-4D06-AEB0-28C12005D6C8}" name="Column10370"/>
    <tableColumn id="10377" xr3:uid="{6DBFDF5E-CA1B-492C-B458-5C33A4DAED1E}" name="Column10371"/>
    <tableColumn id="10378" xr3:uid="{9B620D89-A891-4FDD-AEF8-CCD6F0E5572F}" name="Column10372"/>
    <tableColumn id="10379" xr3:uid="{4F23E82D-3706-4286-8DBB-0CF1C96CAE39}" name="Column10373"/>
    <tableColumn id="10380" xr3:uid="{A85DD190-8103-49AB-93C8-CC362426EB27}" name="Column10374"/>
    <tableColumn id="10381" xr3:uid="{ECB68EF6-D221-4C70-AE12-23ADF039A705}" name="Column10375"/>
    <tableColumn id="10382" xr3:uid="{6E3E556A-0B43-4F84-93EE-186E4E5BF96F}" name="Column10376"/>
    <tableColumn id="10383" xr3:uid="{A6773F73-6568-44F9-A21A-A9A467DB2AD4}" name="Column10377"/>
    <tableColumn id="10384" xr3:uid="{BC666D62-FF63-4BE3-B1E7-DBBC0D92ED6F}" name="Column10378"/>
    <tableColumn id="10385" xr3:uid="{A8651EC4-6EF0-454E-A5C5-EF8D1E169FC9}" name="Column10379"/>
    <tableColumn id="10386" xr3:uid="{EE0BBFB4-2E82-4F32-8FA5-9E179142C074}" name="Column10380"/>
    <tableColumn id="10387" xr3:uid="{B9BEA7F1-9805-400F-A37B-6A8F25D228E1}" name="Column10381"/>
    <tableColumn id="10388" xr3:uid="{C72DD1BF-D254-4A8B-AD35-FCB68AFF57FD}" name="Column10382"/>
    <tableColumn id="10389" xr3:uid="{045C4C12-FB67-421D-858F-86B5E3D41305}" name="Column10383"/>
    <tableColumn id="10390" xr3:uid="{DDB10E40-1053-4F46-B1D3-05780B52D7F2}" name="Column10384"/>
    <tableColumn id="10391" xr3:uid="{8E5CFDD1-0F75-45B6-A514-4951B1738A78}" name="Column10385"/>
    <tableColumn id="10392" xr3:uid="{0E636EB4-871F-4A2C-8A2C-3137F1C8EFA8}" name="Column10386"/>
    <tableColumn id="10393" xr3:uid="{5CF58169-9C2C-4C48-9F71-DA0FB97E0323}" name="Column10387"/>
    <tableColumn id="10394" xr3:uid="{C9459183-342D-45D5-83D3-928E690E4A06}" name="Column10388"/>
    <tableColumn id="10395" xr3:uid="{57FB85E2-3DB2-4812-A270-2E634A6D3804}" name="Column10389"/>
    <tableColumn id="10396" xr3:uid="{CDA0CD97-8E38-4BFC-BB1C-B610FE2EBB47}" name="Column10390"/>
    <tableColumn id="10397" xr3:uid="{BBCC703A-C5D2-4871-9665-C79ABACD58AF}" name="Column10391"/>
    <tableColumn id="10398" xr3:uid="{52297BD7-B3DB-4A72-A93F-00AE869A9FA0}" name="Column10392"/>
    <tableColumn id="10399" xr3:uid="{202E481C-1F06-4EEB-A53F-25137819368D}" name="Column10393"/>
    <tableColumn id="10400" xr3:uid="{6BF085E0-B464-4E17-AE44-DC892037B182}" name="Column10394"/>
    <tableColumn id="10401" xr3:uid="{8D1F3ABF-D996-4D55-B172-E8F4DF5C75BC}" name="Column10395"/>
    <tableColumn id="10402" xr3:uid="{30A2E684-7EFB-4B7A-BF02-1AD2E45ABBBC}" name="Column10396"/>
    <tableColumn id="10403" xr3:uid="{2C3E972D-E954-4750-BA18-048644A9ED07}" name="Column10397"/>
    <tableColumn id="10404" xr3:uid="{14A0CFE3-E74D-4843-8C6F-313490A67059}" name="Column10398"/>
    <tableColumn id="10405" xr3:uid="{64A90307-24F1-4905-818F-7794C334A5E1}" name="Column10399"/>
    <tableColumn id="10406" xr3:uid="{3EA799D7-FA65-4867-8FAD-A973A0896FE2}" name="Column10400"/>
    <tableColumn id="10407" xr3:uid="{6E2A9504-A4BC-420F-9829-CA85B1CA6806}" name="Column10401"/>
    <tableColumn id="10408" xr3:uid="{C95292CC-55F1-4548-B8A8-D59C924DB25A}" name="Column10402"/>
    <tableColumn id="10409" xr3:uid="{E51299CB-C62A-4EA5-AF9E-F6FB6FD6B4A5}" name="Column10403"/>
    <tableColumn id="10410" xr3:uid="{0F076677-83B8-4C67-ABDC-0BA3D7D28C77}" name="Column10404"/>
    <tableColumn id="10411" xr3:uid="{30BBC9F4-BFAB-40B6-A945-44FD224A38E1}" name="Column10405"/>
    <tableColumn id="10412" xr3:uid="{C752AF78-9122-48E7-B4FD-B0E40C765EA7}" name="Column10406"/>
    <tableColumn id="10413" xr3:uid="{C0B1EE95-3A33-494A-BC34-BBCDD8FF17F7}" name="Column10407"/>
    <tableColumn id="10414" xr3:uid="{6CE571C8-FED2-4C4B-AD50-647ACB42541C}" name="Column10408"/>
    <tableColumn id="10415" xr3:uid="{C493AAC8-BC55-412E-A6D6-C08EB08F51AD}" name="Column10409"/>
    <tableColumn id="10416" xr3:uid="{A838310A-C1FC-4ED5-9C98-EC8BCD0061DD}" name="Column10410"/>
    <tableColumn id="10417" xr3:uid="{5510381B-7635-4CBE-B7C7-DEF4F70A4F9B}" name="Column10411"/>
    <tableColumn id="10418" xr3:uid="{D9980A1D-E188-4874-823F-96501C4C3070}" name="Column10412"/>
    <tableColumn id="10419" xr3:uid="{5F4E147B-3004-44B2-BB6E-E63A1F433230}" name="Column10413"/>
    <tableColumn id="10420" xr3:uid="{CC866A17-B7B7-4CFF-8E7A-E73327F0E6BE}" name="Column10414"/>
    <tableColumn id="10421" xr3:uid="{8D50916D-E1C9-4C45-BDEE-7D78EFF39EE4}" name="Column10415"/>
    <tableColumn id="10422" xr3:uid="{6C0662B4-91B9-46FE-B92B-8DFE582536A3}" name="Column10416"/>
    <tableColumn id="10423" xr3:uid="{5703C76F-74EB-43FF-A913-AFB92F069B63}" name="Column10417"/>
    <tableColumn id="10424" xr3:uid="{60C66345-EB15-4967-A117-ACBC348738AB}" name="Column10418"/>
    <tableColumn id="10425" xr3:uid="{B8AD6F1B-0D2F-40CE-81DB-45E733CC8E67}" name="Column10419"/>
    <tableColumn id="10426" xr3:uid="{2AD7E1B8-20E1-4BE6-8CFE-01D89BB8F37E}" name="Column10420"/>
    <tableColumn id="10427" xr3:uid="{25780DF4-BEA5-4291-8B7C-F2F144FF4923}" name="Column10421"/>
    <tableColumn id="10428" xr3:uid="{54DF95B8-0970-4800-9FC0-B013DCFC6B78}" name="Column10422"/>
    <tableColumn id="10429" xr3:uid="{EBD920DC-8E9D-45EE-BFD5-02494436467C}" name="Column10423"/>
    <tableColumn id="10430" xr3:uid="{CADF1BB0-382F-46BB-93DE-EFD993CCC0AB}" name="Column10424"/>
    <tableColumn id="10431" xr3:uid="{F07E07AC-9C70-428E-9BB6-F6991DFA7E18}" name="Column10425"/>
    <tableColumn id="10432" xr3:uid="{26EE0D42-0DE2-4D27-8AE3-52AFC92A6807}" name="Column10426"/>
    <tableColumn id="10433" xr3:uid="{DEA30D11-A8DC-4484-930C-2E614EB77ACF}" name="Column10427"/>
    <tableColumn id="10434" xr3:uid="{D2E4D5B0-323F-4726-938D-FAFC97704605}" name="Column10428"/>
    <tableColumn id="10435" xr3:uid="{2B33FEA0-B076-401A-A0D0-C06AA8BE090F}" name="Column10429"/>
    <tableColumn id="10436" xr3:uid="{24B505C5-E439-45D5-A64A-3FF014202F32}" name="Column10430"/>
    <tableColumn id="10437" xr3:uid="{A99D08D9-8122-494A-A2AE-705D5CCF40DB}" name="Column10431"/>
    <tableColumn id="10438" xr3:uid="{8200556A-166A-42CF-9F35-FC9B68B246FE}" name="Column10432"/>
    <tableColumn id="10439" xr3:uid="{1A3B2894-279F-40A6-8554-97BA115057DE}" name="Column10433"/>
    <tableColumn id="10440" xr3:uid="{F8047CC4-471A-4DF2-BCBE-DD644660A65C}" name="Column10434"/>
    <tableColumn id="10441" xr3:uid="{F84926D0-F6B9-4CAE-AA16-CC12355BB37B}" name="Column10435"/>
    <tableColumn id="10442" xr3:uid="{BB67A12B-FEEA-4767-8759-9C6EBCC07BD1}" name="Column10436"/>
    <tableColumn id="10443" xr3:uid="{D61FA934-592E-41D6-BB89-578C441F5912}" name="Column10437"/>
    <tableColumn id="10444" xr3:uid="{9E1A8A7F-5DC9-4FC6-A994-B2310745FF9A}" name="Column10438"/>
    <tableColumn id="10445" xr3:uid="{BBB8DDCF-B98F-4C6B-9569-18B9B62C0F12}" name="Column10439"/>
    <tableColumn id="10446" xr3:uid="{7E288802-E92F-4997-AF62-09CBE170E353}" name="Column10440"/>
    <tableColumn id="10447" xr3:uid="{65620EDF-98EE-4B55-802A-ACE586D64B68}" name="Column10441"/>
    <tableColumn id="10448" xr3:uid="{109EAADA-380A-49EE-B115-F8BD618CCFF8}" name="Column10442"/>
    <tableColumn id="10449" xr3:uid="{085B0B12-1E77-4862-822E-DDBBBB1CB3FD}" name="Column10443"/>
    <tableColumn id="10450" xr3:uid="{9747A4A0-E0F6-499E-BB17-C8F9A92E4443}" name="Column10444"/>
    <tableColumn id="10451" xr3:uid="{DF2672FA-21E0-4F95-8053-D7D8B36F8568}" name="Column10445"/>
    <tableColumn id="10452" xr3:uid="{80C299B7-8DC5-4B22-8C5D-A86766DF06A7}" name="Column10446"/>
    <tableColumn id="10453" xr3:uid="{174D48AD-E6EA-4614-BCA0-F451272220B1}" name="Column10447"/>
    <tableColumn id="10454" xr3:uid="{F4BDF31C-3BBF-4B10-9F5B-7C210EC6A926}" name="Column10448"/>
    <tableColumn id="10455" xr3:uid="{BB30ED61-D316-4F2F-8682-010912502783}" name="Column10449"/>
    <tableColumn id="10456" xr3:uid="{3C16D385-A6BC-40D7-829F-09225718C8A7}" name="Column10450"/>
    <tableColumn id="10457" xr3:uid="{331D3A99-BEFD-41F1-8319-0ED690F841B0}" name="Column10451"/>
    <tableColumn id="10458" xr3:uid="{9ABF7EAA-DAC3-42E4-A512-496C3EA9F2DA}" name="Column10452"/>
    <tableColumn id="10459" xr3:uid="{332A2125-4413-476B-BD57-70B5A78DD490}" name="Column10453"/>
    <tableColumn id="10460" xr3:uid="{C9573716-62A8-4419-A222-32143C4FE3E2}" name="Column10454"/>
    <tableColumn id="10461" xr3:uid="{3CA93A02-2959-43B2-B20C-0DFA7018C0D4}" name="Column10455"/>
    <tableColumn id="10462" xr3:uid="{110B5A66-A32C-4253-A842-ABA86D986775}" name="Column10456"/>
    <tableColumn id="10463" xr3:uid="{842846B2-EADD-4FB9-93EE-AC5181AF79E7}" name="Column10457"/>
    <tableColumn id="10464" xr3:uid="{11C85F61-570A-46C0-BB4F-C0C52878CEB1}" name="Column10458"/>
    <tableColumn id="10465" xr3:uid="{6A57F542-21F3-4BAD-A564-67F93D0058C1}" name="Column10459"/>
    <tableColumn id="10466" xr3:uid="{6D736B9C-DA95-4DB6-9660-1EA891750E45}" name="Column10460"/>
    <tableColumn id="10467" xr3:uid="{94AAFEB4-8248-4881-ACC7-E79CE127CE79}" name="Column10461"/>
    <tableColumn id="10468" xr3:uid="{51ECE635-E139-4102-B7A4-E16F6E41D9C2}" name="Column10462"/>
    <tableColumn id="10469" xr3:uid="{DF979F40-E4B0-46D3-9D47-4B59CD714B53}" name="Column10463"/>
    <tableColumn id="10470" xr3:uid="{12987D28-D0FF-4ECC-9A01-5F7EC6CAEF87}" name="Column10464"/>
    <tableColumn id="10471" xr3:uid="{2836FC34-DF90-4317-B813-B9EE5A4E8AD1}" name="Column10465"/>
    <tableColumn id="10472" xr3:uid="{F73F0C94-4F8E-45E3-B635-61E7DD78BF2C}" name="Column10466"/>
    <tableColumn id="10473" xr3:uid="{2DBB4C4B-3C7A-4867-85A6-64ADBB24FA89}" name="Column10467"/>
    <tableColumn id="10474" xr3:uid="{148B52B1-202E-4EEB-BEDB-BCCA10F91306}" name="Column10468"/>
    <tableColumn id="10475" xr3:uid="{1CDAF7A8-F5A6-4687-A3B9-47AEC8A9B3B9}" name="Column10469"/>
    <tableColumn id="10476" xr3:uid="{90A51F8B-3DD7-4D5C-AACF-17A7C499D6FD}" name="Column10470"/>
    <tableColumn id="10477" xr3:uid="{76A6E38F-DBA2-41DF-89E0-A2452793416F}" name="Column10471"/>
    <tableColumn id="10478" xr3:uid="{9CA2906C-EEFE-453E-ADA9-5941900DB169}" name="Column10472"/>
    <tableColumn id="10479" xr3:uid="{0EC94D46-4CC7-44B5-A6E5-E6DCD70DC8BF}" name="Column10473"/>
    <tableColumn id="10480" xr3:uid="{69A832A4-2622-4760-926E-E2E3B0C03CE6}" name="Column10474"/>
    <tableColumn id="10481" xr3:uid="{BD6FCA2B-3A6F-4178-B90F-6DC9068D61C7}" name="Column10475"/>
    <tableColumn id="10482" xr3:uid="{CC611B1C-7141-4185-B066-4BC1F43C84BF}" name="Column10476"/>
    <tableColumn id="10483" xr3:uid="{BB411DA8-B810-4A1D-9AC0-1F22226E1445}" name="Column10477"/>
    <tableColumn id="10484" xr3:uid="{6D48CECF-8245-4B96-9ADF-F15D29E491B9}" name="Column10478"/>
    <tableColumn id="10485" xr3:uid="{5234403D-2BE9-4E5F-A130-84F2BAB4055F}" name="Column10479"/>
    <tableColumn id="10486" xr3:uid="{468B3A00-4D30-4794-81B4-AAED4ECD1357}" name="Column10480"/>
    <tableColumn id="10487" xr3:uid="{4321997B-09D6-47BB-8E1E-19F546C15537}" name="Column10481"/>
    <tableColumn id="10488" xr3:uid="{D2F7AAA0-9A7A-4226-9D6A-753BBB428CAF}" name="Column10482"/>
    <tableColumn id="10489" xr3:uid="{B93E0162-6813-4D38-8BE3-389A4A5C7EA4}" name="Column10483"/>
    <tableColumn id="10490" xr3:uid="{8A6A8ED2-B6CE-4336-97F1-1B5CEC39A718}" name="Column10484"/>
    <tableColumn id="10491" xr3:uid="{F8BCEA31-EC33-41B6-8ECF-38AD1E46F765}" name="Column10485"/>
    <tableColumn id="10492" xr3:uid="{DF885372-B89B-4B31-A9B4-2DB7B2DEA833}" name="Column10486"/>
    <tableColumn id="10493" xr3:uid="{8515587B-1A41-4D37-BC8F-23EFA78D515D}" name="Column10487"/>
    <tableColumn id="10494" xr3:uid="{691FA8FD-763C-43BA-8224-42E8201371F6}" name="Column10488"/>
    <tableColumn id="10495" xr3:uid="{B1E7BFA7-7C34-4523-9536-F58926083BF2}" name="Column10489"/>
    <tableColumn id="10496" xr3:uid="{1A4784DE-3F98-4097-86FB-EEA2A1EA61F9}" name="Column10490"/>
    <tableColumn id="10497" xr3:uid="{B02E0A61-68E0-4814-9198-8E928AEA9780}" name="Column10491"/>
    <tableColumn id="10498" xr3:uid="{2C6FAE45-A005-4B7E-885C-68FABB45C2BC}" name="Column10492"/>
    <tableColumn id="10499" xr3:uid="{2D5B961D-274B-4F5F-A382-BA0A0B408D32}" name="Column10493"/>
    <tableColumn id="10500" xr3:uid="{BB36BA30-A5F3-4465-BA6D-B076808EB527}" name="Column10494"/>
    <tableColumn id="10501" xr3:uid="{98A765BD-4B3E-44EA-8043-7918F45418F0}" name="Column10495"/>
    <tableColumn id="10502" xr3:uid="{DCFC2819-BD99-4DE7-B69D-D6869AD8B08C}" name="Column10496"/>
    <tableColumn id="10503" xr3:uid="{2B728629-FCB9-46EC-B0C0-AE2E2E428568}" name="Column10497"/>
    <tableColumn id="10504" xr3:uid="{8B5EBDC7-668A-4E93-B14F-85DF23DE9467}" name="Column10498"/>
    <tableColumn id="10505" xr3:uid="{CDB8D293-8B00-4B3C-A7D2-6DA10298777A}" name="Column10499"/>
    <tableColumn id="10506" xr3:uid="{E0820C4D-7C4B-45CB-A323-B6EA6C221126}" name="Column10500"/>
    <tableColumn id="10507" xr3:uid="{B26BD550-A3CE-4DCA-B85E-75FC8218BF51}" name="Column10501"/>
    <tableColumn id="10508" xr3:uid="{7337F3C3-80A8-451F-BD06-180461752168}" name="Column10502"/>
    <tableColumn id="10509" xr3:uid="{21B85A00-81E7-4DD7-8B9E-BD6B17C1CC2C}" name="Column10503"/>
    <tableColumn id="10510" xr3:uid="{8DD3BA84-DADE-43AB-9963-42BF198649D2}" name="Column10504"/>
    <tableColumn id="10511" xr3:uid="{34F88C2E-7847-4C7C-900B-AC64EE7FBCE5}" name="Column10505"/>
    <tableColumn id="10512" xr3:uid="{87ED6B5C-E822-430E-901A-292B3B6824AC}" name="Column10506"/>
    <tableColumn id="10513" xr3:uid="{584A5D06-7796-4DDD-97B5-E60B4B71C894}" name="Column10507"/>
    <tableColumn id="10514" xr3:uid="{0C9BAE53-A1B2-4254-A8EE-6BA3D39A3244}" name="Column10508"/>
    <tableColumn id="10515" xr3:uid="{DBE15D45-134F-42F0-AC00-0E5D5F0B02F4}" name="Column10509"/>
    <tableColumn id="10516" xr3:uid="{3B6F6EAD-B700-4CCC-A1A2-4402E394FAD3}" name="Column10510"/>
    <tableColumn id="10517" xr3:uid="{F5ADCCD3-134E-441E-8DAA-7E1C7469DA6F}" name="Column10511"/>
    <tableColumn id="10518" xr3:uid="{9C8AA98D-730C-4399-9EB5-4D64321BDAF6}" name="Column10512"/>
    <tableColumn id="10519" xr3:uid="{0BC0A7CE-F137-48C5-A0AD-7F2F01818BAE}" name="Column10513"/>
    <tableColumn id="10520" xr3:uid="{5677866F-6F65-40BA-A79A-5F3157D51975}" name="Column10514"/>
    <tableColumn id="10521" xr3:uid="{5F538946-13F5-4667-8A41-340ECAB4D8AE}" name="Column10515"/>
    <tableColumn id="10522" xr3:uid="{3BE3FB78-4376-473A-B311-8F4D571D817D}" name="Column10516"/>
    <tableColumn id="10523" xr3:uid="{B7B3EDE4-D09D-4DE9-9783-40094D278905}" name="Column10517"/>
    <tableColumn id="10524" xr3:uid="{3F87FD22-B580-494D-BC39-45990DFDBCA0}" name="Column10518"/>
    <tableColumn id="10525" xr3:uid="{4E0943AE-74FD-4062-8D6F-35268E09CD35}" name="Column10519"/>
    <tableColumn id="10526" xr3:uid="{E39527CB-90A3-40CB-9F7A-20C0B49D7EB7}" name="Column10520"/>
    <tableColumn id="10527" xr3:uid="{7826640D-D7DA-4531-9D94-02D5171E709D}" name="Column10521"/>
    <tableColumn id="10528" xr3:uid="{5F7822BD-2E8B-4478-8116-BDF3C0E311BB}" name="Column10522"/>
    <tableColumn id="10529" xr3:uid="{8797C974-962C-44CD-AE56-CFBCF8A76AAF}" name="Column10523"/>
    <tableColumn id="10530" xr3:uid="{5BE6C0C0-80B5-4BF3-AB15-937CF96120F6}" name="Column10524"/>
    <tableColumn id="10531" xr3:uid="{00E50E70-1AEB-4950-9475-2697C1401F43}" name="Column10525"/>
    <tableColumn id="10532" xr3:uid="{61A4D3D4-C8FF-4409-9D4A-F15892142E9B}" name="Column10526"/>
    <tableColumn id="10533" xr3:uid="{BF82DEB3-1ED7-4AF3-92CB-FF5845AE5830}" name="Column10527"/>
    <tableColumn id="10534" xr3:uid="{B7090D79-47A7-46A5-BFA0-216797206879}" name="Column10528"/>
    <tableColumn id="10535" xr3:uid="{7D364D8C-B618-4DDA-A244-367D4EDB314D}" name="Column10529"/>
    <tableColumn id="10536" xr3:uid="{7ABED017-2DDB-4E06-9126-6F68D2B6CC8D}" name="Column10530"/>
    <tableColumn id="10537" xr3:uid="{0A2BFB37-689A-40BB-AD4C-AF18B2495960}" name="Column10531"/>
    <tableColumn id="10538" xr3:uid="{090A47FD-1FF3-48ED-84DA-6366E5AC10B0}" name="Column10532"/>
    <tableColumn id="10539" xr3:uid="{E893602E-8283-4709-B834-9AD5533857B5}" name="Column10533"/>
    <tableColumn id="10540" xr3:uid="{9BC367E6-9BD9-4A72-B9DC-073BE8E858C3}" name="Column10534"/>
    <tableColumn id="10541" xr3:uid="{CB757B99-8A23-431D-A7C6-9C313F483E13}" name="Column10535"/>
    <tableColumn id="10542" xr3:uid="{CCBF0253-3CE0-470E-8128-E77E44461420}" name="Column10536"/>
    <tableColumn id="10543" xr3:uid="{8AF659C4-E16A-49BE-A4D8-5427E46C1C11}" name="Column10537"/>
    <tableColumn id="10544" xr3:uid="{CFCC603C-93E4-407F-ADC0-D823C10F1F72}" name="Column10538"/>
    <tableColumn id="10545" xr3:uid="{F94192C4-18C8-4880-96FF-E254E320720A}" name="Column10539"/>
    <tableColumn id="10546" xr3:uid="{527EC9AD-4892-4B3F-9AA0-3DCFB5C010FB}" name="Column10540"/>
    <tableColumn id="10547" xr3:uid="{6D60F894-52BD-42AD-98B8-063E66A6AD74}" name="Column10541"/>
    <tableColumn id="10548" xr3:uid="{88050692-619C-48FA-9044-89D5407C2F9A}" name="Column10542"/>
    <tableColumn id="10549" xr3:uid="{D85A2510-B940-4A7C-9C07-E0D685806620}" name="Column10543"/>
    <tableColumn id="10550" xr3:uid="{17E5E057-6F49-4A9E-A1C4-79B2BA8F9842}" name="Column10544"/>
    <tableColumn id="10551" xr3:uid="{ABD6B2CC-53BD-4499-9BD7-76D395F4E392}" name="Column10545"/>
    <tableColumn id="10552" xr3:uid="{EF531F58-233C-4309-9590-AE624A6DAA11}" name="Column10546"/>
    <tableColumn id="10553" xr3:uid="{BA50CFB6-C536-4888-A44E-2097E8A42D9B}" name="Column10547"/>
    <tableColumn id="10554" xr3:uid="{4EAC7B66-4D0A-40BB-870B-31E68C168EA6}" name="Column10548"/>
    <tableColumn id="10555" xr3:uid="{C42741A2-F1BB-4A99-A97E-6880F81C0DEF}" name="Column10549"/>
    <tableColumn id="10556" xr3:uid="{4F04E52F-6797-4E88-8530-375C70EE1C3B}" name="Column10550"/>
    <tableColumn id="10557" xr3:uid="{D255D7CD-A68A-4F7B-9CF3-136DD4FB66E1}" name="Column10551"/>
    <tableColumn id="10558" xr3:uid="{522DF982-44ED-4937-AE19-DF3CC9A02528}" name="Column10552"/>
    <tableColumn id="10559" xr3:uid="{029D9A81-818F-42FA-A76D-7A755778E758}" name="Column10553"/>
    <tableColumn id="10560" xr3:uid="{0E1EB5BD-374B-44D0-9B25-4A6670C1B64B}" name="Column10554"/>
    <tableColumn id="10561" xr3:uid="{ACCB46FC-80B9-4818-80E7-77BDEBF19B97}" name="Column10555"/>
    <tableColumn id="10562" xr3:uid="{DF40C883-9079-49CB-90CD-312A55FEAC3B}" name="Column10556"/>
    <tableColumn id="10563" xr3:uid="{4EC4D892-FF29-4AF6-AF4C-6F9197DB77B6}" name="Column10557"/>
    <tableColumn id="10564" xr3:uid="{420D8BDF-1DEB-483B-9B6F-68A0633BF95D}" name="Column10558"/>
    <tableColumn id="10565" xr3:uid="{14AE6F8D-832F-4AB0-895C-394F8D884076}" name="Column10559"/>
    <tableColumn id="10566" xr3:uid="{F70155EE-C954-4B47-BBF8-57FB71ACA75F}" name="Column10560"/>
    <tableColumn id="10567" xr3:uid="{B14AB721-A410-4B8A-9FB2-46242BE1BDD3}" name="Column10561"/>
    <tableColumn id="10568" xr3:uid="{31CB3D5F-EA79-4D1E-99BE-6AE6515C014C}" name="Column10562"/>
    <tableColumn id="10569" xr3:uid="{D0219C2C-6FA0-4E3C-8123-282049F12D5E}" name="Column10563"/>
    <tableColumn id="10570" xr3:uid="{7D722E65-188B-413E-8433-63C7B4BBAE9D}" name="Column10564"/>
    <tableColumn id="10571" xr3:uid="{E5B31BFC-38A0-4EB9-A2C8-A7E804B419FD}" name="Column10565"/>
    <tableColumn id="10572" xr3:uid="{57D0FC39-83EE-4557-8184-06FFC4AEF853}" name="Column10566"/>
    <tableColumn id="10573" xr3:uid="{F2ED4A75-BC44-4908-9F21-B95CAF4F26DC}" name="Column10567"/>
    <tableColumn id="10574" xr3:uid="{FE1791A4-0FCA-4502-A790-949E7A49D609}" name="Column10568"/>
    <tableColumn id="10575" xr3:uid="{F634D3A4-A203-4613-834B-A102ECDE1515}" name="Column10569"/>
    <tableColumn id="10576" xr3:uid="{6015C8FE-12E4-494B-8610-AC1A7CB49417}" name="Column10570"/>
    <tableColumn id="10577" xr3:uid="{2560D047-454C-4C66-BCE2-0C9A1E98DA02}" name="Column10571"/>
    <tableColumn id="10578" xr3:uid="{06DA17A4-5E91-4253-A2A4-258EF6483B1F}" name="Column10572"/>
    <tableColumn id="10579" xr3:uid="{016BF3C4-4077-45B8-9E76-46F39D66256C}" name="Column10573"/>
    <tableColumn id="10580" xr3:uid="{29960BDA-A2EC-4DC8-9534-F946ACD32667}" name="Column10574"/>
    <tableColumn id="10581" xr3:uid="{768F3887-F4F1-41D4-BD18-16FCEDFF43D9}" name="Column10575"/>
    <tableColumn id="10582" xr3:uid="{FB1626D3-F756-4ACF-B7E2-060B172E5DC6}" name="Column10576"/>
    <tableColumn id="10583" xr3:uid="{7694A4ED-D94C-4446-996D-CAB49C11FB43}" name="Column10577"/>
    <tableColumn id="10584" xr3:uid="{D7F29CCF-7F81-4D48-84C2-6342A05C0A85}" name="Column10578"/>
    <tableColumn id="10585" xr3:uid="{9303A160-5B87-4C29-8C59-67290EE15B0E}" name="Column10579"/>
    <tableColumn id="10586" xr3:uid="{4061F0AD-5E99-40F8-A0A1-AA2AAD50FEC6}" name="Column10580"/>
    <tableColumn id="10587" xr3:uid="{2E68E8A7-C557-494F-99CE-DA65518FD7B9}" name="Column10581"/>
    <tableColumn id="10588" xr3:uid="{53C6251C-BFEE-478D-9367-9D2722F8B6AE}" name="Column10582"/>
    <tableColumn id="10589" xr3:uid="{3253E098-6D51-4FDC-ADF3-2A2DA643FDB8}" name="Column10583"/>
    <tableColumn id="10590" xr3:uid="{50FACCF4-55C2-47AF-8540-66352224A115}" name="Column10584"/>
    <tableColumn id="10591" xr3:uid="{FF2C4D9B-238E-40F1-BC4C-93FB6222EC26}" name="Column10585"/>
    <tableColumn id="10592" xr3:uid="{4D52C6EE-0380-44F6-A682-3D624E517C3B}" name="Column10586"/>
    <tableColumn id="10593" xr3:uid="{AEF1D252-5D6E-403F-87EF-72D41A7D2E18}" name="Column10587"/>
    <tableColumn id="10594" xr3:uid="{937291F8-EBB1-41A5-BD69-F8A76ACE6D1D}" name="Column10588"/>
    <tableColumn id="10595" xr3:uid="{E9EC79E4-1A6B-4B84-8F65-6D3C1127AE69}" name="Column10589"/>
    <tableColumn id="10596" xr3:uid="{C71641FD-87A9-4948-A8A2-0E29402C08C6}" name="Column10590"/>
    <tableColumn id="10597" xr3:uid="{7E5E0BA7-9F7A-42DC-95CD-3A0B9404D517}" name="Column10591"/>
    <tableColumn id="10598" xr3:uid="{E6801309-B31F-4F54-96EE-B16685625423}" name="Column10592"/>
    <tableColumn id="10599" xr3:uid="{69EA6171-C63C-499C-B872-5DC1AA8767B8}" name="Column10593"/>
    <tableColumn id="10600" xr3:uid="{B1A6FED2-1F1A-40FC-B1AF-55E43070A548}" name="Column10594"/>
    <tableColumn id="10601" xr3:uid="{E5F868D2-87DB-442B-A9F9-18C86F39276C}" name="Column10595"/>
    <tableColumn id="10602" xr3:uid="{1D715C52-BA2F-4E43-8F63-750BAE9209F5}" name="Column10596"/>
    <tableColumn id="10603" xr3:uid="{ACF9F792-EB14-499D-8630-4E76B8CCB974}" name="Column10597"/>
    <tableColumn id="10604" xr3:uid="{711B7811-2D9C-44F6-8DCF-A0015AC3C6E8}" name="Column10598"/>
    <tableColumn id="10605" xr3:uid="{A8E037DA-A95F-4A6B-981D-6A46F489E4D8}" name="Column10599"/>
    <tableColumn id="10606" xr3:uid="{4EFB7A33-73F5-4BB8-92DC-B3106A8B45DC}" name="Column10600"/>
    <tableColumn id="10607" xr3:uid="{F41982A3-3769-4379-B730-E81856EBB54A}" name="Column10601"/>
    <tableColumn id="10608" xr3:uid="{2B6616A5-52F9-4B7E-8DBE-D6456D5FF7FB}" name="Column10602"/>
    <tableColumn id="10609" xr3:uid="{759D69E3-D05C-440B-9489-DC9BD9573284}" name="Column10603"/>
    <tableColumn id="10610" xr3:uid="{722B092E-2ABF-414E-82DE-A2781C8F9E21}" name="Column10604"/>
    <tableColumn id="10611" xr3:uid="{96F152D7-6F6F-424B-81F3-9FD7B7CC93CB}" name="Column10605"/>
    <tableColumn id="10612" xr3:uid="{277EA686-4649-4F12-A01B-DA3E9D7AE380}" name="Column10606"/>
    <tableColumn id="10613" xr3:uid="{12DD3309-FFAA-487F-AE13-5C6EBD1D0C22}" name="Column10607"/>
    <tableColumn id="10614" xr3:uid="{547B6969-2607-4CCE-B2A1-B7E0E7CB9DD6}" name="Column10608"/>
    <tableColumn id="10615" xr3:uid="{EEBA4069-6D45-4071-B925-E1B49FE3C586}" name="Column10609"/>
    <tableColumn id="10616" xr3:uid="{ACC3CC74-0BA6-461A-9561-D21ABFD8F1F8}" name="Column10610"/>
    <tableColumn id="10617" xr3:uid="{BFF8C944-24DC-49AB-8119-7AF464D34AA4}" name="Column10611"/>
    <tableColumn id="10618" xr3:uid="{322D0A87-93C8-471D-B20B-70A7C207CA12}" name="Column10612"/>
    <tableColumn id="10619" xr3:uid="{EA11B2F7-0A16-42FF-9942-A9A323AFAB39}" name="Column10613"/>
    <tableColumn id="10620" xr3:uid="{A21AE192-D9D3-41F9-B793-ADFADEE9CE17}" name="Column10614"/>
    <tableColumn id="10621" xr3:uid="{69C06B16-F823-4CBE-8EC2-6677A6AF7DBC}" name="Column10615"/>
    <tableColumn id="10622" xr3:uid="{E83AAEC2-8B01-47D5-A865-4740F5B63C37}" name="Column10616"/>
    <tableColumn id="10623" xr3:uid="{5E7F1636-E34A-4FF1-A0FA-89A9288CD6CB}" name="Column10617"/>
    <tableColumn id="10624" xr3:uid="{F833F4D4-06DB-4D64-BAEB-E9FF113176AF}" name="Column10618"/>
    <tableColumn id="10625" xr3:uid="{0BE6AA26-BE9F-497D-A48E-2DC9678F5470}" name="Column10619"/>
    <tableColumn id="10626" xr3:uid="{F6C2F398-C2E2-4447-AAB6-11540DCFB98C}" name="Column10620"/>
    <tableColumn id="10627" xr3:uid="{FC09F7F5-5788-4BE4-A5EB-BF1C2EE22A2A}" name="Column10621"/>
    <tableColumn id="10628" xr3:uid="{95E9DE13-9533-470A-BDF2-CD12FDD2880D}" name="Column10622"/>
    <tableColumn id="10629" xr3:uid="{27AA6B6A-E37E-4372-9403-CE09CF43B524}" name="Column10623"/>
    <tableColumn id="10630" xr3:uid="{1352993C-73E9-4477-8489-FB61C9A2BE7B}" name="Column10624"/>
    <tableColumn id="10631" xr3:uid="{C60A0126-D36C-40D4-A620-9CC2913BDE5E}" name="Column10625"/>
    <tableColumn id="10632" xr3:uid="{8CC23702-2D13-48B3-8C7C-D326837981D0}" name="Column10626"/>
    <tableColumn id="10633" xr3:uid="{E1895EE7-3F9F-4065-BE6E-4C1A3F025BCB}" name="Column10627"/>
    <tableColumn id="10634" xr3:uid="{A05F5256-CD4A-47B8-A51C-AE2FA3DE1E91}" name="Column10628"/>
    <tableColumn id="10635" xr3:uid="{7D2E9576-D6D9-4C8E-97D0-359489EA94AE}" name="Column10629"/>
    <tableColumn id="10636" xr3:uid="{04F8E76D-3FD1-4BE5-96CB-14F258175012}" name="Column10630"/>
    <tableColumn id="10637" xr3:uid="{82523FD5-010D-44D3-912E-EDA2FEE5C808}" name="Column10631"/>
    <tableColumn id="10638" xr3:uid="{EE455952-8683-434F-9234-8EFD3D5F2912}" name="Column10632"/>
    <tableColumn id="10639" xr3:uid="{342E0DC6-2735-4B55-AC48-2C79786B8E60}" name="Column10633"/>
    <tableColumn id="10640" xr3:uid="{0284B819-4DEC-43B5-ADD4-EA3C86CC40B0}" name="Column10634"/>
    <tableColumn id="10641" xr3:uid="{C583585B-F718-4B35-B4C6-A84931E8AD7F}" name="Column10635"/>
    <tableColumn id="10642" xr3:uid="{37E0E513-7EF4-4540-A5E7-BBE92564E01B}" name="Column10636"/>
    <tableColumn id="10643" xr3:uid="{5DF1AF0A-4DB5-4C89-ACC3-3D0C87C592A8}" name="Column10637"/>
    <tableColumn id="10644" xr3:uid="{6D70C5C8-DD4B-4EFB-979F-EF1589701A3A}" name="Column10638"/>
    <tableColumn id="10645" xr3:uid="{1CD43535-2A9F-4835-881C-AD2629262E68}" name="Column10639"/>
    <tableColumn id="10646" xr3:uid="{C3DEB292-2969-40E0-8959-E5C4FDC4DF8B}" name="Column10640"/>
    <tableColumn id="10647" xr3:uid="{73457A0C-2523-4581-B46C-2B557A1430EF}" name="Column10641"/>
    <tableColumn id="10648" xr3:uid="{D6008C9D-B9B6-45A4-AB42-E5DC58671E23}" name="Column10642"/>
    <tableColumn id="10649" xr3:uid="{0C64E4C3-2C87-4A28-8C17-68ABAC0BCAC5}" name="Column10643"/>
    <tableColumn id="10650" xr3:uid="{F7ABE757-7AA4-4593-960D-19A329102A69}" name="Column10644"/>
    <tableColumn id="10651" xr3:uid="{639534AC-E69A-4B7F-B2D6-526B12AAD232}" name="Column10645"/>
    <tableColumn id="10652" xr3:uid="{CC99256A-7C01-4E15-9F06-BB19B06F2DD7}" name="Column10646"/>
    <tableColumn id="10653" xr3:uid="{A5EA1AD8-071D-4908-899C-6673C2A18CA8}" name="Column10647"/>
    <tableColumn id="10654" xr3:uid="{514D6078-C3DF-4474-9E79-D717C2D6237E}" name="Column10648"/>
    <tableColumn id="10655" xr3:uid="{29AA521E-3ED9-43C8-9C6E-0CAA3D965A7F}" name="Column10649"/>
    <tableColumn id="10656" xr3:uid="{61922B53-792A-4B4A-B6B8-5C95691C8D71}" name="Column10650"/>
    <tableColumn id="10657" xr3:uid="{5CC5DB36-CFF0-4AE0-91E3-4F14FD476889}" name="Column10651"/>
    <tableColumn id="10658" xr3:uid="{289C7293-8F6B-45F0-B3E5-69027EF634DF}" name="Column10652"/>
    <tableColumn id="10659" xr3:uid="{44B427DB-FA30-498A-95B6-E0E70F2B1908}" name="Column10653"/>
    <tableColumn id="10660" xr3:uid="{D42B65A5-129F-4370-B60E-EDBB7E36FE23}" name="Column10654"/>
    <tableColumn id="10661" xr3:uid="{43C4A5BB-6C4A-4001-992D-52EA7AA67022}" name="Column10655"/>
    <tableColumn id="10662" xr3:uid="{B52E2251-0022-4B8F-9BB0-9CDB780B792F}" name="Column10656"/>
    <tableColumn id="10663" xr3:uid="{03CBC532-28CA-4317-B634-AA88586B4831}" name="Column10657"/>
    <tableColumn id="10664" xr3:uid="{29853D75-9BD4-45E6-84B1-B92BC7628529}" name="Column10658"/>
    <tableColumn id="10665" xr3:uid="{719EEE72-BA53-44E2-AF02-C41717DF0C6F}" name="Column10659"/>
    <tableColumn id="10666" xr3:uid="{E5118908-6D75-4BEF-AD6D-F3C22FAF1503}" name="Column10660"/>
    <tableColumn id="10667" xr3:uid="{F5B1B08A-58C8-4008-9171-A2BA8C1AE175}" name="Column10661"/>
    <tableColumn id="10668" xr3:uid="{8093B2E4-F251-4B0C-B08B-711245D718B9}" name="Column10662"/>
    <tableColumn id="10669" xr3:uid="{763733F0-D897-42C2-A8B1-7D78853EA3E1}" name="Column10663"/>
    <tableColumn id="10670" xr3:uid="{10210E47-20A8-4EFD-9104-A633878A724F}" name="Column10664"/>
    <tableColumn id="10671" xr3:uid="{A6BBA95B-909F-4552-9CC8-130E6796752D}" name="Column10665"/>
    <tableColumn id="10672" xr3:uid="{116400CF-2D39-4DB9-BE48-F249A0C08CB8}" name="Column10666"/>
    <tableColumn id="10673" xr3:uid="{C9F29789-0D53-47D4-B4F5-71966003AC7C}" name="Column10667"/>
    <tableColumn id="10674" xr3:uid="{BE5D6120-596B-48D9-B61A-DAF4E2C5FFC8}" name="Column10668"/>
    <tableColumn id="10675" xr3:uid="{25964208-FB55-46E4-AE49-EA9679872595}" name="Column10669"/>
    <tableColumn id="10676" xr3:uid="{01ACF50C-E2AB-4E24-925E-9952C3282C55}" name="Column10670"/>
    <tableColumn id="10677" xr3:uid="{BA035A0C-C1C6-4656-92EF-68349F7F2729}" name="Column10671"/>
    <tableColumn id="10678" xr3:uid="{20586F97-835A-4AF8-A921-42B13EDD725C}" name="Column10672"/>
    <tableColumn id="10679" xr3:uid="{9EEC956A-E868-4F53-88F2-F8509BE8BA77}" name="Column10673"/>
    <tableColumn id="10680" xr3:uid="{60768C30-7B43-4967-8701-4E6FC52C0567}" name="Column10674"/>
    <tableColumn id="10681" xr3:uid="{FF838343-AE26-4FF4-974A-9C849BF35E3F}" name="Column10675"/>
    <tableColumn id="10682" xr3:uid="{AC85B4A2-A74C-497D-8158-30B4285B5B4F}" name="Column10676"/>
    <tableColumn id="10683" xr3:uid="{571A1759-6619-41C6-A175-BEF174EC61AA}" name="Column10677"/>
    <tableColumn id="10684" xr3:uid="{FCF5EE95-0510-4B35-BECB-1E09D74522A8}" name="Column10678"/>
    <tableColumn id="10685" xr3:uid="{9DF9F571-CA82-4FF5-BD06-710AB0DB7870}" name="Column10679"/>
    <tableColumn id="10686" xr3:uid="{EEF07C42-416A-4983-90BF-12BABC650C18}" name="Column10680"/>
    <tableColumn id="10687" xr3:uid="{A2DBEAD4-6290-4292-84B1-26125F6D91B6}" name="Column10681"/>
    <tableColumn id="10688" xr3:uid="{0C09FB1A-EFEC-42DA-8B5B-AD549BCB79A1}" name="Column10682"/>
    <tableColumn id="10689" xr3:uid="{79D67CC3-42BA-4A19-8F6E-2124EF57855B}" name="Column10683"/>
    <tableColumn id="10690" xr3:uid="{853DFFCA-43C1-47A3-94E5-FB586BFFBCE7}" name="Column10684"/>
    <tableColumn id="10691" xr3:uid="{4006C940-10EA-4954-B2E7-7FBE24B544CE}" name="Column10685"/>
    <tableColumn id="10692" xr3:uid="{BDDF72C9-E498-48D7-AA71-A1328CBC0973}" name="Column10686"/>
    <tableColumn id="10693" xr3:uid="{99594547-EDA2-4ABD-A1B5-CB0749047033}" name="Column10687"/>
    <tableColumn id="10694" xr3:uid="{47085A17-1A05-4A3D-A49A-87E32C7F9DD7}" name="Column10688"/>
    <tableColumn id="10695" xr3:uid="{3976DE98-FC9A-4AB3-A9F3-AA3E518E0DBC}" name="Column10689"/>
    <tableColumn id="10696" xr3:uid="{DE62397B-6123-4CDC-9A13-A9D334F5BA00}" name="Column10690"/>
    <tableColumn id="10697" xr3:uid="{C23CCCC3-4F56-4028-96A3-6699D6E42CEE}" name="Column10691"/>
    <tableColumn id="10698" xr3:uid="{76F7EA57-CDE5-4CFB-B9D0-D07B6C15FA00}" name="Column10692"/>
    <tableColumn id="10699" xr3:uid="{E2228E58-6C4C-41C0-8134-0ADCAD86B258}" name="Column10693"/>
    <tableColumn id="10700" xr3:uid="{1A8F3F27-153F-4296-BC64-F52B8CEF6BE4}" name="Column10694"/>
    <tableColumn id="10701" xr3:uid="{13A19441-1B61-47F5-8125-68A3E4496ED5}" name="Column10695"/>
    <tableColumn id="10702" xr3:uid="{C344FBB8-9C31-41ED-8B90-1AFF465A0147}" name="Column10696"/>
    <tableColumn id="10703" xr3:uid="{E8C8FC09-C9E8-4AAE-8117-63F1F8028F19}" name="Column10697"/>
    <tableColumn id="10704" xr3:uid="{6B6D18B4-BBDB-423A-8EF0-0552ABEC511D}" name="Column10698"/>
    <tableColumn id="10705" xr3:uid="{C2770664-A6CE-4725-9C60-F44CD87EB0C9}" name="Column10699"/>
    <tableColumn id="10706" xr3:uid="{FFDC17CB-2BFE-4F45-AA54-0F54583EDBF8}" name="Column10700"/>
    <tableColumn id="10707" xr3:uid="{B2354034-75A8-487F-A165-FCDAC0340EA6}" name="Column10701"/>
    <tableColumn id="10708" xr3:uid="{857976B0-E2C4-4F96-92C7-366EE0F8D021}" name="Column10702"/>
    <tableColumn id="10709" xr3:uid="{939E5AF5-299F-4C76-8CC4-E95B02D43100}" name="Column10703"/>
    <tableColumn id="10710" xr3:uid="{8B9D4507-A011-427B-9150-5D016412D74D}" name="Column10704"/>
    <tableColumn id="10711" xr3:uid="{0A6D1E09-0944-49D9-9475-BE2BECD1184F}" name="Column10705"/>
    <tableColumn id="10712" xr3:uid="{6208DD75-EF90-4804-81E3-1253F71B32AF}" name="Column10706"/>
    <tableColumn id="10713" xr3:uid="{D0150DAA-4C56-4B04-A6C3-0943FF9989FB}" name="Column10707"/>
    <tableColumn id="10714" xr3:uid="{579E2842-76FF-4B6B-B55B-5283446354E9}" name="Column10708"/>
    <tableColumn id="10715" xr3:uid="{8980A000-24A0-40E8-A4DA-15CDE8A251F5}" name="Column10709"/>
    <tableColumn id="10716" xr3:uid="{DA5DFAE9-3762-4CED-88E0-1B82679C3C81}" name="Column10710"/>
    <tableColumn id="10717" xr3:uid="{A056086D-F966-4F2F-95DA-140C1F4114A2}" name="Column10711"/>
    <tableColumn id="10718" xr3:uid="{90CE408A-D644-409C-84DD-3072661E2701}" name="Column10712"/>
    <tableColumn id="10719" xr3:uid="{63CD4EA2-E0E8-4B04-9E21-3E5ABD9A212A}" name="Column10713"/>
    <tableColumn id="10720" xr3:uid="{768C320C-EEF8-4BE6-B0D2-0D40DC241CAF}" name="Column10714"/>
    <tableColumn id="10721" xr3:uid="{0E4F0F11-CEB7-4BD9-9387-8F1FA0BC055B}" name="Column10715"/>
    <tableColumn id="10722" xr3:uid="{2795C12D-9B9A-4725-AEA4-8868E7F30D7F}" name="Column10716"/>
    <tableColumn id="10723" xr3:uid="{E46FFEFB-85EE-43CC-A34E-F84CC632BDA1}" name="Column10717"/>
    <tableColumn id="10724" xr3:uid="{99114838-8E6B-4759-A9A2-3874364440F9}" name="Column10718"/>
    <tableColumn id="10725" xr3:uid="{C73A3F59-E55F-46DD-8D59-6E4627F2A4D8}" name="Column10719"/>
    <tableColumn id="10726" xr3:uid="{3AD2531A-781A-4555-A383-63AD4C27DD81}" name="Column10720"/>
    <tableColumn id="10727" xr3:uid="{EA363C88-32D4-442D-BE30-E419E7328444}" name="Column10721"/>
    <tableColumn id="10728" xr3:uid="{A2F66D87-5652-412E-9DC8-E61A1A8E5D53}" name="Column10722"/>
    <tableColumn id="10729" xr3:uid="{2EF6D048-AE0B-4546-A41B-B97D64822C50}" name="Column10723"/>
    <tableColumn id="10730" xr3:uid="{3600E915-D080-443A-A098-7E8B422FE0A2}" name="Column10724"/>
    <tableColumn id="10731" xr3:uid="{263BABB6-2B46-472D-B5CC-2F056A0B2F08}" name="Column10725"/>
    <tableColumn id="10732" xr3:uid="{F6D4FCC0-101D-491D-98DC-C8866EBC8409}" name="Column10726"/>
    <tableColumn id="10733" xr3:uid="{53D42A65-7D1B-4F19-B23A-169855F9562C}" name="Column10727"/>
    <tableColumn id="10734" xr3:uid="{2410A94F-FD25-428A-A868-71328B3A06FA}" name="Column10728"/>
    <tableColumn id="10735" xr3:uid="{F0EF38DF-AD50-43A2-B66F-A527D281BE4F}" name="Column10729"/>
    <tableColumn id="10736" xr3:uid="{63017A14-A837-465B-8BE0-1E1CE2367B7C}" name="Column10730"/>
    <tableColumn id="10737" xr3:uid="{73850933-8ABB-45B8-9635-8CFCC440FE6F}" name="Column10731"/>
    <tableColumn id="10738" xr3:uid="{D1C291E9-B6FB-47FD-B278-25FC1C2C023F}" name="Column10732"/>
    <tableColumn id="10739" xr3:uid="{9D123DC1-EF88-4878-87BF-683837AAD862}" name="Column10733"/>
    <tableColumn id="10740" xr3:uid="{5714E8AD-99CF-447F-96CA-D3646A4AC39E}" name="Column10734"/>
    <tableColumn id="10741" xr3:uid="{2E2B3632-3AEE-4FA0-A65B-F0398D06AEFF}" name="Column10735"/>
    <tableColumn id="10742" xr3:uid="{05CA1851-1641-424D-9687-C748740E2C8B}" name="Column10736"/>
    <tableColumn id="10743" xr3:uid="{01F96B87-00F0-43CC-9016-819D0B2FA28A}" name="Column10737"/>
    <tableColumn id="10744" xr3:uid="{F30C65D2-056F-4C2F-8F0A-8D5CF097A438}" name="Column10738"/>
    <tableColumn id="10745" xr3:uid="{6A216A12-1DE2-4C4C-8C3D-3B23937134C6}" name="Column10739"/>
    <tableColumn id="10746" xr3:uid="{3D6F34E2-F244-4B7B-8B64-733F4BAD82D2}" name="Column10740"/>
    <tableColumn id="10747" xr3:uid="{89DE04B1-157F-4B0B-8320-D4318679244B}" name="Column10741"/>
    <tableColumn id="10748" xr3:uid="{615BE0A2-1CA9-4D16-863A-215E6132D753}" name="Column10742"/>
    <tableColumn id="10749" xr3:uid="{FADCB153-D50E-4511-A49C-500FAEECCD9C}" name="Column10743"/>
    <tableColumn id="10750" xr3:uid="{81E063A6-B187-4614-86AE-A0E2350F3A31}" name="Column10744"/>
    <tableColumn id="10751" xr3:uid="{9121C971-600E-48A8-A381-601F57EEF414}" name="Column10745"/>
    <tableColumn id="10752" xr3:uid="{7B73BB66-9A04-4BEA-87EF-C1C319FEFC83}" name="Column10746"/>
    <tableColumn id="10753" xr3:uid="{5F270170-CBCB-4D8F-A074-85B4D0C55043}" name="Column10747"/>
    <tableColumn id="10754" xr3:uid="{23E30F5C-161F-4CBD-89CA-36E0E0520CA1}" name="Column10748"/>
    <tableColumn id="10755" xr3:uid="{640BCF78-2078-4969-A781-15B3F3A32167}" name="Column10749"/>
    <tableColumn id="10756" xr3:uid="{209946AB-D9BF-459E-87EF-9B0B16FE867D}" name="Column10750"/>
    <tableColumn id="10757" xr3:uid="{4B2F3E00-5F07-4013-98D1-44968293B902}" name="Column10751"/>
    <tableColumn id="10758" xr3:uid="{A7F7DC43-683F-4E0D-90A6-806EA5188D74}" name="Column10752"/>
    <tableColumn id="10759" xr3:uid="{910304FD-A014-4E98-BB40-843743D9204D}" name="Column10753"/>
    <tableColumn id="10760" xr3:uid="{60C96EF3-7298-4ECF-8D75-3976B9D70693}" name="Column10754"/>
    <tableColumn id="10761" xr3:uid="{0CED3F61-FCE6-4CFD-9647-CE2D862DDD95}" name="Column10755"/>
    <tableColumn id="10762" xr3:uid="{AE7C31CF-3937-4A75-A359-7B474F8AD9B1}" name="Column10756"/>
    <tableColumn id="10763" xr3:uid="{EC10D99A-08AA-487F-9ACA-F028F2BCFB7D}" name="Column10757"/>
    <tableColumn id="10764" xr3:uid="{2B6284CD-C3A8-4DA2-A1B1-D856E0C4B07E}" name="Column10758"/>
    <tableColumn id="10765" xr3:uid="{7D5DE546-28E9-4EC8-8877-482F619CEDB1}" name="Column10759"/>
    <tableColumn id="10766" xr3:uid="{96950C3D-71FF-4119-BF0C-D61B3F814358}" name="Column10760"/>
    <tableColumn id="10767" xr3:uid="{6EBEBD5A-7188-41E9-81D6-105951BF8F8A}" name="Column10761"/>
    <tableColumn id="10768" xr3:uid="{8E7DBF9A-9877-4B55-8FA3-A711831AA94D}" name="Column10762"/>
    <tableColumn id="10769" xr3:uid="{DC1559D5-65F3-43A1-B711-89A298E5A409}" name="Column10763"/>
    <tableColumn id="10770" xr3:uid="{CDAB7FB8-9B46-481C-A517-3BD49ECA4B3D}" name="Column10764"/>
    <tableColumn id="10771" xr3:uid="{26BEB6BF-8A21-4C02-8113-EF418F9FC7E7}" name="Column10765"/>
    <tableColumn id="10772" xr3:uid="{7EF2BE83-7AC6-42D7-BF71-494E4FC901CF}" name="Column10766"/>
    <tableColumn id="10773" xr3:uid="{F7222F7B-4AB4-4681-8F22-8AC79C69DBF7}" name="Column10767"/>
    <tableColumn id="10774" xr3:uid="{0682C537-8C4B-4879-ADCD-9A98DB55B07A}" name="Column10768"/>
    <tableColumn id="10775" xr3:uid="{45927645-06EB-46AE-913C-0C8074DB5F5D}" name="Column10769"/>
    <tableColumn id="10776" xr3:uid="{9D30B720-254E-493C-A34C-251D2FA3DC89}" name="Column10770"/>
    <tableColumn id="10777" xr3:uid="{99A8675C-1D93-411C-B6DB-0EA50E3D3ECC}" name="Column10771"/>
    <tableColumn id="10778" xr3:uid="{175951B0-237B-46BA-8E09-F54384D0154C}" name="Column10772"/>
    <tableColumn id="10779" xr3:uid="{541FB8E0-9CB8-4EDE-9194-16FCE2D813DC}" name="Column10773"/>
    <tableColumn id="10780" xr3:uid="{189EA0A3-7EE7-47D1-90A9-36D9A378F2C0}" name="Column10774"/>
    <tableColumn id="10781" xr3:uid="{2F860EA0-79FB-4599-A891-0762BFE8150B}" name="Column10775"/>
    <tableColumn id="10782" xr3:uid="{F95431C1-B7BD-4FDE-89DF-A54B00595B7B}" name="Column10776"/>
    <tableColumn id="10783" xr3:uid="{B53D49C9-6866-48FB-B7C2-D397588F257C}" name="Column10777"/>
    <tableColumn id="10784" xr3:uid="{11C94C5C-A6D9-4400-89B6-CE1176374A42}" name="Column10778"/>
    <tableColumn id="10785" xr3:uid="{AC5FDDF6-CE7A-442F-A505-62B34D8E7EB6}" name="Column10779"/>
    <tableColumn id="10786" xr3:uid="{7B03BD1C-2683-426D-8197-A26475229FBB}" name="Column10780"/>
    <tableColumn id="10787" xr3:uid="{4ADDF481-5CA1-46E3-B45B-E7FF40AB5528}" name="Column10781"/>
    <tableColumn id="10788" xr3:uid="{FE5E4E67-8AFF-4734-B652-B1304515D815}" name="Column10782"/>
    <tableColumn id="10789" xr3:uid="{3C0944C7-BAD3-44E5-88E8-BD83930945ED}" name="Column10783"/>
    <tableColumn id="10790" xr3:uid="{01E1E11C-4894-4BDB-8BC1-2BECA7C3E36F}" name="Column10784"/>
    <tableColumn id="10791" xr3:uid="{00C3E32A-C6FB-4E29-A30D-E51E5D47A78C}" name="Column10785"/>
    <tableColumn id="10792" xr3:uid="{17D335D7-ED55-4733-9113-F8DFCB037FE7}" name="Column10786"/>
    <tableColumn id="10793" xr3:uid="{2F26ACD9-7A38-4DD7-A026-B46000D66120}" name="Column10787"/>
    <tableColumn id="10794" xr3:uid="{1D5C5632-15EE-4923-B719-532C76B16791}" name="Column10788"/>
    <tableColumn id="10795" xr3:uid="{2A6CF634-C584-4106-9929-D10FC32057CC}" name="Column10789"/>
    <tableColumn id="10796" xr3:uid="{1B4773C0-25F0-4CF8-81B2-3CE726995279}" name="Column10790"/>
    <tableColumn id="10797" xr3:uid="{EE47A790-7730-4B71-A134-772A3067C034}" name="Column10791"/>
    <tableColumn id="10798" xr3:uid="{2FAC4360-B342-42DF-BB84-9CDB81CF61B3}" name="Column10792"/>
    <tableColumn id="10799" xr3:uid="{E65A2193-4ACE-4C07-B9E8-AC1497052B3B}" name="Column10793"/>
    <tableColumn id="10800" xr3:uid="{543CE024-8E68-49C7-B6D5-A51AC88195D2}" name="Column10794"/>
    <tableColumn id="10801" xr3:uid="{378039BB-3B59-4735-98EE-CAE674CE7CC5}" name="Column10795"/>
    <tableColumn id="10802" xr3:uid="{0E998D86-7346-4C6A-B232-D5176BC2FD27}" name="Column10796"/>
    <tableColumn id="10803" xr3:uid="{14EF07D4-138F-4870-AC7E-E0F42188C0F1}" name="Column10797"/>
    <tableColumn id="10804" xr3:uid="{F7538A26-4986-4AE4-8355-2833C92CB6B2}" name="Column10798"/>
    <tableColumn id="10805" xr3:uid="{66C524AC-24A6-4D56-A93B-D9E7092C82B7}" name="Column10799"/>
    <tableColumn id="10806" xr3:uid="{F968424F-620D-4B4B-A7F1-2F31277209B5}" name="Column10800"/>
    <tableColumn id="10807" xr3:uid="{31AA9549-71CB-47F4-AC87-3BEF940C9BA3}" name="Column10801"/>
    <tableColumn id="10808" xr3:uid="{679D6133-EF77-49CC-9E53-15E86C99A089}" name="Column10802"/>
    <tableColumn id="10809" xr3:uid="{B632B947-03A1-4351-AE80-DE97BB479F96}" name="Column10803"/>
    <tableColumn id="10810" xr3:uid="{F2B5AFD3-94F3-4BBE-8B53-E7AD7D9C3BD7}" name="Column10804"/>
    <tableColumn id="10811" xr3:uid="{1CCB6FFC-ACE8-4502-BFEA-05D4A0A04315}" name="Column10805"/>
    <tableColumn id="10812" xr3:uid="{33D9FCF0-0B2E-4EBC-880A-C005108C9657}" name="Column10806"/>
    <tableColumn id="10813" xr3:uid="{DFAB8124-38A1-42B1-872F-6263818C00AA}" name="Column10807"/>
    <tableColumn id="10814" xr3:uid="{0A894B73-720A-4F59-A8D0-CE52938913F7}" name="Column10808"/>
    <tableColumn id="10815" xr3:uid="{C33BA172-774D-4975-ADC6-27DC0D1BAA31}" name="Column10809"/>
    <tableColumn id="10816" xr3:uid="{E9F95CC1-BEA6-4043-99EB-10BB6DB50F6D}" name="Column10810"/>
    <tableColumn id="10817" xr3:uid="{79DBE197-B05E-4C61-A3C8-7DCCF29D6755}" name="Column10811"/>
    <tableColumn id="10818" xr3:uid="{640F964E-1FA1-4D4B-9DDC-24D34602A30B}" name="Column10812"/>
    <tableColumn id="10819" xr3:uid="{4322D054-F787-4FBF-B1B5-8B9F21CC2D29}" name="Column10813"/>
    <tableColumn id="10820" xr3:uid="{2D162419-DA70-4E0A-8DC7-411DB7D3BADC}" name="Column10814"/>
    <tableColumn id="10821" xr3:uid="{5DDC46AC-3F40-48C7-9C8E-281948E8B959}" name="Column10815"/>
    <tableColumn id="10822" xr3:uid="{BD308F43-E822-448A-A83B-8B24DCAF92D7}" name="Column10816"/>
    <tableColumn id="10823" xr3:uid="{61FB0014-1E9C-4607-B258-DFC2708F4834}" name="Column10817"/>
    <tableColumn id="10824" xr3:uid="{ABCD2A1F-BC15-4B31-AC99-9DB0AB915ED7}" name="Column10818"/>
    <tableColumn id="10825" xr3:uid="{DA3BEDE4-3458-4616-A81B-BB4B0270DCB6}" name="Column10819"/>
    <tableColumn id="10826" xr3:uid="{9179C487-3562-4B7D-88C9-A16A5B98E7D1}" name="Column10820"/>
    <tableColumn id="10827" xr3:uid="{BA551AF0-BB48-4B53-BEC1-18180968A43E}" name="Column10821"/>
    <tableColumn id="10828" xr3:uid="{D9D6B0DE-4CCA-4963-8149-99FF6A80D748}" name="Column10822"/>
    <tableColumn id="10829" xr3:uid="{21F90B78-A2E6-4212-BB94-BCC685ED078B}" name="Column10823"/>
    <tableColumn id="10830" xr3:uid="{5566B82F-5716-49C7-89BC-73BFD36F11A9}" name="Column10824"/>
    <tableColumn id="10831" xr3:uid="{C3747EAC-CD2A-401C-B676-5EED1BCC90F1}" name="Column10825"/>
    <tableColumn id="10832" xr3:uid="{1CE3BB12-4C3C-4079-A10D-BD874997C0EF}" name="Column10826"/>
    <tableColumn id="10833" xr3:uid="{9923F1CA-A69F-4213-A61A-495656423ED5}" name="Column10827"/>
    <tableColumn id="10834" xr3:uid="{472B8F2B-2B3D-4071-8200-11971D0DD412}" name="Column10828"/>
    <tableColumn id="10835" xr3:uid="{4EA5C328-1978-436F-ADD6-95A8D1E6FC20}" name="Column10829"/>
    <tableColumn id="10836" xr3:uid="{C5AFC013-19CB-4D84-8128-11761AA43532}" name="Column10830"/>
    <tableColumn id="10837" xr3:uid="{5845FD80-22EB-4CF8-8670-48210931C492}" name="Column10831"/>
    <tableColumn id="10838" xr3:uid="{C367580A-E138-4386-875B-A32650FC1D40}" name="Column10832"/>
    <tableColumn id="10839" xr3:uid="{32EE030D-EF54-46B2-AA91-26DEB311C7B8}" name="Column10833"/>
    <tableColumn id="10840" xr3:uid="{41CA3B33-10D2-4B03-9F3E-815833B0FE3E}" name="Column10834"/>
    <tableColumn id="10841" xr3:uid="{28E20884-8ABF-4F85-B9B4-C5FCF18BE4C8}" name="Column10835"/>
    <tableColumn id="10842" xr3:uid="{1EEE5B14-5B1D-4D78-97FB-F30D7A0570C3}" name="Column10836"/>
    <tableColumn id="10843" xr3:uid="{E6505253-1283-477F-90B8-E7A912D0A3B3}" name="Column10837"/>
    <tableColumn id="10844" xr3:uid="{2ECDA94A-13FB-4B3D-BF2F-3974C5841C71}" name="Column10838"/>
    <tableColumn id="10845" xr3:uid="{51390C34-2672-4BEB-BD00-AA26A3B48316}" name="Column10839"/>
    <tableColumn id="10846" xr3:uid="{C681F93E-52EC-41B3-95DF-4E0196BF5590}" name="Column10840"/>
    <tableColumn id="10847" xr3:uid="{9F0359F1-E3D2-44FF-86DA-9E1146AF8CD8}" name="Column10841"/>
    <tableColumn id="10848" xr3:uid="{9DEF5385-40A6-463D-93F3-EA0F57FF8EFA}" name="Column10842"/>
    <tableColumn id="10849" xr3:uid="{793D6D3F-CC43-4E35-8A72-9DDF2E3CFE2A}" name="Column10843"/>
    <tableColumn id="10850" xr3:uid="{319F5922-BED7-45A9-897F-37308EE5F7E5}" name="Column10844"/>
    <tableColumn id="10851" xr3:uid="{7E3B205D-362C-4E37-91D1-D5640F1570B1}" name="Column10845"/>
    <tableColumn id="10852" xr3:uid="{F78A68D1-E700-4B6F-91AF-F2CB7106E766}" name="Column10846"/>
    <tableColumn id="10853" xr3:uid="{0B00D679-ABA1-433C-9BE9-B20E757B3F94}" name="Column10847"/>
    <tableColumn id="10854" xr3:uid="{221A9D6F-DDC0-48C1-9677-902334650940}" name="Column10848"/>
    <tableColumn id="10855" xr3:uid="{D54C29EA-BEA1-4B43-BFE5-DBF943A97B3E}" name="Column10849"/>
    <tableColumn id="10856" xr3:uid="{BCA265C0-5F80-4FF3-B44C-942E4D566B76}" name="Column10850"/>
    <tableColumn id="10857" xr3:uid="{414B1243-B737-4A62-8500-E13F1472301B}" name="Column10851"/>
    <tableColumn id="10858" xr3:uid="{6776749B-4C0C-4537-9BD3-BDA586842B6C}" name="Column10852"/>
    <tableColumn id="10859" xr3:uid="{E2220B73-B2EA-482B-BCBB-6EC82C83EF1D}" name="Column10853"/>
    <tableColumn id="10860" xr3:uid="{33017945-6F22-45E1-AF10-F4B78E0225F3}" name="Column10854"/>
    <tableColumn id="10861" xr3:uid="{E68C233F-E48C-4140-8AA0-D3A42F0517FD}" name="Column10855"/>
    <tableColumn id="10862" xr3:uid="{450909C9-64C8-418B-A95C-F894562C2A20}" name="Column10856"/>
    <tableColumn id="10863" xr3:uid="{E76AEC9F-FDFC-4DA4-968D-F04F75097A50}" name="Column10857"/>
    <tableColumn id="10864" xr3:uid="{28203A01-0C92-4F21-99D3-A483CB614CC8}" name="Column10858"/>
    <tableColumn id="10865" xr3:uid="{1E08FF7F-950B-47EB-B044-2F51794D997E}" name="Column10859"/>
    <tableColumn id="10866" xr3:uid="{4972B47B-7AB4-4199-BFDA-B333F6060DE6}" name="Column10860"/>
    <tableColumn id="10867" xr3:uid="{9BB7A02E-9CF7-4EB6-88D6-4D34600CF2C2}" name="Column10861"/>
    <tableColumn id="10868" xr3:uid="{0D748F39-18D9-4E34-9D97-7E6438EEAB0E}" name="Column10862"/>
    <tableColumn id="10869" xr3:uid="{4352C710-4FCF-42CE-9747-64FC6517B284}" name="Column10863"/>
    <tableColumn id="10870" xr3:uid="{0CE37D7F-2C83-4A9B-96CF-BAF0FD48586A}" name="Column10864"/>
    <tableColumn id="10871" xr3:uid="{CA0C6CAC-D326-4007-B6FF-DCFD5E07B305}" name="Column10865"/>
    <tableColumn id="10872" xr3:uid="{4D386502-E657-41BC-A561-231AAC6247C3}" name="Column10866"/>
    <tableColumn id="10873" xr3:uid="{06550D31-96E2-48ED-B7F8-E26E4E6C8A4C}" name="Column10867"/>
    <tableColumn id="10874" xr3:uid="{3FEBB1CD-AD45-45AD-A9B8-827FCBB6B8A0}" name="Column10868"/>
    <tableColumn id="10875" xr3:uid="{847AB0D8-1F1E-4038-AE21-8B7CF50FDFCA}" name="Column10869"/>
    <tableColumn id="10876" xr3:uid="{80E0290B-9147-4318-9B7D-5962EBEEB5B1}" name="Column10870"/>
    <tableColumn id="10877" xr3:uid="{A9784F42-0465-43FE-90E8-FF741C9C0BCA}" name="Column10871"/>
    <tableColumn id="10878" xr3:uid="{E72C3C77-024B-4313-879F-9FC5B689CE64}" name="Column10872"/>
    <tableColumn id="10879" xr3:uid="{35C0CBB5-7907-460C-B522-0C61074ACDDC}" name="Column10873"/>
    <tableColumn id="10880" xr3:uid="{28593CE1-2C98-4708-AC18-BC94E88EBE4C}" name="Column10874"/>
    <tableColumn id="10881" xr3:uid="{5C988DD7-EB87-4276-86CA-9835B411E000}" name="Column10875"/>
    <tableColumn id="10882" xr3:uid="{81F080D9-050A-4AD1-AD19-4AA7EFB4430E}" name="Column10876"/>
    <tableColumn id="10883" xr3:uid="{992010CB-E123-44FD-B370-2CCA3F6A80E4}" name="Column10877"/>
    <tableColumn id="10884" xr3:uid="{27086FF7-E31D-438C-99FA-C8E14B379942}" name="Column10878"/>
    <tableColumn id="10885" xr3:uid="{69A14CE7-E929-4E59-A6B6-C3291E85C503}" name="Column10879"/>
    <tableColumn id="10886" xr3:uid="{29A0F272-4A7C-4919-9318-4C2D57D0D3C2}" name="Column10880"/>
    <tableColumn id="10887" xr3:uid="{CE529962-3D0C-479C-B9F3-DFFD62C41084}" name="Column10881"/>
    <tableColumn id="10888" xr3:uid="{D5865C41-677A-4F43-9A7C-A85847D01D99}" name="Column10882"/>
    <tableColumn id="10889" xr3:uid="{519FC2E6-A447-4F8F-B460-61251AC12283}" name="Column10883"/>
    <tableColumn id="10890" xr3:uid="{6DF02AAA-B208-4582-96D2-8665605F8AB5}" name="Column10884"/>
    <tableColumn id="10891" xr3:uid="{B2EAE392-1B20-47FE-B6ED-CEF887E73B23}" name="Column10885"/>
    <tableColumn id="10892" xr3:uid="{AB0C20EB-3E39-4438-ACAD-D5EE15A3CB15}" name="Column10886"/>
    <tableColumn id="10893" xr3:uid="{E0AE2A2A-6BB1-4D6B-9693-D7DF312BC32D}" name="Column10887"/>
    <tableColumn id="10894" xr3:uid="{A3DE0EAC-B57E-4530-9FDD-C44F86471A71}" name="Column10888"/>
    <tableColumn id="10895" xr3:uid="{4C47D9AD-60FC-4FC0-97A9-FF3E35CD6D50}" name="Column10889"/>
    <tableColumn id="10896" xr3:uid="{7A0E2FE7-6A2F-409B-8A43-710924894EE3}" name="Column10890"/>
    <tableColumn id="10897" xr3:uid="{3EA7A6D5-AD3B-4DCF-9F1B-679AD38E9A14}" name="Column10891"/>
    <tableColumn id="10898" xr3:uid="{D1B957A2-EE30-47A3-91CD-9F3F161D509F}" name="Column10892"/>
    <tableColumn id="10899" xr3:uid="{C6C60A4C-F1E4-4A07-9281-8607E8E8C8E0}" name="Column10893"/>
    <tableColumn id="10900" xr3:uid="{41FA9823-95E3-4CEE-83F5-D727FF00D420}" name="Column10894"/>
    <tableColumn id="10901" xr3:uid="{85636293-5DC9-46A1-8A3B-501C94574BAE}" name="Column10895"/>
    <tableColumn id="10902" xr3:uid="{96F4A112-1148-409F-B4B6-230096A9A155}" name="Column10896"/>
    <tableColumn id="10903" xr3:uid="{45265156-F6AC-4998-8A8F-D8DEE2EC34AA}" name="Column10897"/>
    <tableColumn id="10904" xr3:uid="{5FF66ED3-16DB-4E3B-8C8F-8E3E66A622E0}" name="Column10898"/>
    <tableColumn id="10905" xr3:uid="{47FE5966-A695-46A9-AD04-0856905612AE}" name="Column10899"/>
    <tableColumn id="10906" xr3:uid="{8BF115CA-B251-42F9-841E-7087363D535F}" name="Column10900"/>
    <tableColumn id="10907" xr3:uid="{293C298D-1F3C-4D82-9A99-03706C6B1910}" name="Column10901"/>
    <tableColumn id="10908" xr3:uid="{78A76518-EDAB-4FF2-BA20-A593845E79A2}" name="Column10902"/>
    <tableColumn id="10909" xr3:uid="{C7A6583A-EC5A-4F25-92FE-A0634B8A595F}" name="Column10903"/>
    <tableColumn id="10910" xr3:uid="{E0DBFB11-27A3-426A-B823-C3A8466EDF4B}" name="Column10904"/>
    <tableColumn id="10911" xr3:uid="{056D733D-05A8-4C2E-BFE6-CD22DAE4A8DB}" name="Column10905"/>
    <tableColumn id="10912" xr3:uid="{1A5FAEC7-2D18-41B0-BA96-14D2C1779BD2}" name="Column10906"/>
    <tableColumn id="10913" xr3:uid="{7CDA789C-AD7C-46CD-9AEC-B29A11B6256E}" name="Column10907"/>
    <tableColumn id="10914" xr3:uid="{DF1B3952-F2C5-4C08-AA8B-21A6A324CCB3}" name="Column10908"/>
    <tableColumn id="10915" xr3:uid="{9F8C97FD-0BCE-4959-A707-E68D2EC76675}" name="Column10909"/>
    <tableColumn id="10916" xr3:uid="{A8CC0A8A-ED5F-4114-93AA-D186EB3F9C82}" name="Column10910"/>
    <tableColumn id="10917" xr3:uid="{E29DC97D-2C6E-4D13-A152-648F8FDBDA53}" name="Column10911"/>
    <tableColumn id="10918" xr3:uid="{BCD67A0E-D620-499C-8447-369D3423BA3D}" name="Column10912"/>
    <tableColumn id="10919" xr3:uid="{E070EB0C-35AB-4DC7-82D2-2E0A454B0695}" name="Column10913"/>
    <tableColumn id="10920" xr3:uid="{D8BB32D8-4CFD-4828-8330-5FA91FE6BDB4}" name="Column10914"/>
    <tableColumn id="10921" xr3:uid="{3F7A1658-480A-42DA-B403-830B92306B0D}" name="Column10915"/>
    <tableColumn id="10922" xr3:uid="{5B56156A-05E7-4A56-BADE-4811651C3776}" name="Column10916"/>
    <tableColumn id="10923" xr3:uid="{4A10E521-AD7A-458B-BD06-E786CE59EDAF}" name="Column10917"/>
    <tableColumn id="10924" xr3:uid="{74068132-930B-4D61-9BE8-EFF34697481E}" name="Column10918"/>
    <tableColumn id="10925" xr3:uid="{B490CE63-C923-4309-B0ED-30F34BFF56BF}" name="Column10919"/>
    <tableColumn id="10926" xr3:uid="{CEC15365-03D5-4F79-8773-33129F12884D}" name="Column10920"/>
    <tableColumn id="10927" xr3:uid="{43811BB5-6C74-4C84-BE45-F69497E27A4E}" name="Column10921"/>
    <tableColumn id="10928" xr3:uid="{BB4F51C2-6224-4C80-9D88-9D4D2159223E}" name="Column10922"/>
    <tableColumn id="10929" xr3:uid="{522BF3E4-6E80-4F30-9587-3410F7342AEF}" name="Column10923"/>
    <tableColumn id="10930" xr3:uid="{3E4CE4CF-E41D-4556-8B91-A05DBB7D3CF1}" name="Column10924"/>
    <tableColumn id="10931" xr3:uid="{C527B048-BA81-4A9F-A777-E73FF41F1D9B}" name="Column10925"/>
    <tableColumn id="10932" xr3:uid="{2FC19E3B-0A07-4BD8-9E8F-08F20E1EE3D9}" name="Column10926"/>
    <tableColumn id="10933" xr3:uid="{946E4794-7330-4F3A-92E1-7FB884DA61A2}" name="Column10927"/>
    <tableColumn id="10934" xr3:uid="{FB81AA5F-EFDD-4809-B010-41F26561F1F9}" name="Column10928"/>
    <tableColumn id="10935" xr3:uid="{9A29CC44-25B3-48E8-934A-9D369A4D6C67}" name="Column10929"/>
    <tableColumn id="10936" xr3:uid="{FE06C694-5B4C-4975-9D8F-EA0757C745A3}" name="Column10930"/>
    <tableColumn id="10937" xr3:uid="{21627F87-65BF-4785-B64E-CC526EA0EC29}" name="Column10931"/>
    <tableColumn id="10938" xr3:uid="{23E5E5D3-C8B7-4733-8961-C400257207A4}" name="Column10932"/>
    <tableColumn id="10939" xr3:uid="{C871B31C-7A4F-426E-9DB0-6A45EF1C2158}" name="Column10933"/>
    <tableColumn id="10940" xr3:uid="{8A66A907-F0C8-496B-8DA3-AEB2F42DAEC5}" name="Column10934"/>
    <tableColumn id="10941" xr3:uid="{EC1011F6-6C03-4E30-8DD3-6B22361B1860}" name="Column10935"/>
    <tableColumn id="10942" xr3:uid="{859872B1-66E8-4CD0-B00C-0A6C9D9DCA3A}" name="Column10936"/>
    <tableColumn id="10943" xr3:uid="{E2A2CFE1-07EE-4102-A390-B417147F748A}" name="Column10937"/>
    <tableColumn id="10944" xr3:uid="{14E6018B-7022-4DB2-8F42-94217207915A}" name="Column10938"/>
    <tableColumn id="10945" xr3:uid="{627409A5-D38E-429B-879F-FE28BAF73DD2}" name="Column10939"/>
    <tableColumn id="10946" xr3:uid="{473D1CF0-54FA-44C8-8E6F-1988B22E0A44}" name="Column10940"/>
    <tableColumn id="10947" xr3:uid="{FE7BC1F3-1CB7-4060-B143-EBB7926CFBD4}" name="Column10941"/>
    <tableColumn id="10948" xr3:uid="{C8063CC7-0521-497E-BDA3-2086E67B20A0}" name="Column10942"/>
    <tableColumn id="10949" xr3:uid="{A0F3292D-9C2C-41B1-A5C6-C77C0DA73219}" name="Column10943"/>
    <tableColumn id="10950" xr3:uid="{CDFACEEE-4CE5-49EB-AB21-D1B0D02F2D0B}" name="Column10944"/>
    <tableColumn id="10951" xr3:uid="{C89FFCFE-C6A3-4F55-80F6-718CD67155E1}" name="Column10945"/>
    <tableColumn id="10952" xr3:uid="{F1CEEE4D-ED1A-4A00-AC7A-DBA5D1E6C3EA}" name="Column10946"/>
    <tableColumn id="10953" xr3:uid="{DAE92F39-0A8F-46D8-BDD2-35C5415B1911}" name="Column10947"/>
    <tableColumn id="10954" xr3:uid="{79947785-CA81-42BB-AB70-A569C5B08B3A}" name="Column10948"/>
    <tableColumn id="10955" xr3:uid="{8AA4B8BA-9162-42B3-97F5-B4F68BCC9877}" name="Column10949"/>
    <tableColumn id="10956" xr3:uid="{F6C973FA-3582-48D5-88B7-0C230E1C8FDA}" name="Column10950"/>
    <tableColumn id="10957" xr3:uid="{94380DEF-89FE-4B7D-A3D2-0FD16CA46292}" name="Column10951"/>
    <tableColumn id="10958" xr3:uid="{C3037C76-1C7B-405C-BAEC-65B013B0B068}" name="Column10952"/>
    <tableColumn id="10959" xr3:uid="{F4F78D8D-9A1D-4BD2-8BD4-76C60DB853DD}" name="Column10953"/>
    <tableColumn id="10960" xr3:uid="{CE6F317E-7A89-4562-A049-427C7438A08B}" name="Column10954"/>
    <tableColumn id="10961" xr3:uid="{F14122CF-C2CF-43D2-AE41-D2076D9B5ED4}" name="Column10955"/>
    <tableColumn id="10962" xr3:uid="{FE3868F6-CFBC-4822-9DD0-036274440AB9}" name="Column10956"/>
    <tableColumn id="10963" xr3:uid="{307B6DAE-6156-42EF-81E3-00DA6DD36A41}" name="Column10957"/>
    <tableColumn id="10964" xr3:uid="{99584246-841F-4D7A-B4B7-7E5E1EC39FFB}" name="Column10958"/>
    <tableColumn id="10965" xr3:uid="{3B5B9B08-77C5-4025-B778-973FA311CCCC}" name="Column10959"/>
    <tableColumn id="10966" xr3:uid="{91A220D5-0B62-4DC8-ACAF-58D2604B5288}" name="Column10960"/>
    <tableColumn id="10967" xr3:uid="{F50B6A5A-3669-4DBD-86CF-01384BCEFCA1}" name="Column10961"/>
    <tableColumn id="10968" xr3:uid="{6BA4EB89-9F2D-4CF3-B79F-A66D6F3AEFA3}" name="Column10962"/>
    <tableColumn id="10969" xr3:uid="{7146F6AF-EC6B-4DBD-BAEE-9D12FDF6E4FC}" name="Column10963"/>
    <tableColumn id="10970" xr3:uid="{0EE0CD3A-515A-4FDF-9FB8-6A4D0ECB9853}" name="Column10964"/>
    <tableColumn id="10971" xr3:uid="{1560CA77-9BBF-4344-B3AA-794A70C69315}" name="Column10965"/>
    <tableColumn id="10972" xr3:uid="{0DB09D6C-A370-4DDB-9EC1-34C70547A8D8}" name="Column10966"/>
    <tableColumn id="10973" xr3:uid="{EFE9CC9A-8353-431F-AD44-7D6E32DF12D4}" name="Column10967"/>
    <tableColumn id="10974" xr3:uid="{BA2F0DFB-4C6B-435E-88C3-EAE22531A142}" name="Column10968"/>
    <tableColumn id="10975" xr3:uid="{93E41CD2-00B5-4364-903F-2C7B67F880DF}" name="Column10969"/>
    <tableColumn id="10976" xr3:uid="{3967E22A-4B7C-4D1F-A06A-6F0A4466E7D1}" name="Column10970"/>
    <tableColumn id="10977" xr3:uid="{8754551B-593C-48F1-8561-5D1725197DE0}" name="Column10971"/>
    <tableColumn id="10978" xr3:uid="{0D43D0E9-96DE-4E98-9856-FE2E22029901}" name="Column10972"/>
    <tableColumn id="10979" xr3:uid="{9F8C77E9-2F09-4E04-9F6B-A872E6A69046}" name="Column10973"/>
    <tableColumn id="10980" xr3:uid="{96B5B9BC-0A22-4B31-A3AC-7AB3E3579316}" name="Column10974"/>
    <tableColumn id="10981" xr3:uid="{9A72CE5F-6263-45FB-BA24-05AD1D48511C}" name="Column10975"/>
    <tableColumn id="10982" xr3:uid="{17929FF8-0935-4A8D-9CAD-93C3304D14B4}" name="Column10976"/>
    <tableColumn id="10983" xr3:uid="{865FA1D7-1B95-4361-8B5B-7A6EC9541986}" name="Column10977"/>
    <tableColumn id="10984" xr3:uid="{923D7224-BE80-4E82-B969-015932304481}" name="Column10978"/>
    <tableColumn id="10985" xr3:uid="{77BC1E4C-00CC-418C-B20E-BEA2ED841DE8}" name="Column10979"/>
    <tableColumn id="10986" xr3:uid="{0937D241-F174-4DC5-84C8-8668A51CE1DC}" name="Column10980"/>
    <tableColumn id="10987" xr3:uid="{FD3E2E4E-C474-461B-9EB8-25CE563F57DD}" name="Column10981"/>
    <tableColumn id="10988" xr3:uid="{EBD710EE-E3FF-4ACB-8D26-81B1FEDC2120}" name="Column10982"/>
    <tableColumn id="10989" xr3:uid="{5FAAD475-AE9C-4A2B-BD3E-CB57926360F5}" name="Column10983"/>
    <tableColumn id="10990" xr3:uid="{82296D77-3C42-4C90-9A8A-0B56EF65F5AA}" name="Column10984"/>
    <tableColumn id="10991" xr3:uid="{1432C2FA-638D-47D6-A9F4-D8A67D4C98F8}" name="Column10985"/>
    <tableColumn id="10992" xr3:uid="{6FD36C4C-6FB2-4EBC-8281-35349BD0F2A2}" name="Column10986"/>
    <tableColumn id="10993" xr3:uid="{3F090F53-420F-4A44-8EAA-E45572F2B789}" name="Column10987"/>
    <tableColumn id="10994" xr3:uid="{E3CA2060-B1D0-49B9-919F-F0DC4764079F}" name="Column10988"/>
    <tableColumn id="10995" xr3:uid="{70B4BE3E-207D-48B0-A7C1-AA2C8B5A0E9E}" name="Column10989"/>
    <tableColumn id="10996" xr3:uid="{496C12A7-0F4B-4D4F-B5F8-79F3EA8344E2}" name="Column10990"/>
    <tableColumn id="10997" xr3:uid="{97B580A3-ACF4-4128-ADAE-8E320FF8849B}" name="Column10991"/>
    <tableColumn id="10998" xr3:uid="{4971A45C-10D7-4D5B-92B0-F3A9E750DCB8}" name="Column10992"/>
    <tableColumn id="10999" xr3:uid="{A422CDE8-B318-454C-9C65-11AC5D0BEE25}" name="Column10993"/>
    <tableColumn id="11000" xr3:uid="{320F3537-C7D7-48BA-9690-4CDB1990172C}" name="Column10994"/>
    <tableColumn id="11001" xr3:uid="{A0687BBE-66CF-4393-83D1-BF1A1AC7E8B4}" name="Column10995"/>
    <tableColumn id="11002" xr3:uid="{A4E1EB80-D70E-4AC4-B7B7-26CD2253BE8A}" name="Column10996"/>
    <tableColumn id="11003" xr3:uid="{E6A41C01-13CA-40DC-A31F-21F72F8971A0}" name="Column10997"/>
    <tableColumn id="11004" xr3:uid="{BBD7C219-E44A-42D5-8FC6-DE08C3C627F8}" name="Column10998"/>
    <tableColumn id="11005" xr3:uid="{DBC8BC69-6014-4551-967E-6CA3E80E2167}" name="Column10999"/>
    <tableColumn id="11006" xr3:uid="{A5DB3570-1393-410F-BEE6-B81E27052616}" name="Column11000"/>
    <tableColumn id="11007" xr3:uid="{8CD8494A-3544-4F22-93C5-6763042055C5}" name="Column11001"/>
    <tableColumn id="11008" xr3:uid="{E7567259-4CCE-406B-9081-99B53849D215}" name="Column11002"/>
    <tableColumn id="11009" xr3:uid="{6E0FE4A4-E1A2-48FE-BD6B-5D536870C493}" name="Column11003"/>
    <tableColumn id="11010" xr3:uid="{5085D90F-489A-4A33-9026-DB34B8A59003}" name="Column11004"/>
    <tableColumn id="11011" xr3:uid="{FEFEF37E-3491-460C-B7A3-07F9CDB7C8AB}" name="Column11005"/>
    <tableColumn id="11012" xr3:uid="{A97070E2-7A67-4645-9EB9-0BC1CCBED04B}" name="Column11006"/>
    <tableColumn id="11013" xr3:uid="{4663C2A7-F184-45BE-A064-E7BF175D93CE}" name="Column11007"/>
    <tableColumn id="11014" xr3:uid="{A9D42F58-48BC-4495-89EB-444E6943132D}" name="Column11008"/>
    <tableColumn id="11015" xr3:uid="{707A090B-1CCD-473A-BDD4-3044E8E63DF1}" name="Column11009"/>
    <tableColumn id="11016" xr3:uid="{62D2F944-ABA4-40A9-AC62-9188D88D48F7}" name="Column11010"/>
    <tableColumn id="11017" xr3:uid="{8E4A10F6-9CAC-47D5-B9CE-2259AB96C0E8}" name="Column11011"/>
    <tableColumn id="11018" xr3:uid="{81DCB806-3C7B-486F-82AB-DDCE8D07EC51}" name="Column11012"/>
    <tableColumn id="11019" xr3:uid="{772E4322-6953-4BB1-BF28-BC2540A6C588}" name="Column11013"/>
    <tableColumn id="11020" xr3:uid="{77DE4D29-9827-4B72-9FD0-6180767E5C56}" name="Column11014"/>
    <tableColumn id="11021" xr3:uid="{41DAD055-779E-4B12-A404-B939F569A0DE}" name="Column11015"/>
    <tableColumn id="11022" xr3:uid="{204CE896-11B0-4474-B766-1D4BB0C9FE7B}" name="Column11016"/>
    <tableColumn id="11023" xr3:uid="{D4C12508-57D1-4A83-8893-DEE57CD4C28C}" name="Column11017"/>
    <tableColumn id="11024" xr3:uid="{1B82881D-A357-4893-961E-5AFB7A5E3BCC}" name="Column11018"/>
    <tableColumn id="11025" xr3:uid="{0909948B-D21C-477C-8A62-2B317B912277}" name="Column11019"/>
    <tableColumn id="11026" xr3:uid="{A1506D86-6588-4ADD-A800-0FB6AB396FCF}" name="Column11020"/>
    <tableColumn id="11027" xr3:uid="{EB14EE3A-D920-4A4F-AD29-598AD13DE246}" name="Column11021"/>
    <tableColumn id="11028" xr3:uid="{4E89F352-1004-4F24-ABBA-B2F07BCB6AC6}" name="Column11022"/>
    <tableColumn id="11029" xr3:uid="{00C90E6F-8E08-489A-AFC1-A573AD85B3D1}" name="Column11023"/>
    <tableColumn id="11030" xr3:uid="{A87B6947-A036-4B2E-A61A-F158909096F7}" name="Column11024"/>
    <tableColumn id="11031" xr3:uid="{AC419890-D2C8-4626-AA11-272164B8A3C3}" name="Column11025"/>
    <tableColumn id="11032" xr3:uid="{9F4B926B-577C-45FC-BD69-08F59B70AE8B}" name="Column11026"/>
    <tableColumn id="11033" xr3:uid="{62C8911F-4FF3-4285-998C-2D1C5CF5209F}" name="Column11027"/>
    <tableColumn id="11034" xr3:uid="{D42BFB65-9284-4EF2-85BE-BCF4ABCDFC9D}" name="Column11028"/>
    <tableColumn id="11035" xr3:uid="{22CCA5C8-EB5E-420F-BE3C-AF8F28DBFCA9}" name="Column11029"/>
    <tableColumn id="11036" xr3:uid="{7DD82C7A-1BF8-42D1-94DF-17AD8C280652}" name="Column11030"/>
    <tableColumn id="11037" xr3:uid="{E0CA40F6-3FEE-4725-8E40-C5B3DE54A703}" name="Column11031"/>
    <tableColumn id="11038" xr3:uid="{5C962843-E993-4651-B59C-14471B0DBFF4}" name="Column11032"/>
    <tableColumn id="11039" xr3:uid="{C451259A-1188-4D58-BFFD-515193ED0B52}" name="Column11033"/>
    <tableColumn id="11040" xr3:uid="{F8A04092-AF7F-4386-91F7-2143CC184E80}" name="Column11034"/>
    <tableColumn id="11041" xr3:uid="{FD115BFE-A9F3-4D1A-8D84-D22C29D03B95}" name="Column11035"/>
    <tableColumn id="11042" xr3:uid="{58294300-B7E6-4446-B89B-E4AF4BB697CC}" name="Column11036"/>
    <tableColumn id="11043" xr3:uid="{B731C82E-8EAB-4F64-8545-E60CAE666176}" name="Column11037"/>
    <tableColumn id="11044" xr3:uid="{21B94A89-D1EA-49E3-9FC2-E586C255C9DD}" name="Column11038"/>
    <tableColumn id="11045" xr3:uid="{D2BEBD70-B322-462F-AEEE-CDF648367017}" name="Column11039"/>
    <tableColumn id="11046" xr3:uid="{2136039A-8000-4619-9641-F0FC0AF580AC}" name="Column11040"/>
    <tableColumn id="11047" xr3:uid="{782B7464-7C06-43AA-BE3C-96606F324626}" name="Column11041"/>
    <tableColumn id="11048" xr3:uid="{3668A8DB-BFCF-43FB-8C6B-DF58111C3557}" name="Column11042"/>
    <tableColumn id="11049" xr3:uid="{65EA6023-159F-43EA-8977-CC990DEF2F70}" name="Column11043"/>
    <tableColumn id="11050" xr3:uid="{25AE37D8-2795-401E-90A1-E703E99982EC}" name="Column11044"/>
    <tableColumn id="11051" xr3:uid="{2A6BA1B1-67DB-437C-93A8-EB6D5B5CD7A0}" name="Column11045"/>
    <tableColumn id="11052" xr3:uid="{CAA2BDD5-D7F1-4C99-B979-5EE2ADF468DD}" name="Column11046"/>
    <tableColumn id="11053" xr3:uid="{5ECDF0BC-F8A8-4F52-BB92-62D9AA0B0BD0}" name="Column11047"/>
    <tableColumn id="11054" xr3:uid="{0F4B5B03-B1BE-46A3-AE6A-CA22D642F275}" name="Column11048"/>
    <tableColumn id="11055" xr3:uid="{6AD8EBDB-5E50-45E1-A107-2B1E7E1E6FD3}" name="Column11049"/>
    <tableColumn id="11056" xr3:uid="{57C6F255-9F38-4A84-8BDA-01844E81C137}" name="Column11050"/>
    <tableColumn id="11057" xr3:uid="{499EBA96-C379-489C-AD78-433908F395DF}" name="Column11051"/>
    <tableColumn id="11058" xr3:uid="{D4D89E1A-6496-46E5-AE06-C2C93278F2C2}" name="Column11052"/>
    <tableColumn id="11059" xr3:uid="{BEF2266A-693C-4423-B299-F934C76F6B1B}" name="Column11053"/>
    <tableColumn id="11060" xr3:uid="{2A58C9A6-D2E5-4CF2-9F4C-FE687C3EB12B}" name="Column11054"/>
    <tableColumn id="11061" xr3:uid="{432AB139-D07E-44F3-86AA-D25503EC4B85}" name="Column11055"/>
    <tableColumn id="11062" xr3:uid="{6FF2EFC2-8CD6-48D6-882E-1D3A89E1D99F}" name="Column11056"/>
    <tableColumn id="11063" xr3:uid="{52371513-6A22-489F-9DC8-8CBD7180D88C}" name="Column11057"/>
    <tableColumn id="11064" xr3:uid="{439C9E3A-A620-43E0-BD03-E9BCBFF6A4D8}" name="Column11058"/>
    <tableColumn id="11065" xr3:uid="{7A375BBF-1584-4258-80FC-9D4CC16E095F}" name="Column11059"/>
    <tableColumn id="11066" xr3:uid="{25CAFC4E-CFA1-4CAF-B413-AA22B8BF92EE}" name="Column11060"/>
    <tableColumn id="11067" xr3:uid="{BE8CF86F-CA2E-4CB6-95F6-45420756AF6D}" name="Column11061"/>
    <tableColumn id="11068" xr3:uid="{9043160F-8A9E-4B11-A1AF-9F18F5E1E17B}" name="Column11062"/>
    <tableColumn id="11069" xr3:uid="{916DAC9F-1777-49D6-B8B1-427692C84849}" name="Column11063"/>
    <tableColumn id="11070" xr3:uid="{06878888-1434-4132-9457-504C12095C05}" name="Column11064"/>
    <tableColumn id="11071" xr3:uid="{C4DE1CE1-05C4-4CA1-8FE5-3460D953BB1F}" name="Column11065"/>
    <tableColumn id="11072" xr3:uid="{DBB50016-5FBB-4079-BD43-9ECAFC1434E8}" name="Column11066"/>
    <tableColumn id="11073" xr3:uid="{31538DE7-9271-472E-A66C-2406070EBC65}" name="Column11067"/>
    <tableColumn id="11074" xr3:uid="{C3A6FCFC-4817-4178-ABDE-3AA059FC8C74}" name="Column11068"/>
    <tableColumn id="11075" xr3:uid="{381C1013-8690-4ED9-A85C-6FF3D1706108}" name="Column11069"/>
    <tableColumn id="11076" xr3:uid="{C98A6AA9-5DF4-449A-9944-39F10468BDAD}" name="Column11070"/>
    <tableColumn id="11077" xr3:uid="{75313C22-923A-4F74-B653-16C78AEC896E}" name="Column11071"/>
    <tableColumn id="11078" xr3:uid="{905B2C19-024C-4906-90A5-80E62C5BCF35}" name="Column11072"/>
    <tableColumn id="11079" xr3:uid="{B2E68A2D-4E3D-4DC6-A47A-11041AC0C322}" name="Column11073"/>
    <tableColumn id="11080" xr3:uid="{10EB7386-BC73-4C4A-AB73-B6CD7EB2F27B}" name="Column11074"/>
    <tableColumn id="11081" xr3:uid="{658D76BE-78D2-4369-A9E4-46076C303EEF}" name="Column11075"/>
    <tableColumn id="11082" xr3:uid="{E8B3B58F-2ED1-4E4C-B4D5-9D2497F8056D}" name="Column11076"/>
    <tableColumn id="11083" xr3:uid="{FA325AB7-DD0E-40D7-AE66-450F6C51B27D}" name="Column11077"/>
    <tableColumn id="11084" xr3:uid="{169748C8-3E8B-435E-93B4-9972E0B3E053}" name="Column11078"/>
    <tableColumn id="11085" xr3:uid="{1BB9BC3B-6599-4DD7-8EB0-70786AAA4A1D}" name="Column11079"/>
    <tableColumn id="11086" xr3:uid="{7D94815D-4961-43A4-97C6-A6C27015AB76}" name="Column11080"/>
    <tableColumn id="11087" xr3:uid="{E8F5EE31-BAF8-414B-B869-AE9A9A6C7C78}" name="Column11081"/>
    <tableColumn id="11088" xr3:uid="{25848E79-C260-463D-8C1D-A93D2D9B0D9B}" name="Column11082"/>
    <tableColumn id="11089" xr3:uid="{C01B7B1F-4248-4180-9ABC-011EF4B9B249}" name="Column11083"/>
    <tableColumn id="11090" xr3:uid="{1513D043-EC22-4AF9-A2A8-C2C6780B8710}" name="Column11084"/>
    <tableColumn id="11091" xr3:uid="{28E11FA5-FE19-491C-B3CE-6177A07BC7E7}" name="Column11085"/>
    <tableColumn id="11092" xr3:uid="{3DB0ECD2-4DAF-457F-A852-FE1C405D5E57}" name="Column11086"/>
    <tableColumn id="11093" xr3:uid="{DE494937-49A4-4F41-9CB1-B8B8E2F9EDCB}" name="Column11087"/>
    <tableColumn id="11094" xr3:uid="{928AE9D8-32C4-40BD-8503-277EE8567B5C}" name="Column11088"/>
    <tableColumn id="11095" xr3:uid="{82A9FB9A-F440-4880-982D-283481113116}" name="Column11089"/>
    <tableColumn id="11096" xr3:uid="{BD0DB8F8-488F-4465-B686-CD725FA9736E}" name="Column11090"/>
    <tableColumn id="11097" xr3:uid="{9A927F2B-6244-45DC-B600-9FECE0A011F6}" name="Column11091"/>
    <tableColumn id="11098" xr3:uid="{A691B185-7660-4B57-B87D-D2D42BBFAD93}" name="Column11092"/>
    <tableColumn id="11099" xr3:uid="{F3B84939-ED63-4BAC-B711-F7B71DD91FF8}" name="Column11093"/>
    <tableColumn id="11100" xr3:uid="{5146E17B-35A0-4D7D-A439-051C2C60E5E9}" name="Column11094"/>
    <tableColumn id="11101" xr3:uid="{2A340B33-A93D-40C9-BC07-57CA3C6B1039}" name="Column11095"/>
    <tableColumn id="11102" xr3:uid="{08FB5D30-0EC8-450D-8CD3-15633A7DDAE4}" name="Column11096"/>
    <tableColumn id="11103" xr3:uid="{20FC448C-0610-4D0C-9CDF-C2EF2CBF1232}" name="Column11097"/>
    <tableColumn id="11104" xr3:uid="{6171D70D-FDFB-4387-AA65-45BBEE30B3CC}" name="Column11098"/>
    <tableColumn id="11105" xr3:uid="{FB91B2E7-7B62-48D1-B497-CBEADC54D50E}" name="Column11099"/>
    <tableColumn id="11106" xr3:uid="{2E280D8F-35BE-4154-8356-76D9F38D4208}" name="Column11100"/>
    <tableColumn id="11107" xr3:uid="{DD2FBC1F-BCE0-4FB4-ACB6-005B80EC6A9A}" name="Column11101"/>
    <tableColumn id="11108" xr3:uid="{34AC4502-0593-402F-A7E5-D5D37B6202ED}" name="Column11102"/>
    <tableColumn id="11109" xr3:uid="{3BD433D9-954E-46D1-AFF4-7B5BA913FCBE}" name="Column11103"/>
    <tableColumn id="11110" xr3:uid="{5977BFB9-47A5-412C-9A27-DDBF242E508C}" name="Column11104"/>
    <tableColumn id="11111" xr3:uid="{33B203D0-CDC6-4A39-8F79-2220C66CB67F}" name="Column11105"/>
    <tableColumn id="11112" xr3:uid="{62D81193-E0BD-47B4-A3E6-05511D0AF577}" name="Column11106"/>
    <tableColumn id="11113" xr3:uid="{C1E12C17-8A88-4916-ADB0-044B1060E929}" name="Column11107"/>
    <tableColumn id="11114" xr3:uid="{BC58BC95-706E-499A-B818-AD4A79E6B505}" name="Column11108"/>
    <tableColumn id="11115" xr3:uid="{73E8D44F-7132-4253-9315-AFF0DA3DB614}" name="Column11109"/>
    <tableColumn id="11116" xr3:uid="{AAB0F88C-2A2E-4C81-A01F-77EFC18A9279}" name="Column11110"/>
    <tableColumn id="11117" xr3:uid="{5CCE6E4D-6F5C-475C-ABC6-1D99CBE68CBF}" name="Column11111"/>
    <tableColumn id="11118" xr3:uid="{1E2FAB95-94FA-4B3E-8E75-24A443659CAF}" name="Column11112"/>
    <tableColumn id="11119" xr3:uid="{DF323FD9-11B4-48A5-9DF0-FA9D3C273036}" name="Column11113"/>
    <tableColumn id="11120" xr3:uid="{DD129E16-00BC-4F80-B2BF-5A956C554F69}" name="Column11114"/>
    <tableColumn id="11121" xr3:uid="{781566ED-222E-4A81-A5A6-395A17F2460E}" name="Column11115"/>
    <tableColumn id="11122" xr3:uid="{1ABC467C-C8ED-442D-AAAC-0112A7E81568}" name="Column11116"/>
    <tableColumn id="11123" xr3:uid="{02606287-531E-477F-9992-F512E2FDD65C}" name="Column11117"/>
    <tableColumn id="11124" xr3:uid="{F1389FBB-23B3-407E-A6F5-3CF356879094}" name="Column11118"/>
    <tableColumn id="11125" xr3:uid="{9E263491-D2AA-4B57-8CE5-03E47C633087}" name="Column11119"/>
    <tableColumn id="11126" xr3:uid="{274AAE20-039C-415F-8264-BD2471E5FB79}" name="Column11120"/>
    <tableColumn id="11127" xr3:uid="{8205E281-34BC-4351-9482-714422FFD0FD}" name="Column11121"/>
    <tableColumn id="11128" xr3:uid="{5140B2E1-4DFD-4C99-B5D9-D7E1C5736B5D}" name="Column11122"/>
    <tableColumn id="11129" xr3:uid="{37CBDA31-1E73-4825-AA3A-1A00F7EB137A}" name="Column11123"/>
    <tableColumn id="11130" xr3:uid="{A51A83A4-672E-45DC-9A74-823E91AD7C85}" name="Column11124"/>
    <tableColumn id="11131" xr3:uid="{8D0A0B2B-5090-449B-8763-E03A7AB7C54F}" name="Column11125"/>
    <tableColumn id="11132" xr3:uid="{7603113A-9015-473A-948E-71DADD93F562}" name="Column11126"/>
    <tableColumn id="11133" xr3:uid="{AB377864-2A1A-418A-A5BD-B6ABE57598C4}" name="Column11127"/>
    <tableColumn id="11134" xr3:uid="{B806C504-7BFE-458D-A46E-ACE94D082A33}" name="Column11128"/>
    <tableColumn id="11135" xr3:uid="{19849177-55BB-4668-9AA0-68203B1F870D}" name="Column11129"/>
    <tableColumn id="11136" xr3:uid="{0B42E5B2-FE34-42DC-81CD-C576D456FEAD}" name="Column11130"/>
    <tableColumn id="11137" xr3:uid="{DBAB0AFF-BE43-4EED-B54E-9B2AB389B144}" name="Column11131"/>
    <tableColumn id="11138" xr3:uid="{E6981713-4F65-43B2-9FF4-AF08B152A57C}" name="Column11132"/>
    <tableColumn id="11139" xr3:uid="{EE557192-78C9-4DD2-B4F1-E4FD949D77D9}" name="Column11133"/>
    <tableColumn id="11140" xr3:uid="{67E6DEA7-2CA4-45DE-85D4-C32BFC8AE4B9}" name="Column11134"/>
    <tableColumn id="11141" xr3:uid="{21921B3C-EB0E-42C3-984F-6D46D9FBE382}" name="Column11135"/>
    <tableColumn id="11142" xr3:uid="{46B6420E-C715-4BF1-A17B-2FA9798B3436}" name="Column11136"/>
    <tableColumn id="11143" xr3:uid="{622064A8-F09F-4756-A1B0-59632E29027D}" name="Column11137"/>
    <tableColumn id="11144" xr3:uid="{D9E03CC5-6B3E-4134-8066-6C1335798B3B}" name="Column11138"/>
    <tableColumn id="11145" xr3:uid="{838E3E78-B12A-4A5A-8D11-6B52F6F8FE91}" name="Column11139"/>
    <tableColumn id="11146" xr3:uid="{3FB2674A-1717-4184-BB79-9BC923B4C6F6}" name="Column11140"/>
    <tableColumn id="11147" xr3:uid="{04A850B5-7FDE-4278-8F7F-29A844F14EDD}" name="Column11141"/>
    <tableColumn id="11148" xr3:uid="{FA82F7BD-37FF-4CC4-8065-6511C956B692}" name="Column11142"/>
    <tableColumn id="11149" xr3:uid="{C836DADA-8788-4A79-BE8F-C60968479B6A}" name="Column11143"/>
    <tableColumn id="11150" xr3:uid="{71F32615-B214-4681-9E26-57C0517E2681}" name="Column11144"/>
    <tableColumn id="11151" xr3:uid="{B86CC6DF-0DB8-4AFF-BBAA-044DD54C4DCA}" name="Column11145"/>
    <tableColumn id="11152" xr3:uid="{7E9CEF89-4E39-46BF-93F8-454CC66D0B06}" name="Column11146"/>
    <tableColumn id="11153" xr3:uid="{44E27F50-A4DA-4B70-BA71-FB77683716D8}" name="Column11147"/>
    <tableColumn id="11154" xr3:uid="{13AED5D4-1303-4CE6-AEFD-221AE001A5B5}" name="Column11148"/>
    <tableColumn id="11155" xr3:uid="{16E03CBB-FEDB-4056-A509-7F9656695AE7}" name="Column11149"/>
    <tableColumn id="11156" xr3:uid="{14360076-0069-4184-BE2C-368820BE3F83}" name="Column11150"/>
    <tableColumn id="11157" xr3:uid="{22A9B905-5879-433E-BABE-3836ACEF794D}" name="Column11151"/>
    <tableColumn id="11158" xr3:uid="{A5DA6CDA-F12F-46C3-A67E-D08D4C903DAF}" name="Column11152"/>
    <tableColumn id="11159" xr3:uid="{2DC4ED85-A50D-4E5E-A77F-56522628C1DB}" name="Column11153"/>
    <tableColumn id="11160" xr3:uid="{9F2B2C48-060C-41F3-A675-F6AEEAD7A654}" name="Column11154"/>
    <tableColumn id="11161" xr3:uid="{B5844247-0F4F-4A4E-92CD-7D01682C2FE9}" name="Column11155"/>
    <tableColumn id="11162" xr3:uid="{01389D89-B45F-4A44-87EE-8CD9139DF1BF}" name="Column11156"/>
    <tableColumn id="11163" xr3:uid="{A6CBF23C-1DF2-4007-8F96-F3ED99607A98}" name="Column11157"/>
    <tableColumn id="11164" xr3:uid="{BF00B4A0-1C68-48A8-BCF1-6D00B054456A}" name="Column11158"/>
    <tableColumn id="11165" xr3:uid="{080F8276-80E9-487E-8698-34FC1C79CA93}" name="Column11159"/>
    <tableColumn id="11166" xr3:uid="{1769CD65-E86B-468A-A3F7-44C0F048C555}" name="Column11160"/>
    <tableColumn id="11167" xr3:uid="{AD985EB7-5B94-488B-8C2D-A704795FB881}" name="Column11161"/>
    <tableColumn id="11168" xr3:uid="{1C5E0D3C-8DD1-49CE-A002-721E8AAC8336}" name="Column11162"/>
    <tableColumn id="11169" xr3:uid="{823F47F4-DE18-44E2-8140-F580D200B26A}" name="Column11163"/>
    <tableColumn id="11170" xr3:uid="{FDCFFD5C-651C-43B2-82F9-927592B8CE14}" name="Column11164"/>
    <tableColumn id="11171" xr3:uid="{19EF5EDA-621E-4C16-9D6B-309EC92C0293}" name="Column11165"/>
    <tableColumn id="11172" xr3:uid="{7E4CE91E-629A-47B9-9D78-1A55B5A6A994}" name="Column11166"/>
    <tableColumn id="11173" xr3:uid="{3D0DFBA9-DBC9-46A2-BAA5-DA8279AC47E4}" name="Column11167"/>
    <tableColumn id="11174" xr3:uid="{E1E041FF-3A1F-423A-A154-D46B040BCA86}" name="Column11168"/>
    <tableColumn id="11175" xr3:uid="{C0216BA4-EAF5-4563-94D7-1F70A3E4CEE5}" name="Column11169"/>
    <tableColumn id="11176" xr3:uid="{12785687-2FD6-4346-9C9C-FA07637F8EC2}" name="Column11170"/>
    <tableColumn id="11177" xr3:uid="{6653FBEE-2ACB-4F8E-B1A3-30AB751D3820}" name="Column11171"/>
    <tableColumn id="11178" xr3:uid="{C0AB14F7-DFEA-42D0-9C7F-995A4C3C8BA3}" name="Column11172"/>
    <tableColumn id="11179" xr3:uid="{11475687-D85D-4219-A758-066221D4C69C}" name="Column11173"/>
    <tableColumn id="11180" xr3:uid="{5162AAA0-A841-4163-A421-B96A4D91D56C}" name="Column11174"/>
    <tableColumn id="11181" xr3:uid="{0EE9E123-26B4-42D7-9D2E-38E26F203EC0}" name="Column11175"/>
    <tableColumn id="11182" xr3:uid="{8DF61627-59BC-4258-8049-3B33AC6E134F}" name="Column11176"/>
    <tableColumn id="11183" xr3:uid="{FF2F26E7-C884-4846-B959-C3CC1C02F9EC}" name="Column11177"/>
    <tableColumn id="11184" xr3:uid="{3D268FB2-0DFB-4D30-9FA8-3357B4C8F2FA}" name="Column11178"/>
    <tableColumn id="11185" xr3:uid="{3D824B3C-C8F6-4F45-A3E4-8B8AB85CD7A1}" name="Column11179"/>
    <tableColumn id="11186" xr3:uid="{2EB3640F-124C-4C08-9A56-65C1B43CCE72}" name="Column11180"/>
    <tableColumn id="11187" xr3:uid="{D33481D6-C726-49BE-B565-CEE2EDF57B87}" name="Column11181"/>
    <tableColumn id="11188" xr3:uid="{1E10043B-CB74-479C-BB2A-66E3BB88982B}" name="Column11182"/>
    <tableColumn id="11189" xr3:uid="{9C0E7036-1D34-44EA-B7C8-7EA37F8F9F59}" name="Column11183"/>
    <tableColumn id="11190" xr3:uid="{53A502E5-D41A-41D6-B10D-37D09AFC2A44}" name="Column11184"/>
    <tableColumn id="11191" xr3:uid="{9422DEB7-C0F5-4C7F-B91F-A1AD08ADC252}" name="Column11185"/>
    <tableColumn id="11192" xr3:uid="{E1C4CEAA-D15A-43F8-A7F0-860674B47A48}" name="Column11186"/>
    <tableColumn id="11193" xr3:uid="{BA2246DD-61C7-4A0C-9D6C-A42AB806C384}" name="Column11187"/>
    <tableColumn id="11194" xr3:uid="{9E756D1B-A7B6-41BB-AF11-D996FAAE7598}" name="Column11188"/>
    <tableColumn id="11195" xr3:uid="{8227E71C-2866-4272-BD75-37FB2EA14173}" name="Column11189"/>
    <tableColumn id="11196" xr3:uid="{F3E99DB3-71C1-422B-8871-2B2855251486}" name="Column11190"/>
    <tableColumn id="11197" xr3:uid="{AF184472-DACA-4776-BE09-DEEFCC0D2608}" name="Column11191"/>
    <tableColumn id="11198" xr3:uid="{5A3A9E91-144C-4FA4-8420-E0B46781CBF6}" name="Column11192"/>
    <tableColumn id="11199" xr3:uid="{79F73BF5-DF17-429C-9C0A-5332FF870125}" name="Column11193"/>
    <tableColumn id="11200" xr3:uid="{E504AE11-14DF-46F9-BDB4-D6EFCE67CF2A}" name="Column11194"/>
    <tableColumn id="11201" xr3:uid="{29569FA4-C9DF-4E65-9AE7-B8F21C486A24}" name="Column11195"/>
    <tableColumn id="11202" xr3:uid="{428EFB9A-2619-48D3-BE86-D0E01C8F4D93}" name="Column11196"/>
    <tableColumn id="11203" xr3:uid="{F8081A9C-B48D-4205-A0CE-AA624FA7E9AC}" name="Column11197"/>
    <tableColumn id="11204" xr3:uid="{0B449CAF-0924-4092-BB77-E7600C8F14B8}" name="Column11198"/>
    <tableColumn id="11205" xr3:uid="{027C385E-2F3F-479D-9821-8D455E2CC377}" name="Column11199"/>
    <tableColumn id="11206" xr3:uid="{B16311C8-90CA-4C12-9399-BC104E2F3F64}" name="Column11200"/>
    <tableColumn id="11207" xr3:uid="{9BF64495-5894-42B3-AC8E-7B2F472EA549}" name="Column11201"/>
    <tableColumn id="11208" xr3:uid="{ADC99D01-D5FE-4A83-9CD8-5E3794544933}" name="Column11202"/>
    <tableColumn id="11209" xr3:uid="{ECC209B4-12C6-4EA1-B97A-86D379CCBCB5}" name="Column11203"/>
    <tableColumn id="11210" xr3:uid="{3A91DF79-C53F-4185-9488-C82328AE8D4A}" name="Column11204"/>
    <tableColumn id="11211" xr3:uid="{044579ED-ABC5-466A-AECD-9C4BB1477A4C}" name="Column11205"/>
    <tableColumn id="11212" xr3:uid="{06A9CF7F-CA3A-45C7-ACD0-089FE778B234}" name="Column11206"/>
    <tableColumn id="11213" xr3:uid="{E725B44B-C736-4A7B-BEF1-BD17F4704CD9}" name="Column11207"/>
    <tableColumn id="11214" xr3:uid="{FBC92AC5-33C8-41C1-8ED4-8FFBDF8945CA}" name="Column11208"/>
    <tableColumn id="11215" xr3:uid="{27921B88-7489-465B-92E8-DF0C026C6AD1}" name="Column11209"/>
    <tableColumn id="11216" xr3:uid="{E2DEFDD6-248F-44CA-92ED-F3F5DFA31445}" name="Column11210"/>
    <tableColumn id="11217" xr3:uid="{DD1C5B11-10D7-41E4-A1A9-096C7D560D7C}" name="Column11211"/>
    <tableColumn id="11218" xr3:uid="{C3D31F1B-509F-4582-8D9D-DE40F92BFD7D}" name="Column11212"/>
    <tableColumn id="11219" xr3:uid="{791E6161-BC00-4EBC-A056-6E763B669E60}" name="Column11213"/>
    <tableColumn id="11220" xr3:uid="{6D63EEF6-A2BF-4EFA-AA73-0DF3B477D6D1}" name="Column11214"/>
    <tableColumn id="11221" xr3:uid="{654FC6D0-8761-4ED0-9150-2ADD668A7EA3}" name="Column11215"/>
    <tableColumn id="11222" xr3:uid="{52E4A46E-12BD-4743-AD7B-A0754E227C20}" name="Column11216"/>
    <tableColumn id="11223" xr3:uid="{3FE05C64-A8E6-40EF-9F1F-435DD8AB4917}" name="Column11217"/>
    <tableColumn id="11224" xr3:uid="{B2DC5554-DB6C-452E-9353-135AA66FA802}" name="Column11218"/>
    <tableColumn id="11225" xr3:uid="{7AA2B649-0C3E-4118-8CFA-A69E18559B3B}" name="Column11219"/>
    <tableColumn id="11226" xr3:uid="{055AC4FB-3C80-41C9-A4DB-7614BF8F04EB}" name="Column11220"/>
    <tableColumn id="11227" xr3:uid="{638AC7C7-3C4F-4F13-8E0A-072178460E6A}" name="Column11221"/>
    <tableColumn id="11228" xr3:uid="{3A0C1CCF-424E-4537-9853-76715E8F7249}" name="Column11222"/>
    <tableColumn id="11229" xr3:uid="{74BAEC14-DB8F-40E2-AD8E-E2E646102C81}" name="Column11223"/>
    <tableColumn id="11230" xr3:uid="{D3AB70A1-43D5-4BFA-81F9-6294C1F4DE77}" name="Column11224"/>
    <tableColumn id="11231" xr3:uid="{9495F3D4-6FDD-4ACE-9D0A-7AF678D53808}" name="Column11225"/>
    <tableColumn id="11232" xr3:uid="{964691D1-6AB7-4D1B-914D-A9473C24FEDC}" name="Column11226"/>
    <tableColumn id="11233" xr3:uid="{0F4BD8D8-CD61-40F8-8798-F217E84BE6A6}" name="Column11227"/>
    <tableColumn id="11234" xr3:uid="{D417B5F5-8AD6-4444-AD3B-70E66035F811}" name="Column11228"/>
    <tableColumn id="11235" xr3:uid="{AEB4C342-59EF-4B7E-92F3-99C9A0D52A41}" name="Column11229"/>
    <tableColumn id="11236" xr3:uid="{BC6FF37B-B3B8-4E51-AA25-70675AF9AAFA}" name="Column11230"/>
    <tableColumn id="11237" xr3:uid="{86222587-1689-4388-8E24-9BCFFDFC0072}" name="Column11231"/>
    <tableColumn id="11238" xr3:uid="{D6BAF870-0E52-43A3-8455-90B3B5B5008B}" name="Column11232"/>
    <tableColumn id="11239" xr3:uid="{717FD58A-92BA-495B-A434-8FA1B0029B7C}" name="Column11233"/>
    <tableColumn id="11240" xr3:uid="{5721B61D-8739-4056-B1C0-1456ED83A7DA}" name="Column11234"/>
    <tableColumn id="11241" xr3:uid="{3D63ED5A-1BCA-44E8-92B6-A2F28AD82415}" name="Column11235"/>
    <tableColumn id="11242" xr3:uid="{F4D18AB4-C070-44A5-BD57-15BD49F5306E}" name="Column11236"/>
    <tableColumn id="11243" xr3:uid="{4136FA8D-EB5C-4170-B69E-7B3E705E15AD}" name="Column11237"/>
    <tableColumn id="11244" xr3:uid="{341474BA-5CC9-4669-BF92-0C46764331B5}" name="Column11238"/>
    <tableColumn id="11245" xr3:uid="{9667DAB7-D8FB-4DAC-9128-D1D62294A68C}" name="Column11239"/>
    <tableColumn id="11246" xr3:uid="{CF9F23F0-E59F-4FEC-8D36-2DD33174B410}" name="Column11240"/>
    <tableColumn id="11247" xr3:uid="{22770803-B69A-4002-910C-334BE58B722D}" name="Column11241"/>
    <tableColumn id="11248" xr3:uid="{376468BD-7DF5-49CB-AEDA-74D4A1879470}" name="Column11242"/>
    <tableColumn id="11249" xr3:uid="{5F41000E-60AF-4F69-A81D-9B7B65604125}" name="Column11243"/>
    <tableColumn id="11250" xr3:uid="{B5E300AA-68BA-4257-BF8D-1C686F073ED0}" name="Column11244"/>
    <tableColumn id="11251" xr3:uid="{CD518E01-6429-477A-8021-EEC5F7820ED0}" name="Column11245"/>
    <tableColumn id="11252" xr3:uid="{86D998FF-1CA6-458D-A9F5-E885C0B7A90F}" name="Column11246"/>
    <tableColumn id="11253" xr3:uid="{B314D119-EC28-49A8-8FA2-6393FAF47EE0}" name="Column11247"/>
    <tableColumn id="11254" xr3:uid="{74BD430B-D5D2-431E-A65C-96391DD6B7C8}" name="Column11248"/>
    <tableColumn id="11255" xr3:uid="{26024C4B-A38D-4E33-9F88-8CDD9A156D4B}" name="Column11249"/>
    <tableColumn id="11256" xr3:uid="{CD65DFE4-B133-4452-B100-6D15A92D49A5}" name="Column11250"/>
    <tableColumn id="11257" xr3:uid="{6A387C46-5861-4887-9398-97159E8F48C3}" name="Column11251"/>
    <tableColumn id="11258" xr3:uid="{9079847B-EF82-4C82-9E97-900DE60EB8AA}" name="Column11252"/>
    <tableColumn id="11259" xr3:uid="{F6444527-8367-4A22-822E-DAF9D7E2F464}" name="Column11253"/>
    <tableColumn id="11260" xr3:uid="{09771AD5-BAF9-4B02-A406-F1ACE4D5299D}" name="Column11254"/>
    <tableColumn id="11261" xr3:uid="{3856E5F4-EB85-4C54-835C-14034329D28E}" name="Column11255"/>
    <tableColumn id="11262" xr3:uid="{FFAD724F-DEBD-4BD0-9CB8-D81C04D70CBC}" name="Column11256"/>
    <tableColumn id="11263" xr3:uid="{FB2218E3-4ABD-4783-B4D2-33C84D4CE7A0}" name="Column11257"/>
    <tableColumn id="11264" xr3:uid="{D64E573B-BDEB-49DB-89BB-B180150B1E2C}" name="Column11258"/>
    <tableColumn id="11265" xr3:uid="{48608E15-3544-470D-A56A-369BC866819E}" name="Column11259"/>
    <tableColumn id="11266" xr3:uid="{70013D80-FB0A-4B99-BC11-EC1DC321E939}" name="Column11260"/>
    <tableColumn id="11267" xr3:uid="{282F7AF9-B54B-43EC-A670-58274047BE1B}" name="Column11261"/>
    <tableColumn id="11268" xr3:uid="{1C44969C-756F-4CB6-B3B5-A43ABBAB6439}" name="Column11262"/>
    <tableColumn id="11269" xr3:uid="{9A8C27AA-AE67-4754-AE5D-CB53F4D8F931}" name="Column11263"/>
    <tableColumn id="11270" xr3:uid="{28837770-5826-40E8-A351-CA772A034727}" name="Column11264"/>
    <tableColumn id="11271" xr3:uid="{0B718E97-ECEC-4BD9-B319-3CDE85BE2173}" name="Column11265"/>
    <tableColumn id="11272" xr3:uid="{B37E2546-F1F2-4FE8-B238-4EF41DE1F6D4}" name="Column11266"/>
    <tableColumn id="11273" xr3:uid="{7EA7085D-D6CA-467D-83D8-3C76AC9F05FB}" name="Column11267"/>
    <tableColumn id="11274" xr3:uid="{37760792-FB65-4669-B909-9CDC58A6EC08}" name="Column11268"/>
    <tableColumn id="11275" xr3:uid="{B2367584-8EC7-48F9-8B22-EDD51EF84A3D}" name="Column11269"/>
    <tableColumn id="11276" xr3:uid="{E7CB4224-4C35-4C57-A55F-7C2B55D52063}" name="Column11270"/>
    <tableColumn id="11277" xr3:uid="{6F81BBB6-7D14-49CB-AC93-F0A4E262E036}" name="Column11271"/>
    <tableColumn id="11278" xr3:uid="{09D3A39D-57BF-47E5-AF0D-DFFD62F853FE}" name="Column11272"/>
    <tableColumn id="11279" xr3:uid="{EA516818-54FB-4141-BEE0-B7ADD6D688A6}" name="Column11273"/>
    <tableColumn id="11280" xr3:uid="{9D1B8575-D2CE-4B7C-B276-739CD2B1EBF4}" name="Column11274"/>
    <tableColumn id="11281" xr3:uid="{217DBB56-8559-4BA7-8454-E9016721EBBD}" name="Column11275"/>
    <tableColumn id="11282" xr3:uid="{B7001054-332F-4843-A0EA-3309A5A06C9A}" name="Column11276"/>
    <tableColumn id="11283" xr3:uid="{315A2569-81A4-4242-8A04-4FA8B8E238CE}" name="Column11277"/>
    <tableColumn id="11284" xr3:uid="{E4093D64-601D-4E3D-9FB3-E0A6059EEC7C}" name="Column11278"/>
    <tableColumn id="11285" xr3:uid="{DC4F47FB-6229-4FC9-86CF-57D8A819C859}" name="Column11279"/>
    <tableColumn id="11286" xr3:uid="{FD7668B8-09EC-4D37-A13A-BD0F0D076D77}" name="Column11280"/>
    <tableColumn id="11287" xr3:uid="{3A11D1B6-D6A7-45FB-8C3C-B0B15298E2C7}" name="Column11281"/>
    <tableColumn id="11288" xr3:uid="{5AA2D4AC-91CB-4587-B2D3-539C830B5AD5}" name="Column11282"/>
    <tableColumn id="11289" xr3:uid="{3D427982-D634-4AEC-AAEE-D2A5EC2B577F}" name="Column11283"/>
    <tableColumn id="11290" xr3:uid="{803F16C2-73F8-48C6-B493-993C528296E4}" name="Column11284"/>
    <tableColumn id="11291" xr3:uid="{C789B95A-F5F6-4AB1-8242-BCAD261BACD7}" name="Column11285"/>
    <tableColumn id="11292" xr3:uid="{EE3424A9-CD23-486B-ABC6-CE62AAE6E115}" name="Column11286"/>
    <tableColumn id="11293" xr3:uid="{5BBCD8AD-55BF-4E87-B89D-31F2DEFD60F9}" name="Column11287"/>
    <tableColumn id="11294" xr3:uid="{7BE74B2C-7AEB-4729-9FA3-651A9D7F8221}" name="Column11288"/>
    <tableColumn id="11295" xr3:uid="{E0D08574-929D-4F89-9860-F921B8025F5E}" name="Column11289"/>
    <tableColumn id="11296" xr3:uid="{327CEE30-645A-475B-8F50-152D46CAEA8B}" name="Column11290"/>
    <tableColumn id="11297" xr3:uid="{D1739B59-EEA5-48BA-843D-F7720CB35A0F}" name="Column11291"/>
    <tableColumn id="11298" xr3:uid="{051A9B6A-2001-48CD-BD10-E3EA23B9A2A2}" name="Column11292"/>
    <tableColumn id="11299" xr3:uid="{E2883FE8-4432-46CA-96EE-ABF183A14285}" name="Column11293"/>
    <tableColumn id="11300" xr3:uid="{4688E72F-DC7B-44F5-9E22-7203AD808BCA}" name="Column11294"/>
    <tableColumn id="11301" xr3:uid="{AD4A5ED6-6989-4A1F-A044-02CFFEC20629}" name="Column11295"/>
    <tableColumn id="11302" xr3:uid="{EB6B76CF-7EBD-478B-A798-4F1E097B097B}" name="Column11296"/>
    <tableColumn id="11303" xr3:uid="{FD90FE7F-50F6-48CA-A787-5DC20514D235}" name="Column11297"/>
    <tableColumn id="11304" xr3:uid="{A996A642-F2BA-4479-812D-7AC212479323}" name="Column11298"/>
    <tableColumn id="11305" xr3:uid="{78AE5E83-8FD6-41B9-8B61-0FE650A059C9}" name="Column11299"/>
    <tableColumn id="11306" xr3:uid="{72489E84-05A5-4345-80A9-50A2F9298D22}" name="Column11300"/>
    <tableColumn id="11307" xr3:uid="{A1DF31CF-CD3B-4926-AE6D-F0D7B68640A7}" name="Column11301"/>
    <tableColumn id="11308" xr3:uid="{E17FF1FF-BDC9-47A7-BE8C-C2F7697DB10F}" name="Column11302"/>
    <tableColumn id="11309" xr3:uid="{00A1DE5F-8FF5-46FA-8C8D-AB15DBA81C3F}" name="Column11303"/>
    <tableColumn id="11310" xr3:uid="{91A11B24-7A36-4B48-89A0-BF02D44C886E}" name="Column11304"/>
    <tableColumn id="11311" xr3:uid="{D8DB87E2-F8FC-4F25-A74A-2D12DA889262}" name="Column11305"/>
    <tableColumn id="11312" xr3:uid="{C10F2982-97C1-4B16-86D3-A1DCB5A7D7D2}" name="Column11306"/>
    <tableColumn id="11313" xr3:uid="{97B34901-5EEF-4BE9-BBCC-79A14B9D710C}" name="Column11307"/>
    <tableColumn id="11314" xr3:uid="{411812AA-A471-411A-B90F-7DB187320715}" name="Column11308"/>
    <tableColumn id="11315" xr3:uid="{C335E18C-B7E6-4813-AD1E-05F1D0977613}" name="Column11309"/>
    <tableColumn id="11316" xr3:uid="{D67BB267-7C09-4FE2-9E42-594424CDBCF7}" name="Column11310"/>
    <tableColumn id="11317" xr3:uid="{F3C4FAA5-0ED1-4A80-AF30-973B9F0132F9}" name="Column11311"/>
    <tableColumn id="11318" xr3:uid="{3BE5B496-96DF-4E52-A791-2AC4CFBAD366}" name="Column11312"/>
    <tableColumn id="11319" xr3:uid="{AFB2F370-FD6C-4B12-B646-7E1F7EAFE341}" name="Column11313"/>
    <tableColumn id="11320" xr3:uid="{9DA94624-8C6B-4242-8C47-89112A29F9F6}" name="Column11314"/>
    <tableColumn id="11321" xr3:uid="{5997C4A1-39BA-4494-9B57-9F47EEDC2513}" name="Column11315"/>
    <tableColumn id="11322" xr3:uid="{AA0A3D61-C586-4F21-8EF5-D254A4864348}" name="Column11316"/>
    <tableColumn id="11323" xr3:uid="{AF2308AC-1407-49C4-A03A-62BF3D471B72}" name="Column11317"/>
    <tableColumn id="11324" xr3:uid="{B0CA86FD-47AF-497C-8944-FF771326F3CD}" name="Column11318"/>
    <tableColumn id="11325" xr3:uid="{F1DF0763-4267-4150-8B0E-403394F0C497}" name="Column11319"/>
    <tableColumn id="11326" xr3:uid="{A5D51982-8AF8-4DDE-98DC-7BE43A452570}" name="Column11320"/>
    <tableColumn id="11327" xr3:uid="{E535CBCD-5B1A-4B0E-B57A-5CFF71A57594}" name="Column11321"/>
    <tableColumn id="11328" xr3:uid="{F8A1E0F8-D000-49C0-B2F3-BC4A08E3EF22}" name="Column11322"/>
    <tableColumn id="11329" xr3:uid="{179840CC-09FB-4FBC-B41A-441B2DF80753}" name="Column11323"/>
    <tableColumn id="11330" xr3:uid="{801C7C06-1470-4814-BE17-32622A1E3EBD}" name="Column11324"/>
    <tableColumn id="11331" xr3:uid="{29D2379D-39F9-4B76-A3C8-221AA9171A00}" name="Column11325"/>
    <tableColumn id="11332" xr3:uid="{E033B15E-CF3B-4A0D-BBE7-D9FED6E6BB98}" name="Column11326"/>
    <tableColumn id="11333" xr3:uid="{FF3C84C2-9C49-499C-87BE-F61B792CD16F}" name="Column11327"/>
    <tableColumn id="11334" xr3:uid="{964BD975-E6E7-4D5A-A16B-D5B77F193794}" name="Column11328"/>
    <tableColumn id="11335" xr3:uid="{891D3E0B-5A58-4EDA-AF5A-3EDA4A0CC7C8}" name="Column11329"/>
    <tableColumn id="11336" xr3:uid="{614E4D61-D03A-4072-9E89-6F8563FA14F2}" name="Column11330"/>
    <tableColumn id="11337" xr3:uid="{99416C61-EBFA-4B66-9E02-F600E0D94BB4}" name="Column11331"/>
    <tableColumn id="11338" xr3:uid="{B850EEE1-92A9-4DEF-9281-F3D9A1D123ED}" name="Column11332"/>
    <tableColumn id="11339" xr3:uid="{204C8192-B492-4EF7-A8AA-21D6E039DBFB}" name="Column11333"/>
    <tableColumn id="11340" xr3:uid="{683203BD-0687-4549-83FC-F9AA3390E9E0}" name="Column11334"/>
    <tableColumn id="11341" xr3:uid="{F6D48480-AFEB-441F-B936-25453F52BDD8}" name="Column11335"/>
    <tableColumn id="11342" xr3:uid="{5EE01326-341D-43BA-BF23-91544018BCC6}" name="Column11336"/>
    <tableColumn id="11343" xr3:uid="{497866DB-5502-4C12-A903-FB33CBE0F99E}" name="Column11337"/>
    <tableColumn id="11344" xr3:uid="{5370D7F6-28B8-4306-9363-98883881CD9B}" name="Column11338"/>
    <tableColumn id="11345" xr3:uid="{89DBAB44-2DAA-4FDA-82AD-624C06FF28CC}" name="Column11339"/>
    <tableColumn id="11346" xr3:uid="{3015E213-9E9A-4A64-95F7-7232D2909C09}" name="Column11340"/>
    <tableColumn id="11347" xr3:uid="{4548EFCE-26FC-4615-A26A-7BDCCCA956C1}" name="Column11341"/>
    <tableColumn id="11348" xr3:uid="{30843ACD-3968-4E8A-81C9-66C7C861D4EF}" name="Column11342"/>
    <tableColumn id="11349" xr3:uid="{8829C4F1-D105-4032-AE49-A78805D088FA}" name="Column11343"/>
    <tableColumn id="11350" xr3:uid="{976F1995-8803-44D8-B328-5EA8EBA08CD2}" name="Column11344"/>
    <tableColumn id="11351" xr3:uid="{C16C631D-C64D-4F2D-BE23-36B3C5C6B2BD}" name="Column11345"/>
    <tableColumn id="11352" xr3:uid="{3D9B0409-2096-4BCD-8C30-DE83E0CE66D3}" name="Column11346"/>
    <tableColumn id="11353" xr3:uid="{ED876B5E-9C6A-42D2-9310-3084F80D00C1}" name="Column11347"/>
    <tableColumn id="11354" xr3:uid="{D3AFA26F-A545-4562-8D9E-7BDCF79BBF8A}" name="Column11348"/>
    <tableColumn id="11355" xr3:uid="{78488D66-C3DF-45D1-8F67-DC08192E75C0}" name="Column11349"/>
    <tableColumn id="11356" xr3:uid="{F539815D-91B2-4F34-8088-122D5ED8AAC6}" name="Column11350"/>
    <tableColumn id="11357" xr3:uid="{83F2BD59-F22F-49A3-ABA3-C9C3D5FEC641}" name="Column11351"/>
    <tableColumn id="11358" xr3:uid="{B9CCF9DD-9613-4147-A1FC-ACA527D6A557}" name="Column11352"/>
    <tableColumn id="11359" xr3:uid="{69AB6DA3-4448-43F4-A2E8-11BA77356845}" name="Column11353"/>
    <tableColumn id="11360" xr3:uid="{B9F92F9C-0FEB-4AB1-823C-50C3FFBC59B6}" name="Column11354"/>
    <tableColumn id="11361" xr3:uid="{628DD633-B0F3-4269-B9E3-75DAAE893AFA}" name="Column11355"/>
    <tableColumn id="11362" xr3:uid="{FEBE79BC-91B1-4A2E-AC37-394CDDE0B656}" name="Column11356"/>
    <tableColumn id="11363" xr3:uid="{2947A33C-E000-41BC-9B47-60F812BD9AD9}" name="Column11357"/>
    <tableColumn id="11364" xr3:uid="{B9F14160-DED3-49F4-A5E4-B3C7A96E92E5}" name="Column11358"/>
    <tableColumn id="11365" xr3:uid="{F9E5EE81-2AA8-43C4-A4CA-38A70C421A70}" name="Column11359"/>
    <tableColumn id="11366" xr3:uid="{45A17799-0D37-4034-9691-8A3E71DD2472}" name="Column11360"/>
    <tableColumn id="11367" xr3:uid="{F963EACF-4C48-4649-BA29-F4BF7A1715B0}" name="Column11361"/>
    <tableColumn id="11368" xr3:uid="{441216BB-83FB-42CE-B5DF-CD9A90AAC1D7}" name="Column11362"/>
    <tableColumn id="11369" xr3:uid="{DC59B139-3F4E-4711-B981-E210D52DFBC7}" name="Column11363"/>
    <tableColumn id="11370" xr3:uid="{E3B7BE8C-B704-463E-918B-C42D8147484D}" name="Column11364"/>
    <tableColumn id="11371" xr3:uid="{FEB2F451-AC2F-443C-A840-1BB9AF27E719}" name="Column11365"/>
    <tableColumn id="11372" xr3:uid="{D456948E-840D-453B-BA70-4D43FAF39E7C}" name="Column11366"/>
    <tableColumn id="11373" xr3:uid="{8682CB36-31F2-48FA-811F-8AC586709638}" name="Column11367"/>
    <tableColumn id="11374" xr3:uid="{AB65B7EA-EA7B-40DF-B1C2-D5FD44B0B554}" name="Column11368"/>
    <tableColumn id="11375" xr3:uid="{AD78496B-3817-4596-B790-FE15BEF2284A}" name="Column11369"/>
    <tableColumn id="11376" xr3:uid="{4E59A9D1-6629-43DE-83FA-880655290EB6}" name="Column11370"/>
    <tableColumn id="11377" xr3:uid="{47C9A8DD-A95D-47B3-9341-409927E30F94}" name="Column11371"/>
    <tableColumn id="11378" xr3:uid="{AAB1593C-5372-4A17-9137-4A93DC8D1A4A}" name="Column11372"/>
    <tableColumn id="11379" xr3:uid="{64CCB204-5C7A-4A2D-B87A-5BD9F44E4EDA}" name="Column11373"/>
    <tableColumn id="11380" xr3:uid="{7DE1379C-F753-4620-9B14-562AAD6A4F2F}" name="Column11374"/>
    <tableColumn id="11381" xr3:uid="{588CDCA2-DA2F-4AF3-8381-FC6C9D506FA1}" name="Column11375"/>
    <tableColumn id="11382" xr3:uid="{2E8C9548-10FF-4CA6-9792-32328A43A466}" name="Column11376"/>
    <tableColumn id="11383" xr3:uid="{7386CDD7-2D71-40C3-BFAD-2201F42F37DC}" name="Column11377"/>
    <tableColumn id="11384" xr3:uid="{22BE557A-EB24-47E2-B89B-62A94CC5909C}" name="Column11378"/>
    <tableColumn id="11385" xr3:uid="{BCF093ED-D705-497C-BB93-2F4C266E010C}" name="Column11379"/>
    <tableColumn id="11386" xr3:uid="{50175735-0BFE-4896-BF3E-048781C48285}" name="Column11380"/>
    <tableColumn id="11387" xr3:uid="{E80F6DE4-93B5-4FF2-936A-139ED23D811A}" name="Column11381"/>
    <tableColumn id="11388" xr3:uid="{32DF2491-42FF-4949-9ED0-D4979222C9A7}" name="Column11382"/>
    <tableColumn id="11389" xr3:uid="{040E73BE-29A3-40B2-B563-92854F305D17}" name="Column11383"/>
    <tableColumn id="11390" xr3:uid="{C34A4B79-21F4-4BD2-A210-47349E41E0F6}" name="Column11384"/>
    <tableColumn id="11391" xr3:uid="{D2DBBB09-4770-42CD-AB02-9AD416EC3BD5}" name="Column11385"/>
    <tableColumn id="11392" xr3:uid="{A704D658-F8D7-4F21-88CD-6CDE9CDD1F8E}" name="Column11386"/>
    <tableColumn id="11393" xr3:uid="{B150EF7C-4A7F-4EBF-B2FA-5F83691FE51D}" name="Column11387"/>
    <tableColumn id="11394" xr3:uid="{F24B1181-0464-411D-A0B4-85CEFA54B5AA}" name="Column11388"/>
    <tableColumn id="11395" xr3:uid="{9774E16C-3439-4C66-AD57-6219564F2883}" name="Column11389"/>
    <tableColumn id="11396" xr3:uid="{98F874D6-4ED9-4444-BBE0-13A6F2C11712}" name="Column11390"/>
    <tableColumn id="11397" xr3:uid="{6075E153-9B9B-4BB5-B440-A24BFC0F52CC}" name="Column11391"/>
    <tableColumn id="11398" xr3:uid="{C1F48E84-8B8F-4265-98D7-51D05056AF40}" name="Column11392"/>
    <tableColumn id="11399" xr3:uid="{E358DDB7-549D-4699-BD20-F9A6459E2AA1}" name="Column11393"/>
    <tableColumn id="11400" xr3:uid="{6C5EB298-337A-448A-A4D7-F835BBC865D6}" name="Column11394"/>
    <tableColumn id="11401" xr3:uid="{B238D164-E2D1-4D15-A29B-6E623A736EE5}" name="Column11395"/>
    <tableColumn id="11402" xr3:uid="{3956CE3C-9408-48D8-9556-5D8AC67364CE}" name="Column11396"/>
    <tableColumn id="11403" xr3:uid="{8E2C54DF-CEDA-49C2-AD46-8F7AA667EA74}" name="Column11397"/>
    <tableColumn id="11404" xr3:uid="{F7FCF688-AAE5-443F-8DAA-00125FD98EA7}" name="Column11398"/>
    <tableColumn id="11405" xr3:uid="{E6817087-FAF0-44D3-A4F3-DD6B3FC88271}" name="Column11399"/>
    <tableColumn id="11406" xr3:uid="{72AE78C5-2F37-40C8-A13B-E3CE57FAED51}" name="Column11400"/>
    <tableColumn id="11407" xr3:uid="{605B3F47-BBFB-4459-B68E-5FC0284BAD85}" name="Column11401"/>
    <tableColumn id="11408" xr3:uid="{DCCAE584-C9FB-40B2-B1E0-657E129C2D96}" name="Column11402"/>
    <tableColumn id="11409" xr3:uid="{569AC0F1-923F-427D-BA77-D953008690AD}" name="Column11403"/>
    <tableColumn id="11410" xr3:uid="{B1F66DCF-C653-49A9-BA78-7E273B5C36BB}" name="Column11404"/>
    <tableColumn id="11411" xr3:uid="{0A5543E7-3670-4C73-A865-FA48665B6D63}" name="Column11405"/>
    <tableColumn id="11412" xr3:uid="{3DDD27D1-169D-43BA-A6FB-EE9248DC4A1B}" name="Column11406"/>
    <tableColumn id="11413" xr3:uid="{3BC73154-483F-4C8A-B51D-4F4011D4CF25}" name="Column11407"/>
    <tableColumn id="11414" xr3:uid="{C421D9FF-AA24-4EEA-AC3D-1C769064EC76}" name="Column11408"/>
    <tableColumn id="11415" xr3:uid="{25724978-E2DE-434D-9D3F-142F23D50898}" name="Column11409"/>
    <tableColumn id="11416" xr3:uid="{8306DEE7-128B-4212-9B6C-253DF4D0E8B0}" name="Column11410"/>
    <tableColumn id="11417" xr3:uid="{F7C73163-0FA9-4EEE-8ED3-26E5C1758BA1}" name="Column11411"/>
    <tableColumn id="11418" xr3:uid="{82F8367F-A65E-424D-B63E-DEFBC98B2AC2}" name="Column11412"/>
    <tableColumn id="11419" xr3:uid="{11405D46-1A41-4276-B725-1C1048C87030}" name="Column11413"/>
    <tableColumn id="11420" xr3:uid="{0623E42B-C58E-4077-B972-A2CE1FF72AC9}" name="Column11414"/>
    <tableColumn id="11421" xr3:uid="{D4703D5F-380F-4529-92AF-686A679DA131}" name="Column11415"/>
    <tableColumn id="11422" xr3:uid="{7FD36DAC-11F7-416B-82EF-105FC9F1D8C8}" name="Column11416"/>
    <tableColumn id="11423" xr3:uid="{AE9613DB-4DC8-4AD1-83E4-62B6D0E9AE1C}" name="Column11417"/>
    <tableColumn id="11424" xr3:uid="{ECBC9BCF-F69F-4264-AD9C-77469BA9157E}" name="Column11418"/>
    <tableColumn id="11425" xr3:uid="{A5E47895-B244-4FF3-94EA-A019F0AA39A4}" name="Column11419"/>
    <tableColumn id="11426" xr3:uid="{EFC05043-5D6E-412D-907A-DD0458462C9F}" name="Column11420"/>
    <tableColumn id="11427" xr3:uid="{32351720-360C-44A1-9251-4DE2496552C0}" name="Column11421"/>
    <tableColumn id="11428" xr3:uid="{2AAFA03C-289D-469C-B12D-428AE01628A2}" name="Column11422"/>
    <tableColumn id="11429" xr3:uid="{2BD99F18-38F1-4BD6-9636-B6DCD4DD9C69}" name="Column11423"/>
    <tableColumn id="11430" xr3:uid="{D4062751-AE50-49CA-B67A-943F1B37D101}" name="Column11424"/>
    <tableColumn id="11431" xr3:uid="{D8EA0B05-ECAF-44BC-AE1F-64D175904154}" name="Column11425"/>
    <tableColumn id="11432" xr3:uid="{C460955D-CA7A-42C2-B0BA-A99F4F8B0E6D}" name="Column11426"/>
    <tableColumn id="11433" xr3:uid="{6782CF2C-5B1B-44E3-A5BE-3927064730D8}" name="Column11427"/>
    <tableColumn id="11434" xr3:uid="{D4656B7B-ACD7-48D9-B7B5-98E13E7500E6}" name="Column11428"/>
    <tableColumn id="11435" xr3:uid="{0094069A-E823-45BA-A609-00898E480C99}" name="Column11429"/>
    <tableColumn id="11436" xr3:uid="{EA96CA65-9E32-4718-A5E1-91FB7189D263}" name="Column11430"/>
    <tableColumn id="11437" xr3:uid="{9C70DC9B-7DC9-4B4F-9626-0A793CB2C298}" name="Column11431"/>
    <tableColumn id="11438" xr3:uid="{C0659C05-26A9-4784-9B0D-FDE31EC1AF68}" name="Column11432"/>
    <tableColumn id="11439" xr3:uid="{ACF95C9F-0E78-43AF-A36B-1B30D2737A31}" name="Column11433"/>
    <tableColumn id="11440" xr3:uid="{61B609E6-E2CD-4337-B81B-1D36B41CBD28}" name="Column11434"/>
    <tableColumn id="11441" xr3:uid="{CAF4064E-615F-4E8E-B27E-6987B7C702EF}" name="Column11435"/>
    <tableColumn id="11442" xr3:uid="{C6CC5EA5-B55F-480B-B0C5-E0F4F0D4FE47}" name="Column11436"/>
    <tableColumn id="11443" xr3:uid="{057F9206-1615-4744-B143-8AAAD2D82015}" name="Column11437"/>
    <tableColumn id="11444" xr3:uid="{446AAABE-F6F5-4FAB-A8C4-0B0625D9C4DB}" name="Column11438"/>
    <tableColumn id="11445" xr3:uid="{344E468B-195E-4168-92FB-EEC1F3974585}" name="Column11439"/>
    <tableColumn id="11446" xr3:uid="{41F5615C-4851-411C-A30D-E3E2A6C87B64}" name="Column11440"/>
    <tableColumn id="11447" xr3:uid="{DE3761D3-5E92-46AB-B870-8E3A52A0D89D}" name="Column11441"/>
    <tableColumn id="11448" xr3:uid="{1D503DE8-9E41-4A87-8E8C-72703945C7B3}" name="Column11442"/>
    <tableColumn id="11449" xr3:uid="{4F0E0ACF-CB92-4D68-99DA-AF265CAE7BB6}" name="Column11443"/>
    <tableColumn id="11450" xr3:uid="{8170BF8E-B1D6-4B5E-B4F7-03077DB21844}" name="Column11444"/>
    <tableColumn id="11451" xr3:uid="{49CBB099-E644-4894-B4D5-76032C32076F}" name="Column11445"/>
    <tableColumn id="11452" xr3:uid="{231A6126-FDDE-453C-9F9D-E3CEF80EDB53}" name="Column11446"/>
    <tableColumn id="11453" xr3:uid="{707AE2F0-9FA6-40C0-B34B-8B47E425A9DD}" name="Column11447"/>
    <tableColumn id="11454" xr3:uid="{52ECAB37-89C6-47AE-88AF-50D62661F853}" name="Column11448"/>
    <tableColumn id="11455" xr3:uid="{EDA53F85-B607-430D-ADF6-7711D786B30C}" name="Column11449"/>
    <tableColumn id="11456" xr3:uid="{C231A0A2-E050-4BBB-B9AD-63974C98CB85}" name="Column11450"/>
    <tableColumn id="11457" xr3:uid="{1869A3EE-6FFF-4A50-953B-FF1FDCCCEAD7}" name="Column11451"/>
    <tableColumn id="11458" xr3:uid="{B8543F51-BBB6-42A2-81A8-AF9466DE4F7E}" name="Column11452"/>
    <tableColumn id="11459" xr3:uid="{C8607EB2-7687-42C5-96B5-671C712DE253}" name="Column11453"/>
    <tableColumn id="11460" xr3:uid="{5F7ABB7F-CBC1-4542-A406-FE7B7A3C4DD0}" name="Column11454"/>
    <tableColumn id="11461" xr3:uid="{01E2094D-D1D7-479D-983F-C0ACD910DCC1}" name="Column11455"/>
    <tableColumn id="11462" xr3:uid="{E11F1C7D-761B-4EA2-9899-BD8FB385442F}" name="Column11456"/>
    <tableColumn id="11463" xr3:uid="{03EA38F6-CBB9-415C-B56B-CA7965EC5213}" name="Column11457"/>
    <tableColumn id="11464" xr3:uid="{7B043E70-D9C6-4B1C-9A34-D926A9DDF7BE}" name="Column11458"/>
    <tableColumn id="11465" xr3:uid="{FA53980E-A768-4946-9EA2-3DE64D1CDA69}" name="Column11459"/>
    <tableColumn id="11466" xr3:uid="{7A4366D4-81CD-481E-ADC9-789CB6559244}" name="Column11460"/>
    <tableColumn id="11467" xr3:uid="{9C35561D-609F-4E52-A889-84198787694D}" name="Column11461"/>
    <tableColumn id="11468" xr3:uid="{770A097F-067C-4277-A0E8-FFC9E02DFF58}" name="Column11462"/>
    <tableColumn id="11469" xr3:uid="{6DADDDDB-E66D-4F12-B3DC-C31FFE3526F8}" name="Column11463"/>
    <tableColumn id="11470" xr3:uid="{47DDC723-03AB-40FF-ABD4-1918F7750F63}" name="Column11464"/>
    <tableColumn id="11471" xr3:uid="{39F9E1C9-C15E-4A44-A681-EBDCAC3F6D47}" name="Column11465"/>
    <tableColumn id="11472" xr3:uid="{54FADF2A-6F5E-413D-AE70-A6C34ED987EF}" name="Column11466"/>
    <tableColumn id="11473" xr3:uid="{C889D766-D96C-4372-9997-DD131140DFDC}" name="Column11467"/>
    <tableColumn id="11474" xr3:uid="{720420DF-7458-417A-BE95-9F4D12A80A9E}" name="Column11468"/>
    <tableColumn id="11475" xr3:uid="{8561C374-F28E-4737-996D-5EF23881A254}" name="Column11469"/>
    <tableColumn id="11476" xr3:uid="{8F93708E-53F4-4E25-9B41-0BA87EE4EC48}" name="Column11470"/>
    <tableColumn id="11477" xr3:uid="{6FA1CFD1-85AE-4038-B26F-47AF4839C565}" name="Column11471"/>
    <tableColumn id="11478" xr3:uid="{E14378C1-7BAD-44C2-A029-DF4C7268577C}" name="Column11472"/>
    <tableColumn id="11479" xr3:uid="{4F0FCEF3-6F16-4FBF-A4EF-E496DBEC82EC}" name="Column11473"/>
    <tableColumn id="11480" xr3:uid="{487B8897-CF44-4BD4-B738-B469914C0E9D}" name="Column11474"/>
    <tableColumn id="11481" xr3:uid="{994B8D50-2CAD-4E49-BEB0-7C53A2F799B3}" name="Column11475"/>
    <tableColumn id="11482" xr3:uid="{4BBE8B95-E278-474A-A078-EC87C0A7E467}" name="Column11476"/>
    <tableColumn id="11483" xr3:uid="{9DFBCC18-28D4-4849-8BD0-729178A213C2}" name="Column11477"/>
    <tableColumn id="11484" xr3:uid="{4460B490-EFE8-488E-BE0F-D85B4506A522}" name="Column11478"/>
    <tableColumn id="11485" xr3:uid="{FE417B6B-8DCC-4A4E-9AA6-4B11E623AE79}" name="Column11479"/>
    <tableColumn id="11486" xr3:uid="{4548025B-50A2-41E0-B865-6291E3A96D15}" name="Column11480"/>
    <tableColumn id="11487" xr3:uid="{9A0AD3A6-BE0F-4B74-9E55-9273154FBC37}" name="Column11481"/>
    <tableColumn id="11488" xr3:uid="{EB46383E-3121-4BCF-8B3F-05B45549DE5C}" name="Column11482"/>
    <tableColumn id="11489" xr3:uid="{0BD26B7A-5A80-441A-9D79-055CF98E9ABC}" name="Column11483"/>
    <tableColumn id="11490" xr3:uid="{C5CD27E9-058E-43DF-84BF-B1B5A76CF1C3}" name="Column11484"/>
    <tableColumn id="11491" xr3:uid="{EA6CA1CA-02F0-4D9B-BC05-9487172F70C8}" name="Column11485"/>
    <tableColumn id="11492" xr3:uid="{F1515001-5B6A-4D01-9195-6C48209DBF5D}" name="Column11486"/>
    <tableColumn id="11493" xr3:uid="{04A8CA6B-8E02-44B8-8616-1E99B9654603}" name="Column11487"/>
    <tableColumn id="11494" xr3:uid="{2F774ABA-E50D-42C9-835C-58F16B0D569A}" name="Column11488"/>
    <tableColumn id="11495" xr3:uid="{48B546DD-07A5-44F5-B306-8EB6AC75794D}" name="Column11489"/>
    <tableColumn id="11496" xr3:uid="{2F88633B-9273-4979-8FD8-4B85B5E500D7}" name="Column11490"/>
    <tableColumn id="11497" xr3:uid="{A3BC6982-D667-456C-83F5-F25F26D6AD5C}" name="Column11491"/>
    <tableColumn id="11498" xr3:uid="{E55434B8-4D30-4B73-AFF2-162BED426C7A}" name="Column11492"/>
    <tableColumn id="11499" xr3:uid="{1703FD85-1089-4FE0-811B-0C0C30DB9E88}" name="Column11493"/>
    <tableColumn id="11500" xr3:uid="{253AD12C-B391-41B6-B9B3-5DDF81D74150}" name="Column11494"/>
    <tableColumn id="11501" xr3:uid="{85FCAF10-B465-411A-9893-A399F8A59708}" name="Column11495"/>
    <tableColumn id="11502" xr3:uid="{C2A9C828-DAA6-4133-9D36-1B788BA2987A}" name="Column11496"/>
    <tableColumn id="11503" xr3:uid="{F75FC624-A0F6-48A3-9981-1F8AE952FBE2}" name="Column11497"/>
    <tableColumn id="11504" xr3:uid="{82CE816A-B082-4D57-9159-73CFE0FD46BC}" name="Column11498"/>
    <tableColumn id="11505" xr3:uid="{AD41BE33-1E6A-4B93-9230-A132D1651324}" name="Column11499"/>
    <tableColumn id="11506" xr3:uid="{18901F5F-4EB6-417D-9EDD-657EBB9A8A9C}" name="Column11500"/>
    <tableColumn id="11507" xr3:uid="{1981EF8C-5F1D-4D5D-88E6-F891F5E86861}" name="Column11501"/>
    <tableColumn id="11508" xr3:uid="{D3DBBACE-EF3C-4C61-A68F-EA98F1AE22F9}" name="Column11502"/>
    <tableColumn id="11509" xr3:uid="{88613627-9BD7-44CB-B5B4-3286C77D8A89}" name="Column11503"/>
    <tableColumn id="11510" xr3:uid="{D6C433C6-22F9-4749-84B3-D46ED359B3E6}" name="Column11504"/>
    <tableColumn id="11511" xr3:uid="{2A012F05-5F8C-4021-B16F-80149D3D1CAB}" name="Column11505"/>
    <tableColumn id="11512" xr3:uid="{567039DC-7430-4CC3-AFE4-56EC1D2DA792}" name="Column11506"/>
    <tableColumn id="11513" xr3:uid="{BCCA5B90-AA8B-4DD3-B173-7D4D3E698357}" name="Column11507"/>
    <tableColumn id="11514" xr3:uid="{53806D60-9ACD-4A01-962A-56813E0D3ACB}" name="Column11508"/>
    <tableColumn id="11515" xr3:uid="{8F6EF2C1-EAA9-4C98-BC00-3D7A80207B75}" name="Column11509"/>
    <tableColumn id="11516" xr3:uid="{3E970D46-1923-42E0-8335-66D1C3771A7C}" name="Column11510"/>
    <tableColumn id="11517" xr3:uid="{8EAB05B3-8FDD-47C8-B734-50002A1D62B1}" name="Column11511"/>
    <tableColumn id="11518" xr3:uid="{A762064A-57C8-4CFB-AAC8-E2D8E8E8BD9A}" name="Column11512"/>
    <tableColumn id="11519" xr3:uid="{1FD4A819-11DD-4120-9374-BD4B97A6E7F3}" name="Column11513"/>
    <tableColumn id="11520" xr3:uid="{69A3203A-8CCE-4056-92CF-6A342352A44E}" name="Column11514"/>
    <tableColumn id="11521" xr3:uid="{EB67A590-7265-44DB-9717-4449C3B04968}" name="Column11515"/>
    <tableColumn id="11522" xr3:uid="{4239B160-E56F-4425-8ADA-C02DF7B93196}" name="Column11516"/>
    <tableColumn id="11523" xr3:uid="{A403CCD1-A3E6-4165-BCC1-75472FDF7D0F}" name="Column11517"/>
    <tableColumn id="11524" xr3:uid="{22D7604A-E712-4D36-88C5-3F6391732CF5}" name="Column11518"/>
    <tableColumn id="11525" xr3:uid="{E03E8D0E-3C63-4855-9B82-37BA354F08FE}" name="Column11519"/>
    <tableColumn id="11526" xr3:uid="{D9F0F187-DE6F-48A6-BC79-BAB8E80A434E}" name="Column11520"/>
    <tableColumn id="11527" xr3:uid="{5CE079AC-A2FA-4FCE-9A8D-B6792BC52BE6}" name="Column11521"/>
    <tableColumn id="11528" xr3:uid="{B5AE7971-ACC5-4498-96BD-65D64A17F669}" name="Column11522"/>
    <tableColumn id="11529" xr3:uid="{5BEE7D6E-D300-4D44-834D-E8113E64A8B2}" name="Column11523"/>
    <tableColumn id="11530" xr3:uid="{088ADBB8-4972-4B96-B2EC-E118DB0FAB45}" name="Column11524"/>
    <tableColumn id="11531" xr3:uid="{222E193A-AEC6-44C4-802D-F682AD78BEFB}" name="Column11525"/>
    <tableColumn id="11532" xr3:uid="{971B029C-7449-44A1-BB69-43BB7F826B09}" name="Column11526"/>
    <tableColumn id="11533" xr3:uid="{621C7C3E-1126-4A03-8304-44332B1B2975}" name="Column11527"/>
    <tableColumn id="11534" xr3:uid="{AEF82E0C-9F40-4763-B7D7-45CEC1046CC5}" name="Column11528"/>
    <tableColumn id="11535" xr3:uid="{50369112-576E-42A9-A0C0-F8992BEFF227}" name="Column11529"/>
    <tableColumn id="11536" xr3:uid="{32C6BA52-DF8C-4008-9F31-B1E235C3F24E}" name="Column11530"/>
    <tableColumn id="11537" xr3:uid="{0825C7E4-A91F-4BAC-909F-58DFB76C4DC5}" name="Column11531"/>
    <tableColumn id="11538" xr3:uid="{A8F87B3C-B272-429F-83CD-EDE885367547}" name="Column11532"/>
    <tableColumn id="11539" xr3:uid="{63A14CD7-A14A-4090-A44C-518A39017C52}" name="Column11533"/>
    <tableColumn id="11540" xr3:uid="{D01FA24C-3863-4388-9191-7B49878DB02A}" name="Column11534"/>
    <tableColumn id="11541" xr3:uid="{3AA549D2-3016-414A-8A4B-CEFC1B90FEFD}" name="Column11535"/>
    <tableColumn id="11542" xr3:uid="{6258AB87-67A0-4271-A687-929FB18833A2}" name="Column11536"/>
    <tableColumn id="11543" xr3:uid="{505A8A4A-D7D4-45E0-ABFA-2BDCEECD6AE4}" name="Column11537"/>
    <tableColumn id="11544" xr3:uid="{FA9BFA1F-435B-4BA1-A167-2986932990A4}" name="Column11538"/>
    <tableColumn id="11545" xr3:uid="{67301DE1-4FB3-4002-AF28-F1856704EB38}" name="Column11539"/>
    <tableColumn id="11546" xr3:uid="{00358C12-CCBB-4FA7-85A7-568E563E3CD5}" name="Column11540"/>
    <tableColumn id="11547" xr3:uid="{D8D726FA-29FD-456C-B300-2691CD0053E0}" name="Column11541"/>
    <tableColumn id="11548" xr3:uid="{63380C31-D206-4BD2-9040-F4E405D8B560}" name="Column11542"/>
    <tableColumn id="11549" xr3:uid="{E79658EF-5B41-4605-9CDF-622569D774EC}" name="Column11543"/>
    <tableColumn id="11550" xr3:uid="{3C3ADEB1-9823-4CAE-A702-B6F540C5369A}" name="Column11544"/>
    <tableColumn id="11551" xr3:uid="{92257EF8-F966-44D7-B321-C0CC4D1BB4DF}" name="Column11545"/>
    <tableColumn id="11552" xr3:uid="{52CF2CF5-4EF0-4F04-9F92-11A05FDC4C71}" name="Column11546"/>
    <tableColumn id="11553" xr3:uid="{AA94218D-D054-4445-8C39-3623E17ACD4E}" name="Column11547"/>
    <tableColumn id="11554" xr3:uid="{AAA53F2E-5649-4B4A-948E-152FA33B15CF}" name="Column11548"/>
    <tableColumn id="11555" xr3:uid="{341F0D56-C9F9-47A7-AFD4-BE3D36ABF1DF}" name="Column11549"/>
    <tableColumn id="11556" xr3:uid="{CFDE6324-86D5-4289-96D6-9E66470FD525}" name="Column11550"/>
    <tableColumn id="11557" xr3:uid="{FF0420E0-0C7C-43D5-904D-CEAFE807D620}" name="Column11551"/>
    <tableColumn id="11558" xr3:uid="{EBA7D7A8-DA36-4C57-A785-D8D13310E5A8}" name="Column11552"/>
    <tableColumn id="11559" xr3:uid="{1A914867-ED90-474F-84FB-C113D13C8A08}" name="Column11553"/>
    <tableColumn id="11560" xr3:uid="{D39DB17F-A6EC-486D-A09C-88D236236798}" name="Column11554"/>
    <tableColumn id="11561" xr3:uid="{98D403B2-0E08-4DCC-A9EF-38729F4C8ED6}" name="Column11555"/>
    <tableColumn id="11562" xr3:uid="{7B915AC8-EEBA-4DEB-8ECE-044903589E69}" name="Column11556"/>
    <tableColumn id="11563" xr3:uid="{C6D55E8A-9CCB-403B-89C8-DED4CDF7112D}" name="Column11557"/>
    <tableColumn id="11564" xr3:uid="{F9ED3D79-804E-423E-9F12-9B5F04DCD2DC}" name="Column11558"/>
    <tableColumn id="11565" xr3:uid="{83D3952A-DD03-4909-AF7A-82CDEE384CF0}" name="Column11559"/>
    <tableColumn id="11566" xr3:uid="{F00E0CEC-F077-4782-9AEF-D8C639F2E5C4}" name="Column11560"/>
    <tableColumn id="11567" xr3:uid="{9E2CAAB2-7380-43D5-AE12-5462784B26C2}" name="Column11561"/>
    <tableColumn id="11568" xr3:uid="{D92CFCFE-C940-4C49-A4D3-8EF44DE10156}" name="Column11562"/>
    <tableColumn id="11569" xr3:uid="{E855EC56-2648-4FBF-A57C-F5D57F644741}" name="Column11563"/>
    <tableColumn id="11570" xr3:uid="{AACC2342-D23E-4AD2-B38F-4C05403AF7A7}" name="Column11564"/>
    <tableColumn id="11571" xr3:uid="{A91798AF-D326-4C69-B023-66B549BC3D86}" name="Column11565"/>
    <tableColumn id="11572" xr3:uid="{1683C667-2D32-414F-B141-D765314B75A8}" name="Column11566"/>
    <tableColumn id="11573" xr3:uid="{933CD20B-E7EB-4E95-9B12-ED195DDAFCB1}" name="Column11567"/>
    <tableColumn id="11574" xr3:uid="{F14203DE-3C3A-41EF-92FF-63E343E34E34}" name="Column11568"/>
    <tableColumn id="11575" xr3:uid="{5227443D-D7C3-40D1-8487-EF893DF7614C}" name="Column11569"/>
    <tableColumn id="11576" xr3:uid="{A854B71F-D82F-482E-8B02-A3ABDB688332}" name="Column11570"/>
    <tableColumn id="11577" xr3:uid="{1281DDFC-8454-4D36-8D91-A399152E9E7C}" name="Column11571"/>
    <tableColumn id="11578" xr3:uid="{90227CCA-3997-4EC8-B033-5C9FAD89B354}" name="Column11572"/>
    <tableColumn id="11579" xr3:uid="{06A8F5E6-1151-4C9E-AAAE-2CAAA1DC4F8F}" name="Column11573"/>
    <tableColumn id="11580" xr3:uid="{E5BDE974-A571-48DC-9AD4-61475B271427}" name="Column11574"/>
    <tableColumn id="11581" xr3:uid="{5C6E280C-93E8-4295-A656-9CE7CE312E3C}" name="Column11575"/>
    <tableColumn id="11582" xr3:uid="{9B69E3B9-72B4-4187-9EEC-6EFB49C8318A}" name="Column11576"/>
    <tableColumn id="11583" xr3:uid="{5F10AA31-6C11-4490-8548-8D5292998F05}" name="Column11577"/>
    <tableColumn id="11584" xr3:uid="{201D76EE-02B8-474A-B3B4-E4019BE17AA2}" name="Column11578"/>
    <tableColumn id="11585" xr3:uid="{7D2D3EB3-C530-4B71-B370-CA7605EA16CC}" name="Column11579"/>
    <tableColumn id="11586" xr3:uid="{AC2E84CB-2FA0-4025-A587-404239F2F407}" name="Column11580"/>
    <tableColumn id="11587" xr3:uid="{DAACFBD2-6ECC-426B-92C4-0AF8374ADE1C}" name="Column11581"/>
    <tableColumn id="11588" xr3:uid="{79381A46-EF9D-446D-A6C6-A07042A63D81}" name="Column11582"/>
    <tableColumn id="11589" xr3:uid="{F59464AC-9B72-43FE-8D44-FB67107D58C7}" name="Column11583"/>
    <tableColumn id="11590" xr3:uid="{35F776A0-9038-42AC-A317-68A98BCD8373}" name="Column11584"/>
    <tableColumn id="11591" xr3:uid="{18126101-7925-4568-969C-77E4A3F2A522}" name="Column11585"/>
    <tableColumn id="11592" xr3:uid="{19F28D96-02A9-4095-8FE8-262A5950FAD8}" name="Column11586"/>
    <tableColumn id="11593" xr3:uid="{AF15323D-5696-46E6-8A4E-1308FBCF0B96}" name="Column11587"/>
    <tableColumn id="11594" xr3:uid="{4F8D9B3B-BB57-427B-AA29-79AFBE31004E}" name="Column11588"/>
    <tableColumn id="11595" xr3:uid="{D304D788-47E7-44C8-820B-31E573FD74ED}" name="Column11589"/>
    <tableColumn id="11596" xr3:uid="{1DAC9A38-A6AD-4073-8D6C-F0270BFFA0E6}" name="Column11590"/>
    <tableColumn id="11597" xr3:uid="{BF0FE341-4720-4A53-BE3E-671284C0D087}" name="Column11591"/>
    <tableColumn id="11598" xr3:uid="{A1ED160D-14D3-4C7C-94F6-96D3D3C2194C}" name="Column11592"/>
    <tableColumn id="11599" xr3:uid="{AD819503-F616-4406-B3C4-35EB42E325DC}" name="Column11593"/>
    <tableColumn id="11600" xr3:uid="{44B0413A-55AC-46C6-B37E-67CEF83E23DD}" name="Column11594"/>
    <tableColumn id="11601" xr3:uid="{20C2D038-6323-456F-94DC-045CD1E16D8D}" name="Column11595"/>
    <tableColumn id="11602" xr3:uid="{7EE31AA1-C03D-4FF3-AFDE-DD1A1BF41ADE}" name="Column11596"/>
    <tableColumn id="11603" xr3:uid="{241325A6-61AE-4332-A53F-AA182B2E8ECC}" name="Column11597"/>
    <tableColumn id="11604" xr3:uid="{FA078A91-BE70-4572-A667-7CC67674844E}" name="Column11598"/>
    <tableColumn id="11605" xr3:uid="{10580928-F6A4-4AF7-A191-B73A69EF20D3}" name="Column11599"/>
    <tableColumn id="11606" xr3:uid="{841C8E8C-4CD9-40F3-9F65-AEA1A7DB1395}" name="Column11600"/>
    <tableColumn id="11607" xr3:uid="{4A4DDB38-1D18-4C6F-B00C-53735781C738}" name="Column11601"/>
    <tableColumn id="11608" xr3:uid="{4BA92B3F-289E-44BC-A074-1F251CC95EFB}" name="Column11602"/>
    <tableColumn id="11609" xr3:uid="{2B019100-1C51-444E-AD94-AE8B44CD5CD8}" name="Column11603"/>
    <tableColumn id="11610" xr3:uid="{08EFA9F3-2A6A-400E-9776-8F520BA5B4B0}" name="Column11604"/>
    <tableColumn id="11611" xr3:uid="{4F4E17E8-6D00-4D03-A55F-29AB5177E2C7}" name="Column11605"/>
    <tableColumn id="11612" xr3:uid="{AD2656E5-9E22-4AD2-9605-B6E9A2BF67B5}" name="Column11606"/>
    <tableColumn id="11613" xr3:uid="{15A89492-D453-4C8E-96A2-BA806CF3A817}" name="Column11607"/>
    <tableColumn id="11614" xr3:uid="{FA22D968-CAAD-465D-8EDB-72729666481F}" name="Column11608"/>
    <tableColumn id="11615" xr3:uid="{5727D201-41CD-40B5-A1C7-AE2BD9E073A3}" name="Column11609"/>
    <tableColumn id="11616" xr3:uid="{773C156F-A2ED-4C06-B63D-D85CB323AAFD}" name="Column11610"/>
    <tableColumn id="11617" xr3:uid="{BEE36D2D-0480-440F-B50D-7113454334E1}" name="Column11611"/>
    <tableColumn id="11618" xr3:uid="{9D815137-4948-4743-82FC-512F19C541B9}" name="Column11612"/>
    <tableColumn id="11619" xr3:uid="{AA78B4B2-D9A4-4BBC-92A1-C0FE8580108F}" name="Column11613"/>
    <tableColumn id="11620" xr3:uid="{144233E1-4E6E-458C-A018-2D2C272E98B6}" name="Column11614"/>
    <tableColumn id="11621" xr3:uid="{39A7BA9E-CE4F-4860-886F-AB217D19EB2C}" name="Column11615"/>
    <tableColumn id="11622" xr3:uid="{A336DFF7-FF2E-4360-A631-04F2EAF748C4}" name="Column11616"/>
    <tableColumn id="11623" xr3:uid="{A6851833-7637-464E-993E-4570C59F85CC}" name="Column11617"/>
    <tableColumn id="11624" xr3:uid="{8F3085F5-3B2A-488D-A7BC-408CB5273E26}" name="Column11618"/>
    <tableColumn id="11625" xr3:uid="{C9F13B24-12AF-49D0-9D22-91B00AFE37D4}" name="Column11619"/>
    <tableColumn id="11626" xr3:uid="{9D241BE7-D2CF-4F80-B0DD-E1D22C57033C}" name="Column11620"/>
    <tableColumn id="11627" xr3:uid="{C5759335-3D15-4C01-9E90-326E821BE5F3}" name="Column11621"/>
    <tableColumn id="11628" xr3:uid="{506238F3-6770-402C-8F4A-E47774AE7C5F}" name="Column11622"/>
    <tableColumn id="11629" xr3:uid="{6A8BF9B1-E23A-4FD5-9D68-0B7606FC9FC7}" name="Column11623"/>
    <tableColumn id="11630" xr3:uid="{37BF5237-9E0A-4205-A5D5-2652DA0D31ED}" name="Column11624"/>
    <tableColumn id="11631" xr3:uid="{3169091B-20DB-4B78-91E9-446C56EED744}" name="Column11625"/>
    <tableColumn id="11632" xr3:uid="{011ADAC6-1D1F-411E-9836-70815B6E6A67}" name="Column11626"/>
    <tableColumn id="11633" xr3:uid="{18962F58-90BD-451E-9FB9-A82722CA0090}" name="Column11627"/>
    <tableColumn id="11634" xr3:uid="{47C1B271-3F34-4117-BAD3-C699C51AAADC}" name="Column11628"/>
    <tableColumn id="11635" xr3:uid="{DBCA3D75-CD3F-42D3-BC98-6BE55276E97D}" name="Column11629"/>
    <tableColumn id="11636" xr3:uid="{81740CFF-787B-456B-9C15-C0D76960C64C}" name="Column11630"/>
    <tableColumn id="11637" xr3:uid="{D0C125BE-1AB2-414C-BDCB-136633CA92EA}" name="Column11631"/>
    <tableColumn id="11638" xr3:uid="{0CCD4EF1-3C25-4ED0-8431-CFCB5553AFA1}" name="Column11632"/>
    <tableColumn id="11639" xr3:uid="{7A82FC24-6565-4EEE-B2C3-CB5253BD3144}" name="Column11633"/>
    <tableColumn id="11640" xr3:uid="{1D580508-5816-4048-B67D-75BFF9F2FBE1}" name="Column11634"/>
    <tableColumn id="11641" xr3:uid="{92E76109-62C9-4661-BED7-DEDBF0AFAA42}" name="Column11635"/>
    <tableColumn id="11642" xr3:uid="{8F2340B1-4518-4AF0-920B-32074432FAC0}" name="Column11636"/>
    <tableColumn id="11643" xr3:uid="{A09D9B45-8172-45C4-85E6-04E85F97997D}" name="Column11637"/>
    <tableColumn id="11644" xr3:uid="{6431A994-CBA9-45C1-BF3D-7F77EA821968}" name="Column11638"/>
    <tableColumn id="11645" xr3:uid="{91EFFFDD-BF4A-4D75-9ADE-8C9383C067F0}" name="Column11639"/>
    <tableColumn id="11646" xr3:uid="{B66568FC-7382-4019-9389-5EA8255C7626}" name="Column11640"/>
    <tableColumn id="11647" xr3:uid="{16EFE650-4389-4076-B249-56293DE6AF23}" name="Column11641"/>
    <tableColumn id="11648" xr3:uid="{8510AF91-D395-4906-9DD7-12B093F0AD20}" name="Column11642"/>
    <tableColumn id="11649" xr3:uid="{66153716-2F20-4414-A90F-A470F87818DA}" name="Column11643"/>
    <tableColumn id="11650" xr3:uid="{A61930EA-70DB-440C-B86D-E5D29FE6B99A}" name="Column11644"/>
    <tableColumn id="11651" xr3:uid="{3C944167-72D8-40AF-9939-E2BD79C71DD3}" name="Column11645"/>
    <tableColumn id="11652" xr3:uid="{22098223-9DB3-4DFD-A513-092BC2E84B3F}" name="Column11646"/>
    <tableColumn id="11653" xr3:uid="{A5F135F4-84B6-4AF8-A9C1-E4FD8B22C6F9}" name="Column11647"/>
    <tableColumn id="11654" xr3:uid="{EE36158C-F9E4-4730-9F33-003F5002D905}" name="Column11648"/>
    <tableColumn id="11655" xr3:uid="{B70ED6BC-D514-457D-B415-C2B2D01A49DC}" name="Column11649"/>
    <tableColumn id="11656" xr3:uid="{2BB5B9CB-B039-4AB4-BE96-4FE42FDA9B3D}" name="Column11650"/>
    <tableColumn id="11657" xr3:uid="{DB8EB284-1344-4A0E-A063-9FBE951A71AF}" name="Column11651"/>
    <tableColumn id="11658" xr3:uid="{0D65F293-9C42-432A-B5BC-C593EC1931D0}" name="Column11652"/>
    <tableColumn id="11659" xr3:uid="{B9B2DBB7-6509-4559-8DD5-D7661AE65635}" name="Column11653"/>
    <tableColumn id="11660" xr3:uid="{97299C97-ED1B-4054-AA01-254FE50B7E14}" name="Column11654"/>
    <tableColumn id="11661" xr3:uid="{25A2915F-F26E-4ED5-BE05-741B90832E69}" name="Column11655"/>
    <tableColumn id="11662" xr3:uid="{EB0DF9C8-DC70-418A-BBD6-E1EFFA86EBC4}" name="Column11656"/>
    <tableColumn id="11663" xr3:uid="{C13A0130-ED52-4814-BE1F-746F653CC3A2}" name="Column11657"/>
    <tableColumn id="11664" xr3:uid="{CFE8BD4D-B028-4466-9CF7-71FEBFD88BAA}" name="Column11658"/>
    <tableColumn id="11665" xr3:uid="{C30835B8-B254-4F62-A53D-39F13FC056BB}" name="Column11659"/>
    <tableColumn id="11666" xr3:uid="{1C15C6D3-3433-42C6-AC87-F56CFCC9D710}" name="Column11660"/>
    <tableColumn id="11667" xr3:uid="{F3751BB9-16C7-455B-9B26-49AAC9520A08}" name="Column11661"/>
    <tableColumn id="11668" xr3:uid="{9DAF990C-991A-45AD-A31E-D6F70B3AC11F}" name="Column11662"/>
    <tableColumn id="11669" xr3:uid="{DCF09AEB-17DC-4DAD-BE6E-DA409F87C9C3}" name="Column11663"/>
    <tableColumn id="11670" xr3:uid="{2B706C25-22B6-4A97-82B8-75364D3CC52D}" name="Column11664"/>
    <tableColumn id="11671" xr3:uid="{8BE9337E-72E6-4444-9951-3E3ED59EA044}" name="Column11665"/>
    <tableColumn id="11672" xr3:uid="{9F8BD709-564A-4089-9229-18C7BD48BAFC}" name="Column11666"/>
    <tableColumn id="11673" xr3:uid="{20CFBFDB-C68F-42FF-A679-A8472EFCFC5C}" name="Column11667"/>
    <tableColumn id="11674" xr3:uid="{BB04518A-F029-4F6C-BEB4-AE4373D98077}" name="Column11668"/>
    <tableColumn id="11675" xr3:uid="{1B9461F6-988F-4338-8633-053C30968DCD}" name="Column11669"/>
    <tableColumn id="11676" xr3:uid="{94F1F580-582F-4FE1-A0AE-291CA57CBF0B}" name="Column11670"/>
    <tableColumn id="11677" xr3:uid="{05DD3AB8-EB23-462A-9C15-49CAE51912DE}" name="Column11671"/>
    <tableColumn id="11678" xr3:uid="{C2E71355-E491-4F3C-8865-28A9B2367E8F}" name="Column11672"/>
    <tableColumn id="11679" xr3:uid="{182E0D60-5E23-4062-9A1E-4941798EE353}" name="Column11673"/>
    <tableColumn id="11680" xr3:uid="{491770C3-AF45-4147-831D-88D02B83146A}" name="Column11674"/>
    <tableColumn id="11681" xr3:uid="{55F11391-FFB1-4C99-AC93-BF670FEF22C6}" name="Column11675"/>
    <tableColumn id="11682" xr3:uid="{D61D554A-6506-4836-B0EB-977330912160}" name="Column11676"/>
    <tableColumn id="11683" xr3:uid="{A6C5B7E7-2FAC-4FAE-9131-311780FB1CE0}" name="Column11677"/>
    <tableColumn id="11684" xr3:uid="{AA803322-383B-4C83-BA66-A2F280FD023D}" name="Column11678"/>
    <tableColumn id="11685" xr3:uid="{012C702A-4FEB-4C43-9D92-16700B98D876}" name="Column11679"/>
    <tableColumn id="11686" xr3:uid="{AE77181B-AF1A-462E-848D-544C98E96369}" name="Column11680"/>
    <tableColumn id="11687" xr3:uid="{1D4C2545-298F-4570-9330-EB1E47348E23}" name="Column11681"/>
    <tableColumn id="11688" xr3:uid="{FB69CA78-690E-42BD-9D10-6679AB698533}" name="Column11682"/>
    <tableColumn id="11689" xr3:uid="{6945281E-D9A3-4D8F-A82D-3A736ABFD7F5}" name="Column11683"/>
    <tableColumn id="11690" xr3:uid="{90F4554B-EEC9-4E30-BC16-6831B1055E91}" name="Column11684"/>
    <tableColumn id="11691" xr3:uid="{F245A74A-F049-4286-8612-B253B805F375}" name="Column11685"/>
    <tableColumn id="11692" xr3:uid="{FF4C0D9D-FC98-46F8-A439-FE5B01CA268D}" name="Column11686"/>
    <tableColumn id="11693" xr3:uid="{7DDFE173-C5DE-4AA0-9321-45F733D5C07A}" name="Column11687"/>
    <tableColumn id="11694" xr3:uid="{F11EDABF-EAF0-4247-887E-60C3D64202D3}" name="Column11688"/>
    <tableColumn id="11695" xr3:uid="{742948A1-830A-4AE3-8379-BF6372688517}" name="Column11689"/>
    <tableColumn id="11696" xr3:uid="{3A7E8C89-7D9E-42B3-A4CF-4EF8D56D6A99}" name="Column11690"/>
    <tableColumn id="11697" xr3:uid="{6F188BC4-EDDC-4262-9650-6C43E3246297}" name="Column11691"/>
    <tableColumn id="11698" xr3:uid="{47C3DA9B-5004-4AAF-AE62-D05143C19AD7}" name="Column11692"/>
    <tableColumn id="11699" xr3:uid="{EA445134-EAFD-4065-8971-544FD3115140}" name="Column11693"/>
    <tableColumn id="11700" xr3:uid="{62A7473F-68FD-4BA7-ABD8-1A6ECEF50D52}" name="Column11694"/>
    <tableColumn id="11701" xr3:uid="{4B3B6B71-45FD-4305-A0B1-C17F26CE4FD5}" name="Column11695"/>
    <tableColumn id="11702" xr3:uid="{1C62CB26-9E71-41F9-A563-F77AC879CC95}" name="Column11696"/>
    <tableColumn id="11703" xr3:uid="{47826244-D02B-4A6B-9436-70836E4E6F06}" name="Column11697"/>
    <tableColumn id="11704" xr3:uid="{32584566-EFB4-4800-BAF3-0AAE16F18611}" name="Column11698"/>
    <tableColumn id="11705" xr3:uid="{0BA6B05E-DE4B-4B3D-8FEB-32E08296A197}" name="Column11699"/>
    <tableColumn id="11706" xr3:uid="{7F14D8DA-1757-46DB-8F38-E45C8F152112}" name="Column11700"/>
    <tableColumn id="11707" xr3:uid="{1187ACE1-13FF-4ECA-87C2-6CAB5280A278}" name="Column11701"/>
    <tableColumn id="11708" xr3:uid="{2D460FD6-4068-4C46-B85C-21F3F651FEF1}" name="Column11702"/>
    <tableColumn id="11709" xr3:uid="{EC62046B-E314-4EA8-B758-1720F59F6A27}" name="Column11703"/>
    <tableColumn id="11710" xr3:uid="{6BBF33F8-C339-40E0-8747-2298ABFDC57C}" name="Column11704"/>
    <tableColumn id="11711" xr3:uid="{A2617B76-D09A-43A1-A264-55C903AD4CB1}" name="Column11705"/>
    <tableColumn id="11712" xr3:uid="{8F16972B-0E20-4117-8270-4A5F8D8A9077}" name="Column11706"/>
    <tableColumn id="11713" xr3:uid="{6F612563-F9D8-4441-B245-287C6E4A96B2}" name="Column11707"/>
    <tableColumn id="11714" xr3:uid="{1D1FB0F2-859C-40F4-B317-8AC0A0032898}" name="Column11708"/>
    <tableColumn id="11715" xr3:uid="{6E546035-A755-4F6D-931A-2E788D06D754}" name="Column11709"/>
    <tableColumn id="11716" xr3:uid="{43B05781-D51E-4376-9847-0378A4798E73}" name="Column11710"/>
    <tableColumn id="11717" xr3:uid="{36B12518-4C89-4CCE-9523-E4665562FB11}" name="Column11711"/>
    <tableColumn id="11718" xr3:uid="{F410A65C-3512-48C9-A34E-891476D7483D}" name="Column11712"/>
    <tableColumn id="11719" xr3:uid="{49F26A10-1A7E-4B73-99E1-2BD4C1758340}" name="Column11713"/>
    <tableColumn id="11720" xr3:uid="{543AFB1F-25E2-49D1-BFA6-F75095205E4A}" name="Column11714"/>
    <tableColumn id="11721" xr3:uid="{B107EC10-3EF0-4CB7-A37E-191E03C63EF5}" name="Column11715"/>
    <tableColumn id="11722" xr3:uid="{85E06659-F786-4EBA-88BE-EFC607F70A51}" name="Column11716"/>
    <tableColumn id="11723" xr3:uid="{680E042D-21B8-47CC-A9B9-B32F4A2C203F}" name="Column11717"/>
    <tableColumn id="11724" xr3:uid="{9E4A4B01-6D82-4B91-87A2-BB1FF21038AD}" name="Column11718"/>
    <tableColumn id="11725" xr3:uid="{2CF7F596-BBF5-406D-9B02-57782FB18530}" name="Column11719"/>
    <tableColumn id="11726" xr3:uid="{25C60730-916E-45D2-8CAC-F013E194ECA5}" name="Column11720"/>
    <tableColumn id="11727" xr3:uid="{837506C0-FED7-416B-82E7-E56F07E7C227}" name="Column11721"/>
    <tableColumn id="11728" xr3:uid="{7EE84671-F5C7-47E2-967E-79D26047734E}" name="Column11722"/>
    <tableColumn id="11729" xr3:uid="{EAE29051-885F-496F-8D59-3948EBE13495}" name="Column11723"/>
    <tableColumn id="11730" xr3:uid="{F967B0C1-C8FD-4F0D-8AB5-EA92CAE51E44}" name="Column11724"/>
    <tableColumn id="11731" xr3:uid="{78801398-9736-48C2-91D8-8334BDBEA9AD}" name="Column11725"/>
    <tableColumn id="11732" xr3:uid="{12190640-9459-4EB2-B282-6FAE835C1747}" name="Column11726"/>
    <tableColumn id="11733" xr3:uid="{38CC5566-379E-4221-BEF4-B30D03C6B79D}" name="Column11727"/>
    <tableColumn id="11734" xr3:uid="{6034DA2A-E5E1-4EF9-80FD-425EA1D33540}" name="Column11728"/>
    <tableColumn id="11735" xr3:uid="{39B9B8D2-B367-48FA-9C9B-F5D343B4A0FD}" name="Column11729"/>
    <tableColumn id="11736" xr3:uid="{F453707A-B09B-4B36-8A7C-7B715902C952}" name="Column11730"/>
    <tableColumn id="11737" xr3:uid="{F60FB070-1B1B-4167-8B9D-DBFFAEE3CA99}" name="Column11731"/>
    <tableColumn id="11738" xr3:uid="{E724D3F7-418B-40F1-BFAF-42EF9E4112B1}" name="Column11732"/>
    <tableColumn id="11739" xr3:uid="{F1333E02-7528-4FFD-B8D9-805FF24DD8BA}" name="Column11733"/>
    <tableColumn id="11740" xr3:uid="{5DAF77E6-8803-4A7E-8094-51C3D1747093}" name="Column11734"/>
    <tableColumn id="11741" xr3:uid="{6EAFD263-E1EA-42DF-84EB-A482F1F105EB}" name="Column11735"/>
    <tableColumn id="11742" xr3:uid="{F9DEE566-911F-47A1-A2D7-77DBEDE6B3A2}" name="Column11736"/>
    <tableColumn id="11743" xr3:uid="{07E38CFB-B135-4CAA-AE0A-6B323E8D3263}" name="Column11737"/>
    <tableColumn id="11744" xr3:uid="{BAC4E9D0-9614-483A-A784-9C2D7A0BFED5}" name="Column11738"/>
    <tableColumn id="11745" xr3:uid="{858CAB1A-DFD3-4506-A565-66540E16A9AA}" name="Column11739"/>
    <tableColumn id="11746" xr3:uid="{9E6C4D46-F73A-4D26-BC3B-53EF8B1F775C}" name="Column11740"/>
    <tableColumn id="11747" xr3:uid="{7F4FF4CE-AD57-41EF-A1A0-3193BED8000C}" name="Column11741"/>
    <tableColumn id="11748" xr3:uid="{A64D7784-208C-453A-9AFE-BC2081501D90}" name="Column11742"/>
    <tableColumn id="11749" xr3:uid="{222774BF-7D16-4D37-8510-1D43CF7126E4}" name="Column11743"/>
    <tableColumn id="11750" xr3:uid="{1AC5FEBA-32FA-4825-A538-20E5B770DC40}" name="Column11744"/>
    <tableColumn id="11751" xr3:uid="{37B2FC18-A67E-4C07-8375-D7AC55F8FA15}" name="Column11745"/>
    <tableColumn id="11752" xr3:uid="{842B92AF-43BA-46CC-839D-4A2CA3937DB1}" name="Column11746"/>
    <tableColumn id="11753" xr3:uid="{38C7C88E-C1C2-4520-993A-997A53914026}" name="Column11747"/>
    <tableColumn id="11754" xr3:uid="{84A7E5F1-821D-43B6-8601-D8256F6D92CF}" name="Column11748"/>
    <tableColumn id="11755" xr3:uid="{6B143EBB-82F8-44FD-BC04-1BFB685DF960}" name="Column11749"/>
    <tableColumn id="11756" xr3:uid="{A4C95BF2-A3D8-4E19-93F7-90D16D9D14CA}" name="Column11750"/>
    <tableColumn id="11757" xr3:uid="{73528CB0-7783-4A52-914B-55F134CBD8FD}" name="Column11751"/>
    <tableColumn id="11758" xr3:uid="{EE9ED989-DCF5-455D-883E-01B9F6CDC41F}" name="Column11752"/>
    <tableColumn id="11759" xr3:uid="{C8200B47-1EC2-4D35-B627-CF7C9D883A37}" name="Column11753"/>
    <tableColumn id="11760" xr3:uid="{EB65533E-599A-4529-85C0-CF80544DB740}" name="Column11754"/>
    <tableColumn id="11761" xr3:uid="{7D1549B7-CF70-4809-A947-045C39B7AFF2}" name="Column11755"/>
    <tableColumn id="11762" xr3:uid="{D6493B5D-8E31-4F9A-B3DD-B5FD44C9741C}" name="Column11756"/>
    <tableColumn id="11763" xr3:uid="{7C57454C-8016-4DF6-82E7-20051517B8E1}" name="Column11757"/>
    <tableColumn id="11764" xr3:uid="{6D1D9CFA-9DF2-4832-9BFE-F1D9F263D978}" name="Column11758"/>
    <tableColumn id="11765" xr3:uid="{C5E622C9-BFEE-4C1E-B5BF-EBCE5F7B4F9F}" name="Column11759"/>
    <tableColumn id="11766" xr3:uid="{9F11BC29-4042-4831-8B85-9415EEE2B6A0}" name="Column11760"/>
    <tableColumn id="11767" xr3:uid="{71B5AEF5-F5A4-40D2-B241-F426AD3DAFD8}" name="Column11761"/>
    <tableColumn id="11768" xr3:uid="{35CF92A4-40A2-4D0D-9510-366F28C70F92}" name="Column11762"/>
    <tableColumn id="11769" xr3:uid="{FF3AF794-EC71-4838-84AF-570F038868ED}" name="Column11763"/>
    <tableColumn id="11770" xr3:uid="{E0AF97BD-5B98-44A3-8D18-84D933E44C7D}" name="Column11764"/>
    <tableColumn id="11771" xr3:uid="{B2CD15A6-A128-44B1-B744-D65438421FE7}" name="Column11765"/>
    <tableColumn id="11772" xr3:uid="{942A45BE-10B8-4A70-BAD0-FE5CA307FEFE}" name="Column11766"/>
    <tableColumn id="11773" xr3:uid="{E31F64B5-4EB5-4FF8-AA66-426FAAA59205}" name="Column11767"/>
    <tableColumn id="11774" xr3:uid="{DEFCC0C0-3679-41F0-A1AA-96D9D6AC8ECA}" name="Column11768"/>
    <tableColumn id="11775" xr3:uid="{6A3254DF-2FB4-41DD-8006-71D5E9026C7A}" name="Column11769"/>
    <tableColumn id="11776" xr3:uid="{7B81354A-7C10-4AE8-8B03-2F7C3A6D8708}" name="Column11770"/>
    <tableColumn id="11777" xr3:uid="{E969556D-56C2-4705-A0AF-529F8E6A8EA9}" name="Column11771"/>
    <tableColumn id="11778" xr3:uid="{8EAAAE5E-509B-4C25-BAC0-FD89258F0C37}" name="Column11772"/>
    <tableColumn id="11779" xr3:uid="{CA24D893-5840-490B-A79E-BDFD4ED14CBE}" name="Column11773"/>
    <tableColumn id="11780" xr3:uid="{C4EF1EC9-C18F-4539-B622-89D6C204FDEA}" name="Column11774"/>
    <tableColumn id="11781" xr3:uid="{FFF95CE2-0FD9-4D8F-A686-66C0557A815C}" name="Column11775"/>
    <tableColumn id="11782" xr3:uid="{FA57CF22-8DD6-4F83-8C88-66DC3BC8CBF8}" name="Column11776"/>
    <tableColumn id="11783" xr3:uid="{F3E32BC5-2584-4937-A131-008C407EC62A}" name="Column11777"/>
    <tableColumn id="11784" xr3:uid="{D8C893CB-0E8A-4B8F-AD3E-AF60ACBE96BD}" name="Column11778"/>
    <tableColumn id="11785" xr3:uid="{33CBC7F9-D8E1-4BE5-BA5E-FFA624F34361}" name="Column11779"/>
    <tableColumn id="11786" xr3:uid="{D75F2073-1F5F-49A2-9028-5A9D446BD7AD}" name="Column11780"/>
    <tableColumn id="11787" xr3:uid="{3D70D589-33B7-45E8-8147-9E5C05B996C5}" name="Column11781"/>
    <tableColumn id="11788" xr3:uid="{8E85B613-4C84-41A5-9EBC-73E823BEA1EB}" name="Column11782"/>
    <tableColumn id="11789" xr3:uid="{20811BEE-0E06-43F2-9F92-730CBF875D8D}" name="Column11783"/>
    <tableColumn id="11790" xr3:uid="{AFF586D3-FE14-4AF5-BEA4-321A68025310}" name="Column11784"/>
    <tableColumn id="11791" xr3:uid="{7B8BADF2-5B38-43FF-8C3E-AA8244812441}" name="Column11785"/>
    <tableColumn id="11792" xr3:uid="{5E35190B-698C-4D3F-A4A0-18B5D15E2128}" name="Column11786"/>
    <tableColumn id="11793" xr3:uid="{F47663CA-095D-4C32-8E44-29E38EEF6421}" name="Column11787"/>
    <tableColumn id="11794" xr3:uid="{53311D65-62E5-47BE-A6FB-1DB28205A837}" name="Column11788"/>
    <tableColumn id="11795" xr3:uid="{929381B1-68E1-457E-9B74-92E1D177D40C}" name="Column11789"/>
    <tableColumn id="11796" xr3:uid="{D9393238-D652-4369-80C1-8D198C73AC5C}" name="Column11790"/>
    <tableColumn id="11797" xr3:uid="{08D2F198-4A5D-4D08-A070-10F0AD0A98E0}" name="Column11791"/>
    <tableColumn id="11798" xr3:uid="{57A5787F-7D68-4C6C-908D-49968CCF8874}" name="Column11792"/>
    <tableColumn id="11799" xr3:uid="{CB96A6A1-4E87-470F-B27F-6CE08DB46E64}" name="Column11793"/>
    <tableColumn id="11800" xr3:uid="{40087F34-9F7A-48F8-91E9-5C5A5EB1388B}" name="Column11794"/>
    <tableColumn id="11801" xr3:uid="{F68E89C4-F4B5-4E75-99A3-8BD314838ADD}" name="Column11795"/>
    <tableColumn id="11802" xr3:uid="{C93E89B3-A525-4C34-9138-463E659C1E02}" name="Column11796"/>
    <tableColumn id="11803" xr3:uid="{A9382E9F-6F93-4AF6-BC35-2408FA3C45FA}" name="Column11797"/>
    <tableColumn id="11804" xr3:uid="{E62EB968-0F74-4F82-8900-9622369CBB49}" name="Column11798"/>
    <tableColumn id="11805" xr3:uid="{B4B9045F-B725-4246-ABD5-ACCAFECF1813}" name="Column11799"/>
    <tableColumn id="11806" xr3:uid="{BA8D4F33-E101-49BD-A479-9E963234A11C}" name="Column11800"/>
    <tableColumn id="11807" xr3:uid="{B5C6DEF0-CD5F-4A40-BB38-1EDD79A39054}" name="Column11801"/>
    <tableColumn id="11808" xr3:uid="{D7DD2062-3673-4C0F-8E90-CF688901BA60}" name="Column11802"/>
    <tableColumn id="11809" xr3:uid="{4E432CEF-9B65-4250-891E-453D4774D379}" name="Column11803"/>
    <tableColumn id="11810" xr3:uid="{D76AC9C9-67BF-4F58-92A2-0C3DB96AA0B1}" name="Column11804"/>
    <tableColumn id="11811" xr3:uid="{760A1487-10E8-4FF4-BFFF-93694E936351}" name="Column11805"/>
    <tableColumn id="11812" xr3:uid="{7F3543EC-BA06-4443-AF28-91AD6336D53D}" name="Column11806"/>
    <tableColumn id="11813" xr3:uid="{830F8D76-F37F-4F36-BB9E-75CD4E9A6845}" name="Column11807"/>
    <tableColumn id="11814" xr3:uid="{7E3F9239-1A98-42D5-A641-8D63DC56B587}" name="Column11808"/>
    <tableColumn id="11815" xr3:uid="{9FA1C416-043B-463E-8CDA-7FABBC0090B6}" name="Column11809"/>
    <tableColumn id="11816" xr3:uid="{DFDB48A4-DC20-471F-A114-D726C881CB29}" name="Column11810"/>
    <tableColumn id="11817" xr3:uid="{7424C4A3-8E88-47F8-9E12-D498183E6866}" name="Column11811"/>
    <tableColumn id="11818" xr3:uid="{5544DE19-072D-4745-964B-5BCE54DBE030}" name="Column11812"/>
    <tableColumn id="11819" xr3:uid="{06695DDC-DA54-4CB1-A1E8-0D357D28461C}" name="Column11813"/>
    <tableColumn id="11820" xr3:uid="{A683F6BA-4546-44EF-A4A6-82E470B7324C}" name="Column11814"/>
    <tableColumn id="11821" xr3:uid="{4EB8F3F8-60F1-4CD1-A220-D9E5647C036F}" name="Column11815"/>
    <tableColumn id="11822" xr3:uid="{E8757603-C79B-48FE-8971-2BFFFC2C970C}" name="Column11816"/>
    <tableColumn id="11823" xr3:uid="{59EE234F-B4B9-40B8-8142-499663F14915}" name="Column11817"/>
    <tableColumn id="11824" xr3:uid="{3B3F0396-1468-4825-B326-0EB433EFD442}" name="Column11818"/>
    <tableColumn id="11825" xr3:uid="{01C0C8D4-6EF8-4C45-944B-0F0C9F4107B3}" name="Column11819"/>
    <tableColumn id="11826" xr3:uid="{6AC75FC8-A4C6-4DBE-B23A-843FFDAD6335}" name="Column11820"/>
    <tableColumn id="11827" xr3:uid="{298BD423-86FA-4CB8-8F8B-B0416E6211B4}" name="Column11821"/>
    <tableColumn id="11828" xr3:uid="{443FB3EF-048A-410E-9366-83401A300150}" name="Column11822"/>
    <tableColumn id="11829" xr3:uid="{9D149990-FE85-4E58-9604-ED62F29B8658}" name="Column11823"/>
    <tableColumn id="11830" xr3:uid="{61D6DA98-F3C2-4B44-B2A8-F9FAAABFB5FB}" name="Column11824"/>
    <tableColumn id="11831" xr3:uid="{C5C5D441-A4DF-4165-882C-23DB28EF82AA}" name="Column11825"/>
    <tableColumn id="11832" xr3:uid="{B410E4DB-7F2A-47D2-8274-60455F36A276}" name="Column11826"/>
    <tableColumn id="11833" xr3:uid="{D9F7E336-461F-4B8E-A176-90A44AA42313}" name="Column11827"/>
    <tableColumn id="11834" xr3:uid="{CD0A8E5A-02DE-436A-8B4B-559DA0F6ABBB}" name="Column11828"/>
    <tableColumn id="11835" xr3:uid="{C66076FC-F061-48DF-B318-5A8C2C70FEB0}" name="Column11829"/>
    <tableColumn id="11836" xr3:uid="{BC7443C5-33B5-47B6-BAC0-08ED20B2E9B6}" name="Column11830"/>
    <tableColumn id="11837" xr3:uid="{6C4574EF-E964-4006-BBFA-8FAD048DA0FF}" name="Column11831"/>
    <tableColumn id="11838" xr3:uid="{8DEFAA5C-1E56-4EE4-8F45-A0867D4DE401}" name="Column11832"/>
    <tableColumn id="11839" xr3:uid="{D5523936-9BF7-4E8A-B8E3-A159AF621896}" name="Column11833"/>
    <tableColumn id="11840" xr3:uid="{9834E39F-6809-4B8B-880B-7118C2D38CEB}" name="Column11834"/>
    <tableColumn id="11841" xr3:uid="{9C58028E-E3E2-4726-B377-3C7E2ABF1536}" name="Column11835"/>
    <tableColumn id="11842" xr3:uid="{8BB85835-DA72-418D-9DA7-226BE1C9DF45}" name="Column11836"/>
    <tableColumn id="11843" xr3:uid="{A899191E-FCEA-499D-81E0-5016F305EDFB}" name="Column11837"/>
    <tableColumn id="11844" xr3:uid="{0D2204C9-5F0D-4774-AFA0-881888577387}" name="Column11838"/>
    <tableColumn id="11845" xr3:uid="{2DC2DA13-E4AC-4150-A76B-46778C27722D}" name="Column11839"/>
    <tableColumn id="11846" xr3:uid="{57DEE9DC-56B3-4C32-B5AF-E487DFFF9F46}" name="Column11840"/>
    <tableColumn id="11847" xr3:uid="{43AC1CA3-69E2-42B2-9596-027255A6CCA2}" name="Column11841"/>
    <tableColumn id="11848" xr3:uid="{86541E09-4764-4525-867A-A3AE349A82EA}" name="Column11842"/>
    <tableColumn id="11849" xr3:uid="{BC2D17FF-0074-4BA1-BD17-9DDAFBC5D8BE}" name="Column11843"/>
    <tableColumn id="11850" xr3:uid="{F2C1DE68-D018-4248-8E9A-B64715337F2E}" name="Column11844"/>
    <tableColumn id="11851" xr3:uid="{33572DE9-6CDF-4D4B-806F-11E0883FE890}" name="Column11845"/>
    <tableColumn id="11852" xr3:uid="{97C61CB0-5AC1-4FA2-9FC7-7E58558CC09C}" name="Column11846"/>
    <tableColumn id="11853" xr3:uid="{139DAC8C-FB2F-4D87-8DFB-B371963D95E1}" name="Column11847"/>
    <tableColumn id="11854" xr3:uid="{0345AE93-9DF4-42AC-B53A-9706E6BEEC6C}" name="Column11848"/>
    <tableColumn id="11855" xr3:uid="{532F73A2-E300-4126-9345-7D6A5974219D}" name="Column11849"/>
    <tableColumn id="11856" xr3:uid="{54FB133B-056F-40D7-8682-36075690FCC5}" name="Column11850"/>
    <tableColumn id="11857" xr3:uid="{788E8E4B-137B-4B3C-A05C-69B332EAEB27}" name="Column11851"/>
    <tableColumn id="11858" xr3:uid="{21299924-BDE2-4A1C-A3F1-E68E133FFAF3}" name="Column11852"/>
    <tableColumn id="11859" xr3:uid="{81AF5884-76DC-4D02-A3F8-5A898D08A42B}" name="Column11853"/>
    <tableColumn id="11860" xr3:uid="{1495F29F-5787-4759-AAF6-AD94F9644FF3}" name="Column11854"/>
    <tableColumn id="11861" xr3:uid="{563C016F-8805-477C-8E61-52B5C85D40F2}" name="Column11855"/>
    <tableColumn id="11862" xr3:uid="{E23E6A98-C712-4CF2-BDC5-2EFAEAD0C5BA}" name="Column11856"/>
    <tableColumn id="11863" xr3:uid="{E3ED39CA-2830-434D-83D2-6C1B25B02FEA}" name="Column11857"/>
    <tableColumn id="11864" xr3:uid="{1318C5CF-8393-4393-A393-96B61571DF89}" name="Column11858"/>
    <tableColumn id="11865" xr3:uid="{84C554BD-1F97-49F6-9F00-57FD4DDAA1FF}" name="Column11859"/>
    <tableColumn id="11866" xr3:uid="{8909302D-3C98-4127-8D45-C26B38ED765F}" name="Column11860"/>
    <tableColumn id="11867" xr3:uid="{7AD683F1-F2C1-42F7-B24F-8E53066689F5}" name="Column11861"/>
    <tableColumn id="11868" xr3:uid="{E5954EA3-0E45-4178-AEF7-4F818A5B27B9}" name="Column11862"/>
    <tableColumn id="11869" xr3:uid="{8F6977E9-27E9-4E84-85F1-162D75E946CF}" name="Column11863"/>
    <tableColumn id="11870" xr3:uid="{66AFED94-D450-48FE-8049-F5914EF47075}" name="Column11864"/>
    <tableColumn id="11871" xr3:uid="{95575813-3092-4F7D-AB89-A02628D768BF}" name="Column11865"/>
    <tableColumn id="11872" xr3:uid="{E2E1B9BE-E138-400A-A88D-4E00188D4C7A}" name="Column11866"/>
    <tableColumn id="11873" xr3:uid="{7CDA3D34-B547-43B8-9785-4A5C402B7805}" name="Column11867"/>
    <tableColumn id="11874" xr3:uid="{1AA03412-AAB3-4234-B779-FE5D4A9FF90F}" name="Column11868"/>
    <tableColumn id="11875" xr3:uid="{5F52CCC4-8409-48A1-8A6C-AEDF97219E89}" name="Column11869"/>
    <tableColumn id="11876" xr3:uid="{DE373582-D65E-48AE-8C5D-8B56FC07BBCA}" name="Column11870"/>
    <tableColumn id="11877" xr3:uid="{69B66D0A-9BDF-49C1-943C-78BBAC77EE29}" name="Column11871"/>
    <tableColumn id="11878" xr3:uid="{38CCF7CC-BDAB-4AA0-AC0B-FE4C7453C706}" name="Column11872"/>
    <tableColumn id="11879" xr3:uid="{8C94330D-F74E-4B9E-A158-DF2C6265F284}" name="Column11873"/>
    <tableColumn id="11880" xr3:uid="{F11CF872-987E-490F-81EB-B68321A0F326}" name="Column11874"/>
    <tableColumn id="11881" xr3:uid="{CABCE2A0-1AB0-48DF-8E1C-2ADB6487F405}" name="Column11875"/>
    <tableColumn id="11882" xr3:uid="{C6D1406C-6183-49C1-BA38-615FC0E8D0C9}" name="Column11876"/>
    <tableColumn id="11883" xr3:uid="{49B82F5E-1BA0-4240-99A4-88ADBE61C3D2}" name="Column11877"/>
    <tableColumn id="11884" xr3:uid="{D829F2F7-2968-486D-9A80-1D8C64B5B6AC}" name="Column11878"/>
    <tableColumn id="11885" xr3:uid="{04AB9B19-EC8E-4AC2-A91E-4E53FB802A13}" name="Column11879"/>
    <tableColumn id="11886" xr3:uid="{F7E89D90-E2A9-4C36-8848-BA664E40F42A}" name="Column11880"/>
    <tableColumn id="11887" xr3:uid="{5F59EE08-4CDF-4EFC-86DB-DA24BBE7B6DE}" name="Column11881"/>
    <tableColumn id="11888" xr3:uid="{0AA16810-9736-4EE0-A158-39A545FCF300}" name="Column11882"/>
    <tableColumn id="11889" xr3:uid="{C7072F0F-3039-4015-A6AD-18575D65F412}" name="Column11883"/>
    <tableColumn id="11890" xr3:uid="{7B659FC5-DCBD-4FE4-91B7-FC8621C8E493}" name="Column11884"/>
    <tableColumn id="11891" xr3:uid="{589AB9BB-E0CD-4620-A50D-79B330C5B4A9}" name="Column11885"/>
    <tableColumn id="11892" xr3:uid="{4DFAAB1D-46B3-468C-8828-BFEB1EC61CB5}" name="Column11886"/>
    <tableColumn id="11893" xr3:uid="{D6C3CE05-5BDE-45F5-A5FF-72570CB458BE}" name="Column11887"/>
    <tableColumn id="11894" xr3:uid="{74E2409A-FFCB-4DF7-825D-374F0DEFE363}" name="Column11888"/>
    <tableColumn id="11895" xr3:uid="{860CBD42-D0C4-4E8D-A51B-31DEEE0762B9}" name="Column11889"/>
    <tableColumn id="11896" xr3:uid="{F14200EC-FE98-4867-BF4A-5885DEECD934}" name="Column11890"/>
    <tableColumn id="11897" xr3:uid="{28BBB4B9-EBD6-4D07-B1E1-846587F2B7E8}" name="Column11891"/>
    <tableColumn id="11898" xr3:uid="{58C01E89-D7B9-4D15-A903-B8B67AE867DC}" name="Column11892"/>
    <tableColumn id="11899" xr3:uid="{36BB4D00-E080-4029-9140-CFB27709653D}" name="Column11893"/>
    <tableColumn id="11900" xr3:uid="{9E87169A-BA0A-4187-8F76-0578C6E48693}" name="Column11894"/>
    <tableColumn id="11901" xr3:uid="{7F475BB2-0A70-4E36-B71F-2505795787B0}" name="Column11895"/>
    <tableColumn id="11902" xr3:uid="{4CC17887-360A-49F0-96E9-22C971080AFA}" name="Column11896"/>
    <tableColumn id="11903" xr3:uid="{64BCD02A-1A59-4138-B83C-2DB861B4DCE9}" name="Column11897"/>
    <tableColumn id="11904" xr3:uid="{1AA3B038-0CB3-46CB-B1B6-7BA304D3E3D0}" name="Column11898"/>
    <tableColumn id="11905" xr3:uid="{2B7AB215-3F96-434A-BF11-9AEEE642B207}" name="Column11899"/>
    <tableColumn id="11906" xr3:uid="{D6DC8707-E7FA-45A4-AA2D-D8CD1A784F99}" name="Column11900"/>
    <tableColumn id="11907" xr3:uid="{46B2AC7E-3AF1-4FC6-9E32-1877D48393C5}" name="Column11901"/>
    <tableColumn id="11908" xr3:uid="{8E114F0F-10B6-470E-9FA4-25B15C95B506}" name="Column11902"/>
    <tableColumn id="11909" xr3:uid="{547B0A57-D7B6-4827-9B08-7CA38914E624}" name="Column11903"/>
    <tableColumn id="11910" xr3:uid="{32EA9CD6-EC9F-4A3E-B681-EB08A9445313}" name="Column11904"/>
    <tableColumn id="11911" xr3:uid="{235F4EEC-44DB-4817-B829-1337E46EBFB4}" name="Column11905"/>
    <tableColumn id="11912" xr3:uid="{86D7498E-9D17-4183-9442-E3FB77914E54}" name="Column11906"/>
    <tableColumn id="11913" xr3:uid="{74C458C6-FD91-4BD2-A98B-9E1816632810}" name="Column11907"/>
    <tableColumn id="11914" xr3:uid="{0B713E5A-5CCD-4BC3-96BA-0588AD393CF1}" name="Column11908"/>
    <tableColumn id="11915" xr3:uid="{60A5E5C5-AB81-4F7D-A850-A2F4CDEC881E}" name="Column11909"/>
    <tableColumn id="11916" xr3:uid="{57695561-131D-48F5-8C29-8EC85FD4760A}" name="Column11910"/>
    <tableColumn id="11917" xr3:uid="{7382EA07-4498-4100-AD20-F3A99C1C7EDC}" name="Column11911"/>
    <tableColumn id="11918" xr3:uid="{10AEBF19-401F-4AE9-891D-D4573F8E0539}" name="Column11912"/>
    <tableColumn id="11919" xr3:uid="{0F8B0DB0-04EC-492B-BC62-1614AB4E0DF1}" name="Column11913"/>
    <tableColumn id="11920" xr3:uid="{C08C1FE3-7281-4E4C-92C4-BB022D9CC172}" name="Column11914"/>
    <tableColumn id="11921" xr3:uid="{AED1D8A6-EF2B-4DF9-8AB6-342758508B48}" name="Column11915"/>
    <tableColumn id="11922" xr3:uid="{11538BFE-1710-4158-80D0-12B979BEE2C3}" name="Column11916"/>
    <tableColumn id="11923" xr3:uid="{D9929495-8043-48C2-A380-67B1CFB646A3}" name="Column11917"/>
    <tableColumn id="11924" xr3:uid="{C0DCF2ED-E548-4BC7-8179-B069F342F1C3}" name="Column11918"/>
    <tableColumn id="11925" xr3:uid="{C5383A29-7208-495A-94B8-188772C100FB}" name="Column11919"/>
    <tableColumn id="11926" xr3:uid="{A9525EA3-3F66-43A5-A8DD-EEBFFDE005AF}" name="Column11920"/>
    <tableColumn id="11927" xr3:uid="{99DCD852-10CD-4A9A-BC4E-4582154144C1}" name="Column11921"/>
    <tableColumn id="11928" xr3:uid="{7D849742-6C48-4DD9-AF64-19000E4D9E2E}" name="Column11922"/>
    <tableColumn id="11929" xr3:uid="{CB703502-C77B-4218-91C4-D7F55F8A4DEE}" name="Column11923"/>
    <tableColumn id="11930" xr3:uid="{EA651321-574A-4F55-BF7F-2EEDA5829E34}" name="Column11924"/>
    <tableColumn id="11931" xr3:uid="{FA5E1626-8A12-46C6-8668-E8F692454E34}" name="Column11925"/>
    <tableColumn id="11932" xr3:uid="{3BB287A1-03BB-46D6-AF64-DAAA31E792A0}" name="Column11926"/>
    <tableColumn id="11933" xr3:uid="{F028B7B8-EE85-472B-97F2-3A7A3017162B}" name="Column11927"/>
    <tableColumn id="11934" xr3:uid="{915CA091-535F-4CD2-A8D9-5967CC75C607}" name="Column11928"/>
    <tableColumn id="11935" xr3:uid="{B4372477-7577-4AD8-B11B-0343BCFD8ECF}" name="Column11929"/>
    <tableColumn id="11936" xr3:uid="{658D9BEE-4BF4-4AC9-AA8F-93A99B20373D}" name="Column11930"/>
    <tableColumn id="11937" xr3:uid="{1A90B050-3C7E-4990-ADDD-8319D8B94BE0}" name="Column11931"/>
    <tableColumn id="11938" xr3:uid="{6F90FD06-6028-4770-AE6F-FEBCBDF2194C}" name="Column11932"/>
    <tableColumn id="11939" xr3:uid="{B5B3FA3B-7D29-45A8-814A-8F179F1A516B}" name="Column11933"/>
    <tableColumn id="11940" xr3:uid="{BF8369B8-3C36-42EA-AE01-3BF7308EE226}" name="Column11934"/>
    <tableColumn id="11941" xr3:uid="{6DE41C91-135B-4C41-AAA3-F128276868F0}" name="Column11935"/>
    <tableColumn id="11942" xr3:uid="{0974903B-3A24-4FA6-855F-02770B51DAB5}" name="Column11936"/>
    <tableColumn id="11943" xr3:uid="{3D27B8F4-6B20-4ACF-8372-B21AD6C67D39}" name="Column11937"/>
    <tableColumn id="11944" xr3:uid="{42ABE941-409E-4779-B466-537BCCCC2784}" name="Column11938"/>
    <tableColumn id="11945" xr3:uid="{E2A0B137-3583-412B-9C3B-5A4C0EC82A62}" name="Column11939"/>
    <tableColumn id="11946" xr3:uid="{AF3D6F75-6151-4C3E-8D60-B64F59251407}" name="Column11940"/>
    <tableColumn id="11947" xr3:uid="{4E501EBA-5F98-4F9C-A8AE-94DB2FBE5A78}" name="Column11941"/>
    <tableColumn id="11948" xr3:uid="{96815ED1-7DAA-4443-8168-4290A5EF5371}" name="Column11942"/>
    <tableColumn id="11949" xr3:uid="{F2A8F85B-C447-410C-BFFE-D2C68C022BD7}" name="Column11943"/>
    <tableColumn id="11950" xr3:uid="{C986FD26-AD12-4B92-A4A2-9EB3E3FF1D88}" name="Column11944"/>
    <tableColumn id="11951" xr3:uid="{9386EC35-7622-471C-BB66-32DA5F54D791}" name="Column11945"/>
    <tableColumn id="11952" xr3:uid="{A0E41285-E495-49EF-B205-9AE10A903D76}" name="Column11946"/>
    <tableColumn id="11953" xr3:uid="{B72AE3FD-2509-4916-8300-A75E219A452C}" name="Column11947"/>
    <tableColumn id="11954" xr3:uid="{5A1D35CE-714B-4758-A7D3-488E5DF00227}" name="Column11948"/>
    <tableColumn id="11955" xr3:uid="{C8E18752-4C3C-4086-A715-E94023886D98}" name="Column11949"/>
    <tableColumn id="11956" xr3:uid="{08D95707-42BE-4A06-A732-C9A8FE50D3A2}" name="Column11950"/>
    <tableColumn id="11957" xr3:uid="{D3AF08E4-2472-44E1-AC00-4BC54748EB16}" name="Column11951"/>
    <tableColumn id="11958" xr3:uid="{6EB10EEE-5A98-4A37-A066-7CD5EA3EF5D9}" name="Column11952"/>
    <tableColumn id="11959" xr3:uid="{B4E7EAE9-B25C-4584-AB0B-FF205B30165A}" name="Column11953"/>
    <tableColumn id="11960" xr3:uid="{7FD8F513-791A-4F02-BE5C-0695605A9E04}" name="Column11954"/>
    <tableColumn id="11961" xr3:uid="{3AF8A6AE-5166-41E7-BFF2-FCF8A53A2FE4}" name="Column11955"/>
    <tableColumn id="11962" xr3:uid="{77E16A84-1DFB-49CF-BE8F-CCD9F97D0910}" name="Column11956"/>
    <tableColumn id="11963" xr3:uid="{47705CD7-8102-4696-B577-98D532216551}" name="Column11957"/>
    <tableColumn id="11964" xr3:uid="{BCFC02D3-8906-45FB-9E6C-388584A089F2}" name="Column11958"/>
    <tableColumn id="11965" xr3:uid="{AA4CA2F7-1E0E-4EC1-8588-F8A8794D7977}" name="Column11959"/>
    <tableColumn id="11966" xr3:uid="{01EC7C69-F724-4DFC-A33F-69B3A065F87F}" name="Column11960"/>
    <tableColumn id="11967" xr3:uid="{964EBBAE-C5C0-44B8-AB57-EF857944639B}" name="Column11961"/>
    <tableColumn id="11968" xr3:uid="{2E07F1D2-E744-4150-B7A9-A77FD533900F}" name="Column11962"/>
    <tableColumn id="11969" xr3:uid="{6B1E4F33-DBD1-48C0-B26A-2FF416132775}" name="Column11963"/>
    <tableColumn id="11970" xr3:uid="{629397EE-FC1F-464F-AF0A-70E3655EDE57}" name="Column11964"/>
    <tableColumn id="11971" xr3:uid="{7F35FFF8-8FFD-41F5-9EE4-E5D88AF2457C}" name="Column11965"/>
    <tableColumn id="11972" xr3:uid="{E14108F3-4592-4A1E-8AEE-DEE91AA770B9}" name="Column11966"/>
    <tableColumn id="11973" xr3:uid="{3AE103C2-6F61-4ADB-B7A2-78A9803F7767}" name="Column11967"/>
    <tableColumn id="11974" xr3:uid="{0B67F31B-911D-43E7-A2A0-4D7E410FF97F}" name="Column11968"/>
    <tableColumn id="11975" xr3:uid="{C1BAAD60-BD4B-43B8-B725-571EEE28070D}" name="Column11969"/>
    <tableColumn id="11976" xr3:uid="{4593502D-9405-4ED1-B136-3DB60BF11567}" name="Column11970"/>
    <tableColumn id="11977" xr3:uid="{0038C119-B0C6-42CF-B3E3-D26AC61C1FE0}" name="Column11971"/>
    <tableColumn id="11978" xr3:uid="{B2A8F2C1-83E7-4ED6-9E97-32F38EC7FA42}" name="Column11972"/>
    <tableColumn id="11979" xr3:uid="{506FD335-AE44-4833-9A71-246F42B51302}" name="Column11973"/>
    <tableColumn id="11980" xr3:uid="{1658F477-DF66-4BF9-9563-9EA92C81FFB5}" name="Column11974"/>
    <tableColumn id="11981" xr3:uid="{310CA59F-5F56-4A51-8A17-71891866CFBF}" name="Column11975"/>
    <tableColumn id="11982" xr3:uid="{B284F984-EF61-42E0-89A1-148BFFE1D26E}" name="Column11976"/>
    <tableColumn id="11983" xr3:uid="{DE14F898-C843-4816-99BB-695718385866}" name="Column11977"/>
    <tableColumn id="11984" xr3:uid="{B514C247-6B3B-49F1-B597-0BBA3A365966}" name="Column11978"/>
    <tableColumn id="11985" xr3:uid="{91307592-02C3-4CD2-93F8-4AFB6733741E}" name="Column11979"/>
    <tableColumn id="11986" xr3:uid="{6B9582CF-CB33-44DC-8ABB-74F4C9BB6D42}" name="Column11980"/>
    <tableColumn id="11987" xr3:uid="{8360F8A2-47BD-4E70-ABD4-905EADA1F69D}" name="Column11981"/>
    <tableColumn id="11988" xr3:uid="{C4FDEB53-18D2-4B16-86BF-C1F11B3628F3}" name="Column11982"/>
    <tableColumn id="11989" xr3:uid="{D4CE7B3B-7343-4838-857F-5D0A8722718F}" name="Column11983"/>
    <tableColumn id="11990" xr3:uid="{06DD0C28-1A11-423F-B16A-46A1C175A339}" name="Column11984"/>
    <tableColumn id="11991" xr3:uid="{BE29B513-F677-4740-AD2C-634B741A974E}" name="Column11985"/>
    <tableColumn id="11992" xr3:uid="{1D9ED9D2-2B90-41D0-A344-C5CA2646B4CA}" name="Column11986"/>
    <tableColumn id="11993" xr3:uid="{36723034-5721-4699-B0A1-4D702A840B0D}" name="Column11987"/>
    <tableColumn id="11994" xr3:uid="{128DE9EA-4C7B-41BE-9ED0-8B2DFF7F9967}" name="Column11988"/>
    <tableColumn id="11995" xr3:uid="{2AFA8CA0-F470-4E1E-A12C-AA2277187198}" name="Column11989"/>
    <tableColumn id="11996" xr3:uid="{37AE4F49-B76F-4166-A1EC-9A1F685CB70E}" name="Column11990"/>
    <tableColumn id="11997" xr3:uid="{336EBA72-223C-4D23-B3C7-8C5D3994E3B6}" name="Column11991"/>
    <tableColumn id="11998" xr3:uid="{6146BB42-0698-4A02-9CA1-905A9A8AF6A8}" name="Column11992"/>
    <tableColumn id="11999" xr3:uid="{BA06E91E-7049-447F-ADC7-38B5E6FABF95}" name="Column11993"/>
    <tableColumn id="12000" xr3:uid="{7E93378E-6753-4EDD-B2AE-66BAEE2AF2FC}" name="Column11994"/>
    <tableColumn id="12001" xr3:uid="{FD28A5BA-241E-4265-8E71-2F7A48C09A0E}" name="Column11995"/>
    <tableColumn id="12002" xr3:uid="{9DFD9EC2-973D-42FC-9115-ADF872BE55E3}" name="Column11996"/>
    <tableColumn id="12003" xr3:uid="{AF42540F-7BDC-4C0D-B91A-761FFC3388FD}" name="Column11997"/>
    <tableColumn id="12004" xr3:uid="{9A24E186-D428-414C-BCEC-6023AAE27879}" name="Column11998"/>
    <tableColumn id="12005" xr3:uid="{AED691E8-712F-4AD1-83DA-8FF457272670}" name="Column11999"/>
    <tableColumn id="12006" xr3:uid="{B359E021-AB60-41C9-B552-026BEB77AE04}" name="Column12000"/>
    <tableColumn id="12007" xr3:uid="{E4F6378A-2BF3-4C9B-BDC8-4F4ACF23EDC0}" name="Column12001"/>
    <tableColumn id="12008" xr3:uid="{559B2BAD-2F86-4BD2-BD3C-4662F8C4ACEA}" name="Column12002"/>
    <tableColumn id="12009" xr3:uid="{B0E7EF6A-0F96-4C0E-BDE3-2BBC417B6BB2}" name="Column12003"/>
    <tableColumn id="12010" xr3:uid="{ECB566FA-AB19-48CA-85A9-4A52DC90626F}" name="Column12004"/>
    <tableColumn id="12011" xr3:uid="{FB533444-CA08-4A5F-A343-DCBC26E558BD}" name="Column12005"/>
    <tableColumn id="12012" xr3:uid="{DEA949CE-5589-4435-A862-B5C7DC2CBBCB}" name="Column12006"/>
    <tableColumn id="12013" xr3:uid="{35B4B6FB-9DEF-4368-BEDC-020523501CA9}" name="Column12007"/>
    <tableColumn id="12014" xr3:uid="{CAA64557-6C72-4A39-928B-F912F80107EE}" name="Column12008"/>
    <tableColumn id="12015" xr3:uid="{8B112C66-9F06-4D23-B908-CCBA1F0427A6}" name="Column12009"/>
    <tableColumn id="12016" xr3:uid="{261C4519-8E86-4698-A7F2-500EF52B2537}" name="Column12010"/>
    <tableColumn id="12017" xr3:uid="{7372AAD9-2B80-4648-B1BC-ECA8388F7431}" name="Column12011"/>
    <tableColumn id="12018" xr3:uid="{1E3C4874-A69C-49D8-BCDA-212BD41EB86D}" name="Column12012"/>
    <tableColumn id="12019" xr3:uid="{6DC0332D-3683-46F8-83B4-0D0C857B9616}" name="Column12013"/>
    <tableColumn id="12020" xr3:uid="{11533BB1-6984-4DEF-8D50-7BAE6A5912CE}" name="Column12014"/>
    <tableColumn id="12021" xr3:uid="{4C3DDDEF-5921-4124-85D9-6000D4E27B01}" name="Column12015"/>
    <tableColumn id="12022" xr3:uid="{99930D18-5CF9-46F0-94A1-088AC9D36FA7}" name="Column12016"/>
    <tableColumn id="12023" xr3:uid="{D5D05582-B723-4692-A93D-69E5FB399ACF}" name="Column12017"/>
    <tableColumn id="12024" xr3:uid="{5C7CF0BB-3A93-4D7F-B020-00518DD00C5F}" name="Column12018"/>
    <tableColumn id="12025" xr3:uid="{11284F1A-FD3E-44DB-8F0E-999E724B5B43}" name="Column12019"/>
    <tableColumn id="12026" xr3:uid="{FA9F8EEA-BF8E-4438-8C4C-0C99390E4CA9}" name="Column12020"/>
    <tableColumn id="12027" xr3:uid="{58E46580-D116-4451-9F7F-728AAD5D1C11}" name="Column12021"/>
    <tableColumn id="12028" xr3:uid="{5039FA3E-C941-412A-AF13-1E050072E38D}" name="Column12022"/>
    <tableColumn id="12029" xr3:uid="{ECED9560-4E53-4B97-8165-8883423453BC}" name="Column12023"/>
    <tableColumn id="12030" xr3:uid="{E39D59B2-D6F9-4FA7-AC2B-6E5D9AAEAD06}" name="Column12024"/>
    <tableColumn id="12031" xr3:uid="{CF3B853C-F35A-4F9C-BDDF-25689CDB2359}" name="Column12025"/>
    <tableColumn id="12032" xr3:uid="{4FE18B50-908E-42C7-A2A7-2D3A3498CF68}" name="Column12026"/>
    <tableColumn id="12033" xr3:uid="{E0404AC9-5167-4238-AEF6-A35C21968966}" name="Column12027"/>
    <tableColumn id="12034" xr3:uid="{EE574C19-FA00-4114-A890-C4E26F6B6DC4}" name="Column12028"/>
    <tableColumn id="12035" xr3:uid="{8D66B63A-20EE-4E3A-81A4-F27F82992A4D}" name="Column12029"/>
    <tableColumn id="12036" xr3:uid="{C5F8FC88-14C4-425F-A914-F4D51A12BC6A}" name="Column12030"/>
    <tableColumn id="12037" xr3:uid="{A8127574-336A-4297-922C-C5E0E0740F5F}" name="Column12031"/>
    <tableColumn id="12038" xr3:uid="{568A439D-422D-46C4-8B7A-6E7132D1535D}" name="Column12032"/>
    <tableColumn id="12039" xr3:uid="{E93A4E85-BFD0-4510-B19B-CBE293D959E9}" name="Column12033"/>
    <tableColumn id="12040" xr3:uid="{127D5CF3-4B5E-41DC-B964-688B41E8335B}" name="Column12034"/>
    <tableColumn id="12041" xr3:uid="{77A87C36-52C2-4E6B-882C-87B206202482}" name="Column12035"/>
    <tableColumn id="12042" xr3:uid="{4A02F270-0BD4-40F8-B33B-E8503FC23D5C}" name="Column12036"/>
    <tableColumn id="12043" xr3:uid="{6562844D-C4BD-4E67-A524-3B0DF4303A49}" name="Column12037"/>
    <tableColumn id="12044" xr3:uid="{C503F37A-F5B2-402C-BC3B-3F23A4AE872A}" name="Column12038"/>
    <tableColumn id="12045" xr3:uid="{3152AA57-A5F3-40F1-86D4-25D7CA196C50}" name="Column12039"/>
    <tableColumn id="12046" xr3:uid="{5B5A0F05-4A30-460A-9030-D35DAF07E489}" name="Column12040"/>
    <tableColumn id="12047" xr3:uid="{5BF34FFB-06AD-4E9B-A1E2-68C8A937C894}" name="Column12041"/>
    <tableColumn id="12048" xr3:uid="{9C3B0664-F046-4C13-B090-CE02ED8ABF2E}" name="Column12042"/>
    <tableColumn id="12049" xr3:uid="{A804BAFB-0ACF-4E63-AE32-7A2F022F45C6}" name="Column12043"/>
    <tableColumn id="12050" xr3:uid="{7910392A-68ED-4810-8E71-83631E303725}" name="Column12044"/>
    <tableColumn id="12051" xr3:uid="{EDFE127A-E5C2-40A4-928B-3C6C9C3DCCB8}" name="Column12045"/>
    <tableColumn id="12052" xr3:uid="{925A9BD6-D512-4112-909E-A814C6662457}" name="Column12046"/>
    <tableColumn id="12053" xr3:uid="{F885E4C4-7FB0-4412-8D6D-3044637EE062}" name="Column12047"/>
    <tableColumn id="12054" xr3:uid="{152F74B4-7E08-447A-B904-089F554C51A5}" name="Column12048"/>
    <tableColumn id="12055" xr3:uid="{9E0E9530-C93A-4945-9D82-9F41FD61D49C}" name="Column12049"/>
    <tableColumn id="12056" xr3:uid="{5CA839AB-F732-4CD7-85FB-7C3A1F5FA072}" name="Column12050"/>
    <tableColumn id="12057" xr3:uid="{FF92EEF0-4431-4635-8F64-C551D51ABD8C}" name="Column12051"/>
    <tableColumn id="12058" xr3:uid="{E48A2B19-AB5E-4D1B-A2BF-FEEAB1ACE252}" name="Column12052"/>
    <tableColumn id="12059" xr3:uid="{0194B92C-2AB3-464C-8810-7EBC9E8A9085}" name="Column12053"/>
    <tableColumn id="12060" xr3:uid="{560349AA-5AF1-436C-BDA5-636BD87AC0CC}" name="Column12054"/>
    <tableColumn id="12061" xr3:uid="{703A00DB-F687-47CE-88D2-EBB0AB421372}" name="Column12055"/>
    <tableColumn id="12062" xr3:uid="{71A5F485-1B7B-40A5-BFE5-10FE7C7FC2DB}" name="Column12056"/>
    <tableColumn id="12063" xr3:uid="{A5E81BB2-C451-46FA-B099-FD08BC21097F}" name="Column12057"/>
    <tableColumn id="12064" xr3:uid="{D2F1A009-5494-444D-9881-9CFF570260A6}" name="Column12058"/>
    <tableColumn id="12065" xr3:uid="{FAD86199-8AAE-41F3-B1F0-FF386A9CDF74}" name="Column12059"/>
    <tableColumn id="12066" xr3:uid="{A4DF7B1F-DB73-4987-9364-A360C441E7D7}" name="Column12060"/>
    <tableColumn id="12067" xr3:uid="{584AEC9D-8482-41B1-A7EA-65D313995FED}" name="Column12061"/>
    <tableColumn id="12068" xr3:uid="{A058DF56-AF65-4564-AAD3-ECD1CA35E463}" name="Column12062"/>
    <tableColumn id="12069" xr3:uid="{48635F66-872F-45FC-AE9B-69B3ED13ACF4}" name="Column12063"/>
    <tableColumn id="12070" xr3:uid="{C164C56A-1945-4788-982A-B1A75581631B}" name="Column12064"/>
    <tableColumn id="12071" xr3:uid="{3E17FAE6-3426-40ED-AF59-F8654C49AA0B}" name="Column12065"/>
    <tableColumn id="12072" xr3:uid="{BED29136-9E0B-4983-A5F7-ABC1AA617EC1}" name="Column12066"/>
    <tableColumn id="12073" xr3:uid="{83A17A81-7599-4FAC-9A57-4D0D5742C9DA}" name="Column12067"/>
    <tableColumn id="12074" xr3:uid="{270BD8E0-682B-4657-B59F-3CDA6EB04229}" name="Column12068"/>
    <tableColumn id="12075" xr3:uid="{44560E4D-8F9F-4E81-AD61-9A0DD70D9F07}" name="Column12069"/>
    <tableColumn id="12076" xr3:uid="{096B2B4E-B233-4A31-9E1A-DEA55D9D1DF3}" name="Column12070"/>
    <tableColumn id="12077" xr3:uid="{54C247E4-BA91-4F7F-89FB-A00B917CB9DA}" name="Column12071"/>
    <tableColumn id="12078" xr3:uid="{D6345050-596F-416B-BA90-8B48C8D32A4D}" name="Column12072"/>
    <tableColumn id="12079" xr3:uid="{3BE1278B-7C94-4253-89E8-4171C0B5AD7C}" name="Column12073"/>
    <tableColumn id="12080" xr3:uid="{89874DCF-8C96-427F-948E-4C4DF4F2DBA9}" name="Column12074"/>
    <tableColumn id="12081" xr3:uid="{CDF22264-04DA-4F97-ADCA-3513D51A7CEC}" name="Column12075"/>
    <tableColumn id="12082" xr3:uid="{BA5809BA-6FAF-4B63-B671-CD05CDFD91F4}" name="Column12076"/>
    <tableColumn id="12083" xr3:uid="{D972D845-4D2C-4B83-9093-1FF29C80E51E}" name="Column12077"/>
    <tableColumn id="12084" xr3:uid="{4033CD9D-A428-40A5-8B19-AF22B276D4D5}" name="Column12078"/>
    <tableColumn id="12085" xr3:uid="{2D08AB33-456A-411C-B4E9-CBEED10EC038}" name="Column12079"/>
    <tableColumn id="12086" xr3:uid="{1B23FDC4-A3F9-4D9A-86F4-5E78430F2F6C}" name="Column12080"/>
    <tableColumn id="12087" xr3:uid="{B51477D1-FB8B-4C9E-9D0B-4DB865AE477F}" name="Column12081"/>
    <tableColumn id="12088" xr3:uid="{B08DBD40-49C9-4BEF-8135-8FCED7C34D89}" name="Column12082"/>
    <tableColumn id="12089" xr3:uid="{D8819614-4894-473A-B265-A7A9063FD358}" name="Column12083"/>
    <tableColumn id="12090" xr3:uid="{0AF95425-A164-42F4-8036-495813545C5E}" name="Column12084"/>
    <tableColumn id="12091" xr3:uid="{699C56A9-B079-43A1-84EE-A9867DB1F87D}" name="Column12085"/>
    <tableColumn id="12092" xr3:uid="{739E742E-7669-4FF2-814E-61828ABFC035}" name="Column12086"/>
    <tableColumn id="12093" xr3:uid="{10D290B2-635A-4302-BC35-2EE559624D75}" name="Column12087"/>
    <tableColumn id="12094" xr3:uid="{054B2A58-7A18-49AD-9B66-82C61D747415}" name="Column12088"/>
    <tableColumn id="12095" xr3:uid="{E9D574D8-456E-4CEA-B82C-FECD1EDB8B0F}" name="Column12089"/>
    <tableColumn id="12096" xr3:uid="{ABB8B52A-4C87-4F65-9B59-7E9FD5815F97}" name="Column12090"/>
    <tableColumn id="12097" xr3:uid="{AF39411D-4721-455F-ADA8-9939CF768807}" name="Column12091"/>
    <tableColumn id="12098" xr3:uid="{FEC27D29-61B8-4CD3-A513-1E788D0C73A5}" name="Column12092"/>
    <tableColumn id="12099" xr3:uid="{94322316-F799-4683-A5E5-AF9787BBE351}" name="Column12093"/>
    <tableColumn id="12100" xr3:uid="{3DDD05B6-72A4-4305-B1EC-940AEA6AA3B3}" name="Column12094"/>
    <tableColumn id="12101" xr3:uid="{F6333174-37A4-40B8-B360-C77C99E8C2F1}" name="Column12095"/>
    <tableColumn id="12102" xr3:uid="{45D5B246-856C-4E2C-9BB7-D508EA020C7C}" name="Column12096"/>
    <tableColumn id="12103" xr3:uid="{0B6614C8-5FB0-4C28-82E4-FEA711C8545F}" name="Column12097"/>
    <tableColumn id="12104" xr3:uid="{8BA6C952-7BB6-49EC-91DE-012A8A529267}" name="Column12098"/>
    <tableColumn id="12105" xr3:uid="{9ACB7822-36F0-46CE-8AE6-3A6440B5C121}" name="Column12099"/>
    <tableColumn id="12106" xr3:uid="{A07162DA-6EB7-4746-827D-DBD3B9C79E06}" name="Column12100"/>
    <tableColumn id="12107" xr3:uid="{38BEC685-E90B-47C5-B6F2-7A07A2704B24}" name="Column12101"/>
    <tableColumn id="12108" xr3:uid="{2C8E0B60-1E37-42F0-B006-0E5589B518E8}" name="Column12102"/>
    <tableColumn id="12109" xr3:uid="{17C92981-9814-4021-ADBF-D2465BC66F30}" name="Column12103"/>
    <tableColumn id="12110" xr3:uid="{A6EA9F15-6810-41E4-9605-2B870BD87441}" name="Column12104"/>
    <tableColumn id="12111" xr3:uid="{83B2157B-4953-48C6-A0AF-AB225C3B388A}" name="Column12105"/>
    <tableColumn id="12112" xr3:uid="{07F649C0-9EBA-4811-BFF5-E4801102B115}" name="Column12106"/>
    <tableColumn id="12113" xr3:uid="{4A11026E-9CC6-4436-ABC4-C7D0800115B7}" name="Column12107"/>
    <tableColumn id="12114" xr3:uid="{9D219AF5-7E9B-419C-9849-744E1F0B3B6D}" name="Column12108"/>
    <tableColumn id="12115" xr3:uid="{CDDF92FC-A7CE-4049-9AA9-321283B8F8ED}" name="Column12109"/>
    <tableColumn id="12116" xr3:uid="{713DEC53-51DC-4DAE-95B3-1494034D086A}" name="Column12110"/>
    <tableColumn id="12117" xr3:uid="{16EF165D-6F58-44CA-B197-AABCD51E1C26}" name="Column12111"/>
    <tableColumn id="12118" xr3:uid="{3A51AF4E-C257-474D-B4AB-0F0FD07F0D44}" name="Column12112"/>
    <tableColumn id="12119" xr3:uid="{99EBFDB3-DB02-4342-B396-F4057331112B}" name="Column12113"/>
    <tableColumn id="12120" xr3:uid="{EECF2449-C88C-4009-A286-FEF0FF3E72C7}" name="Column12114"/>
    <tableColumn id="12121" xr3:uid="{05413481-C017-4E49-98E0-FA68E157EE3E}" name="Column12115"/>
    <tableColumn id="12122" xr3:uid="{FAA1CEC9-2EF3-451E-B66A-9309B9DD4BC3}" name="Column12116"/>
    <tableColumn id="12123" xr3:uid="{0287C581-736D-48CB-953B-11B85E98F5D6}" name="Column12117"/>
    <tableColumn id="12124" xr3:uid="{8FA63EC0-81BC-455C-A997-1D7248B93173}" name="Column12118"/>
    <tableColumn id="12125" xr3:uid="{4F9A0911-3C4C-4D69-9DC6-509FC357B346}" name="Column12119"/>
    <tableColumn id="12126" xr3:uid="{8CE14B6A-EBD8-492F-90D1-227F4502DEE1}" name="Column12120"/>
    <tableColumn id="12127" xr3:uid="{A81FAE9E-F223-4242-BFBA-E7BE6260D0C1}" name="Column12121"/>
    <tableColumn id="12128" xr3:uid="{F44DC572-4FCB-434F-A2E3-2792C81EEE8C}" name="Column12122"/>
    <tableColumn id="12129" xr3:uid="{776D88C3-E578-4505-883F-4AB12DCD5867}" name="Column12123"/>
    <tableColumn id="12130" xr3:uid="{E0A60386-2147-4197-A00C-AD8F2C7580C4}" name="Column12124"/>
    <tableColumn id="12131" xr3:uid="{EA81FDCB-E80D-44D0-88E7-4DD8AF2C6802}" name="Column12125"/>
    <tableColumn id="12132" xr3:uid="{8016E01D-3B65-4568-872B-5A6315206F55}" name="Column12126"/>
    <tableColumn id="12133" xr3:uid="{2E0F5497-A5CB-4AF7-A069-22E210F84B90}" name="Column12127"/>
    <tableColumn id="12134" xr3:uid="{3E16817F-A89B-43A0-9329-6E5DCA62E247}" name="Column12128"/>
    <tableColumn id="12135" xr3:uid="{DA2D3681-6624-4141-B0A1-79B25C209658}" name="Column12129"/>
    <tableColumn id="12136" xr3:uid="{96376432-4795-4BBC-9EED-198FCD631EBD}" name="Column12130"/>
    <tableColumn id="12137" xr3:uid="{12F29996-8ABC-4C93-A5E1-BB139CC495A5}" name="Column12131"/>
    <tableColumn id="12138" xr3:uid="{05548400-C197-488E-B459-68B87F37532F}" name="Column12132"/>
    <tableColumn id="12139" xr3:uid="{35B38A6D-0E7F-4CEF-80D9-8AE20295CFD2}" name="Column12133"/>
    <tableColumn id="12140" xr3:uid="{EBBEEA33-5B9E-486F-B7BE-F686FDC0DF23}" name="Column12134"/>
    <tableColumn id="12141" xr3:uid="{8ADE41E8-EBA3-4A90-8477-82122A644055}" name="Column12135"/>
    <tableColumn id="12142" xr3:uid="{8752236A-265D-4E1E-A5AB-65E9374EE673}" name="Column12136"/>
    <tableColumn id="12143" xr3:uid="{6FF36F5E-50AA-4F2E-A914-4089491E7FF2}" name="Column12137"/>
    <tableColumn id="12144" xr3:uid="{386F53A1-A794-4073-8798-FEB53D478A86}" name="Column12138"/>
    <tableColumn id="12145" xr3:uid="{0785E561-3108-4F2B-A593-264963866FA1}" name="Column12139"/>
    <tableColumn id="12146" xr3:uid="{60866BF5-4A0D-4027-A4B9-16FC052CA37D}" name="Column12140"/>
    <tableColumn id="12147" xr3:uid="{1C6ABBA5-8C5A-4074-A1CA-E051D043F057}" name="Column12141"/>
    <tableColumn id="12148" xr3:uid="{66BFC04E-6FA8-4DC1-82F3-224708FF99CD}" name="Column12142"/>
    <tableColumn id="12149" xr3:uid="{ED671B9E-BF6A-4143-9DBA-EABD8C2B657D}" name="Column12143"/>
    <tableColumn id="12150" xr3:uid="{0A0BD025-A7B2-48A7-866D-723564E41221}" name="Column12144"/>
    <tableColumn id="12151" xr3:uid="{4B05C6D6-A9AD-4DEF-9991-C408B7FA9520}" name="Column12145"/>
    <tableColumn id="12152" xr3:uid="{93D80FC0-A563-4B6B-A89A-8C5A13CC60DE}" name="Column12146"/>
    <tableColumn id="12153" xr3:uid="{7E152200-A5C0-4055-A309-BE5459FFC18F}" name="Column12147"/>
    <tableColumn id="12154" xr3:uid="{B887413E-2D09-4CC3-A179-988B2A9A0515}" name="Column12148"/>
    <tableColumn id="12155" xr3:uid="{4385F6C4-0823-451F-9B99-5F5A96CB4C52}" name="Column12149"/>
    <tableColumn id="12156" xr3:uid="{B934C5A2-4BEC-43AA-B3A2-73E8164B44F1}" name="Column12150"/>
    <tableColumn id="12157" xr3:uid="{31B88574-8199-4391-A2BA-F26556A00C3E}" name="Column12151"/>
    <tableColumn id="12158" xr3:uid="{B9B459F1-941C-4246-A92B-DE1B3B675CE3}" name="Column12152"/>
    <tableColumn id="12159" xr3:uid="{04030946-C902-483C-ADFC-154C8E292949}" name="Column12153"/>
    <tableColumn id="12160" xr3:uid="{0D13C812-14EB-4286-9B9D-3CCDCC00FFC0}" name="Column12154"/>
    <tableColumn id="12161" xr3:uid="{AE16339B-1B28-4C0F-9E86-4EC6014E6EDC}" name="Column12155"/>
    <tableColumn id="12162" xr3:uid="{427D7C73-092E-40DD-9841-B7D485EEF30C}" name="Column12156"/>
    <tableColumn id="12163" xr3:uid="{D1C8DBD5-20AE-44B0-BBDF-94F292875258}" name="Column12157"/>
    <tableColumn id="12164" xr3:uid="{0776DBBA-1FFE-4457-BCF3-334B674D2815}" name="Column12158"/>
    <tableColumn id="12165" xr3:uid="{692E2572-394E-4C6B-80A8-C1003CC68955}" name="Column12159"/>
    <tableColumn id="12166" xr3:uid="{BBCEE714-B4B1-46AE-AFC5-C9723A0A642E}" name="Column12160"/>
    <tableColumn id="12167" xr3:uid="{396FC4CE-E8FC-4764-85B1-BBFDA48AD302}" name="Column12161"/>
    <tableColumn id="12168" xr3:uid="{6F15741F-2FBB-4223-A4E7-F35EE3C2FE04}" name="Column12162"/>
    <tableColumn id="12169" xr3:uid="{5EF52827-D901-4C47-B3A2-F0C2E078B43A}" name="Column12163"/>
    <tableColumn id="12170" xr3:uid="{792201CD-E6E3-4BC4-80B7-5CC34A4D90EB}" name="Column12164"/>
    <tableColumn id="12171" xr3:uid="{01AB0505-2172-4029-9506-5F847F93460F}" name="Column12165"/>
    <tableColumn id="12172" xr3:uid="{DF854816-44BC-4E57-8CFA-4DBAF8004287}" name="Column12166"/>
    <tableColumn id="12173" xr3:uid="{6B69C414-09E1-477E-83CD-E6E8050F9B2F}" name="Column12167"/>
    <tableColumn id="12174" xr3:uid="{3F19B239-3D82-4490-B026-7E76F9F87D8D}" name="Column12168"/>
    <tableColumn id="12175" xr3:uid="{ECBD75B3-6A67-470A-85BF-FDF67AC4931E}" name="Column12169"/>
    <tableColumn id="12176" xr3:uid="{71CB6F77-53A2-43A7-9E97-790AAFD0F880}" name="Column12170"/>
    <tableColumn id="12177" xr3:uid="{31962A68-27C5-45E4-AC32-386657D03437}" name="Column12171"/>
    <tableColumn id="12178" xr3:uid="{94079860-7506-42E3-A570-17390F5C6775}" name="Column12172"/>
    <tableColumn id="12179" xr3:uid="{2E0FAA86-0BBA-4286-882C-4A9204C38D7B}" name="Column12173"/>
    <tableColumn id="12180" xr3:uid="{E527AE69-2F2A-4D3E-A011-C6FE8DB1016A}" name="Column12174"/>
    <tableColumn id="12181" xr3:uid="{4730A4DF-B4F6-4F18-8525-4639FB00FC88}" name="Column12175"/>
    <tableColumn id="12182" xr3:uid="{FE91B0F7-B46B-4173-AE45-FFE9F97351DA}" name="Column12176"/>
    <tableColumn id="12183" xr3:uid="{C10448A7-F375-4AC7-9AC8-0EA8B03DE435}" name="Column12177"/>
    <tableColumn id="12184" xr3:uid="{1138992D-83C1-4438-A738-3C973DB16016}" name="Column12178"/>
    <tableColumn id="12185" xr3:uid="{67850410-BC5B-4865-BBA1-94A499E88362}" name="Column12179"/>
    <tableColumn id="12186" xr3:uid="{044B6D70-9908-41D1-BAC3-3AB047FB7296}" name="Column12180"/>
    <tableColumn id="12187" xr3:uid="{99B58B6F-A0CD-4822-9C0F-7166311CF88A}" name="Column12181"/>
    <tableColumn id="12188" xr3:uid="{262107F2-9DCD-4BA1-A408-03C59566FE20}" name="Column12182"/>
    <tableColumn id="12189" xr3:uid="{9919B1D3-862D-4FC6-BFB5-BF87F96A6F54}" name="Column12183"/>
    <tableColumn id="12190" xr3:uid="{64A30BD9-17A3-4386-8EE9-5744A6328A7F}" name="Column12184"/>
    <tableColumn id="12191" xr3:uid="{1CF05990-7808-47A8-BD21-F523AB37F10A}" name="Column12185"/>
    <tableColumn id="12192" xr3:uid="{674AE022-72B0-4630-832C-A1F4D05A2A99}" name="Column12186"/>
    <tableColumn id="12193" xr3:uid="{3CC5492B-56DB-4F26-9792-575E669D1C7D}" name="Column12187"/>
    <tableColumn id="12194" xr3:uid="{91D0C615-F4F5-4E32-B172-B3E9B8E9C105}" name="Column12188"/>
    <tableColumn id="12195" xr3:uid="{CCC1C939-F6E3-4CE7-9711-8C9ABEA2BCFC}" name="Column12189"/>
    <tableColumn id="12196" xr3:uid="{53AE8097-66B4-4D17-B4AA-945E3B4C5A0F}" name="Column12190"/>
    <tableColumn id="12197" xr3:uid="{4C994A38-7A55-4E55-B438-F7B1A1244015}" name="Column12191"/>
    <tableColumn id="12198" xr3:uid="{97F41D9A-68A6-44E7-A33F-50480F6E11F8}" name="Column12192"/>
    <tableColumn id="12199" xr3:uid="{BECDF03D-6967-42BF-88DB-CFC90CB1B966}" name="Column12193"/>
    <tableColumn id="12200" xr3:uid="{A214B7D6-4315-4107-8E87-268EFE443EB9}" name="Column12194"/>
    <tableColumn id="12201" xr3:uid="{EF5DBBF6-FCBA-447D-8AD2-944255061557}" name="Column12195"/>
    <tableColumn id="12202" xr3:uid="{CD2B2047-4957-4093-B570-F11C2BAAB57D}" name="Column12196"/>
    <tableColumn id="12203" xr3:uid="{6908C398-9887-421D-BF69-EDF94F9103C9}" name="Column12197"/>
    <tableColumn id="12204" xr3:uid="{5998E05A-7AC2-4C94-95EA-199F7FB7618F}" name="Column12198"/>
    <tableColumn id="12205" xr3:uid="{A6FDAECA-A454-4E70-9FA8-0628103D9661}" name="Column12199"/>
    <tableColumn id="12206" xr3:uid="{190EAB19-D4A3-4D1B-B6D2-477E891B352D}" name="Column12200"/>
    <tableColumn id="12207" xr3:uid="{22E94CB3-FDCB-4BE7-96D8-6B575BA48042}" name="Column12201"/>
    <tableColumn id="12208" xr3:uid="{D32E2320-B432-437B-878A-BA043091671D}" name="Column12202"/>
    <tableColumn id="12209" xr3:uid="{7F4BBFD9-3040-4F40-9369-4E9821386C60}" name="Column12203"/>
    <tableColumn id="12210" xr3:uid="{30AE85FD-10CA-4388-AA06-E43CD2A557F9}" name="Column12204"/>
    <tableColumn id="12211" xr3:uid="{878644BA-659B-468E-BA95-2D320A38FD7E}" name="Column12205"/>
    <tableColumn id="12212" xr3:uid="{38F1A106-0B04-47A9-BAEE-5A72527B7737}" name="Column12206"/>
    <tableColumn id="12213" xr3:uid="{17D5C143-1121-461F-A851-DF56F9901503}" name="Column12207"/>
    <tableColumn id="12214" xr3:uid="{22E88465-27D7-4910-AF7E-5EA9A9A085E8}" name="Column12208"/>
    <tableColumn id="12215" xr3:uid="{E89C502A-66D5-4F70-8BB7-1D092ADEB55D}" name="Column12209"/>
    <tableColumn id="12216" xr3:uid="{940DEC14-F6CE-4E4A-BFBA-3D8A1BF0C174}" name="Column12210"/>
    <tableColumn id="12217" xr3:uid="{53E99E64-4671-4F14-9657-E24628F7B285}" name="Column12211"/>
    <tableColumn id="12218" xr3:uid="{4C6E8823-6BDB-43AD-A18D-4B3817C07BA4}" name="Column12212"/>
    <tableColumn id="12219" xr3:uid="{4FB2F415-0AA5-4C6E-A66A-8DBFA8D45AD8}" name="Column12213"/>
    <tableColumn id="12220" xr3:uid="{FDCE56C6-48CA-4FEE-9D6D-4581E413720F}" name="Column12214"/>
    <tableColumn id="12221" xr3:uid="{4C117A4B-8762-4F8D-826E-8F0B2D7B5046}" name="Column12215"/>
    <tableColumn id="12222" xr3:uid="{DD3B6093-8796-4FA2-8459-19B76577388D}" name="Column12216"/>
    <tableColumn id="12223" xr3:uid="{ACE663EE-89CE-468A-ABCB-1F16E6C9363D}" name="Column12217"/>
    <tableColumn id="12224" xr3:uid="{D7F2D40F-9092-4717-BDC4-4CCDC6E34027}" name="Column12218"/>
    <tableColumn id="12225" xr3:uid="{D5D5557D-1268-4E9D-8A56-3E82552CAA5C}" name="Column12219"/>
    <tableColumn id="12226" xr3:uid="{4AE1CB1B-AA8B-4635-9418-61E7AFF651BF}" name="Column12220"/>
    <tableColumn id="12227" xr3:uid="{A513ACA3-5C21-40B8-A714-42028C051EB1}" name="Column12221"/>
    <tableColumn id="12228" xr3:uid="{03CDD510-007D-4AD3-90C4-CB42F9A76BE4}" name="Column12222"/>
    <tableColumn id="12229" xr3:uid="{70145293-6A0D-4A6B-886A-4F4B9BE6862F}" name="Column12223"/>
    <tableColumn id="12230" xr3:uid="{A2350710-AE1D-45BD-8E11-10C5DE505D06}" name="Column12224"/>
    <tableColumn id="12231" xr3:uid="{436498E0-1729-4B9C-9145-700FB55B1F9B}" name="Column12225"/>
    <tableColumn id="12232" xr3:uid="{FF7B87DA-1351-4A07-9771-898747A77313}" name="Column12226"/>
    <tableColumn id="12233" xr3:uid="{C0FB1087-53F7-42A1-A6F2-894F550225DF}" name="Column12227"/>
    <tableColumn id="12234" xr3:uid="{6E20FB82-28EA-4591-B187-56E0ABBD0E81}" name="Column12228"/>
    <tableColumn id="12235" xr3:uid="{E6A6DFB6-C056-4B5E-84B7-7FF4E36D63D9}" name="Column12229"/>
    <tableColumn id="12236" xr3:uid="{404BE4C9-CC05-4DF0-9C3A-CC99CEF66B8B}" name="Column12230"/>
    <tableColumn id="12237" xr3:uid="{30A656FA-A68E-4FB9-B6B3-B16C6AA69365}" name="Column12231"/>
    <tableColumn id="12238" xr3:uid="{BDEDD21B-DACD-478F-973D-3614F6AB907B}" name="Column12232"/>
    <tableColumn id="12239" xr3:uid="{2563460F-3227-462A-BAF6-49E267652231}" name="Column12233"/>
    <tableColumn id="12240" xr3:uid="{E04D6C68-F18B-4576-ACA7-FBF7EB0B0B90}" name="Column12234"/>
    <tableColumn id="12241" xr3:uid="{2A15E9B6-4AD3-45A9-8FA7-AB5DBFC3FC1E}" name="Column12235"/>
    <tableColumn id="12242" xr3:uid="{DB2876F3-D45D-47A3-858D-C41F232BCCD8}" name="Column12236"/>
    <tableColumn id="12243" xr3:uid="{105EE3BD-8DCD-41AD-A423-2D9C4C157170}" name="Column12237"/>
    <tableColumn id="12244" xr3:uid="{AA98BC79-419D-48C6-9E4D-72BD3271E674}" name="Column12238"/>
    <tableColumn id="12245" xr3:uid="{CD0A9535-E7C1-47AC-A686-A5AA5F735445}" name="Column12239"/>
    <tableColumn id="12246" xr3:uid="{7681FDA0-426F-4612-B78D-D7724B65B9D1}" name="Column12240"/>
    <tableColumn id="12247" xr3:uid="{6B906CFE-34E6-4FA0-B583-9FE1A05854CD}" name="Column12241"/>
    <tableColumn id="12248" xr3:uid="{83D0CCA7-9959-49BD-BA52-66A14AFDC280}" name="Column12242"/>
    <tableColumn id="12249" xr3:uid="{1E5800E7-6ACF-4940-A0DC-71AC6F5B81D6}" name="Column12243"/>
    <tableColumn id="12250" xr3:uid="{237CA8F5-856E-4ABC-A74B-DA6132CE3131}" name="Column12244"/>
    <tableColumn id="12251" xr3:uid="{E24C8362-1144-425A-B622-A2E30D631479}" name="Column12245"/>
    <tableColumn id="12252" xr3:uid="{562B0935-FFAF-43C9-B3B8-143732B16311}" name="Column12246"/>
    <tableColumn id="12253" xr3:uid="{56C004A1-62E8-4929-9873-4F707BD8F1DA}" name="Column12247"/>
    <tableColumn id="12254" xr3:uid="{D0EB194A-85AF-4306-806D-20946C1CAE85}" name="Column12248"/>
    <tableColumn id="12255" xr3:uid="{55133A54-0E4B-4FAF-AF9D-F5245EA281BF}" name="Column12249"/>
    <tableColumn id="12256" xr3:uid="{FA257BBA-77F4-483A-923D-6094CB88E21F}" name="Column12250"/>
    <tableColumn id="12257" xr3:uid="{05B36D2A-6A2E-44C6-80D7-DE45F829B6AD}" name="Column12251"/>
    <tableColumn id="12258" xr3:uid="{83C7BB4B-D479-4669-B93E-BB72833A904F}" name="Column12252"/>
    <tableColumn id="12259" xr3:uid="{A3B00EF1-9AB2-4AC6-A8DA-D4523E87884F}" name="Column12253"/>
    <tableColumn id="12260" xr3:uid="{8D840E0B-3496-4FC5-886B-D8D5AB4BB3D5}" name="Column12254"/>
    <tableColumn id="12261" xr3:uid="{33EF996F-7E01-4DD4-B0D5-539C90CD27E2}" name="Column12255"/>
    <tableColumn id="12262" xr3:uid="{1A45D316-7F42-4A0D-93DE-99A96E174141}" name="Column12256"/>
    <tableColumn id="12263" xr3:uid="{AE3355E4-7448-4628-9C4C-CACD878EC566}" name="Column12257"/>
    <tableColumn id="12264" xr3:uid="{02C5BF33-17B8-401E-85A6-4AEE507BD50F}" name="Column12258"/>
    <tableColumn id="12265" xr3:uid="{D5FBD0D2-CCFE-4F01-AB79-7BEE70DF26E9}" name="Column12259"/>
    <tableColumn id="12266" xr3:uid="{87DF3402-E2C9-43B9-B44A-8714C26DE607}" name="Column12260"/>
    <tableColumn id="12267" xr3:uid="{9A826303-5C8B-41F3-A6B4-67D5419C44C8}" name="Column12261"/>
    <tableColumn id="12268" xr3:uid="{43107CC2-4BA6-4D14-9EF3-2D08156598D0}" name="Column12262"/>
    <tableColumn id="12269" xr3:uid="{2C50C656-175F-42E5-8522-36DCF5E8ED46}" name="Column12263"/>
    <tableColumn id="12270" xr3:uid="{D02A4C24-88EC-474B-8842-FB2E34908BA5}" name="Column12264"/>
    <tableColumn id="12271" xr3:uid="{65E8B992-AFFC-435A-8F9B-B8286F93C311}" name="Column12265"/>
    <tableColumn id="12272" xr3:uid="{6BD0CCE8-7B6F-4267-8709-1E5B77BA6B3D}" name="Column12266"/>
    <tableColumn id="12273" xr3:uid="{046A09F2-8969-4F12-9447-97D864A4E7D7}" name="Column12267"/>
    <tableColumn id="12274" xr3:uid="{C0F1D503-078E-4E52-B882-12EA12B13F1D}" name="Column12268"/>
    <tableColumn id="12275" xr3:uid="{8B740067-3D5B-44DD-8875-F58355EA3B0D}" name="Column12269"/>
    <tableColumn id="12276" xr3:uid="{8C93E5C1-9FBD-4E70-86E2-B43FC4FBBD1E}" name="Column12270"/>
    <tableColumn id="12277" xr3:uid="{BF417CB5-83DE-4012-AAE7-4942D6ED324F}" name="Column12271"/>
    <tableColumn id="12278" xr3:uid="{64D73459-01E8-4F09-9FEB-9DD86BC50DDC}" name="Column12272"/>
    <tableColumn id="12279" xr3:uid="{97F2735D-EA71-4C4B-A373-CA8C009A04E8}" name="Column12273"/>
    <tableColumn id="12280" xr3:uid="{AD1C188C-5BA3-4BB0-B307-C8DD6986DD6D}" name="Column12274"/>
    <tableColumn id="12281" xr3:uid="{B0819BAA-DE81-49DB-B413-CACC2A5E3E37}" name="Column12275"/>
    <tableColumn id="12282" xr3:uid="{1336A194-88AD-4137-89FD-6C51CC778395}" name="Column12276"/>
    <tableColumn id="12283" xr3:uid="{9A23A1F4-E2C6-458C-B69D-9986968D71E0}" name="Column12277"/>
    <tableColumn id="12284" xr3:uid="{D912A6D6-7A63-46E5-82B9-B261C583DF60}" name="Column12278"/>
    <tableColumn id="12285" xr3:uid="{A57E7CE6-DFDD-45F6-B034-FE8267834EA8}" name="Column12279"/>
    <tableColumn id="12286" xr3:uid="{B6962CBA-E527-40B1-8109-8E160E9A2CBB}" name="Column12280"/>
    <tableColumn id="12287" xr3:uid="{7CFF2C06-DB57-4729-A217-470B9DDB09E5}" name="Column12281"/>
    <tableColumn id="12288" xr3:uid="{C77EBFF7-F041-4698-88FB-F6262DC68389}" name="Column12282"/>
    <tableColumn id="12289" xr3:uid="{23172186-E3E6-447E-86D8-61295595E415}" name="Column12283"/>
    <tableColumn id="12290" xr3:uid="{700A9FBB-F32F-4D55-8423-028243A6F3AA}" name="Column12284"/>
    <tableColumn id="12291" xr3:uid="{E305EA66-8828-4A0B-88E7-E6B302EC5BA5}" name="Column12285"/>
    <tableColumn id="12292" xr3:uid="{2A4BDA32-2B45-437E-9E1D-A3DB28DE9155}" name="Column12286"/>
    <tableColumn id="12293" xr3:uid="{1517651A-736C-494D-80FD-DCEDE33345D5}" name="Column12287"/>
    <tableColumn id="12294" xr3:uid="{ABA703BC-7BBE-4715-A93F-54FB3FA2A56C}" name="Column12288"/>
    <tableColumn id="12295" xr3:uid="{BB5CDE8D-869B-4E52-AC62-F7C56CA7D86B}" name="Column12289"/>
    <tableColumn id="12296" xr3:uid="{B5C7C851-781C-4AC3-9E1E-A694DC02EB7F}" name="Column12290"/>
    <tableColumn id="12297" xr3:uid="{8E133150-6444-4C05-8AF8-56D6F0E7342E}" name="Column12291"/>
    <tableColumn id="12298" xr3:uid="{BC1BFBF1-1F37-4900-A9C4-960F591FE4FA}" name="Column12292"/>
    <tableColumn id="12299" xr3:uid="{76A5EA44-5050-496B-9C36-A6F1F1FD13EF}" name="Column12293"/>
    <tableColumn id="12300" xr3:uid="{187A363A-F3EE-4A53-A6C3-18E04EDA7494}" name="Column12294"/>
    <tableColumn id="12301" xr3:uid="{9948E3DA-E6C8-4025-A508-AD30E352726F}" name="Column12295"/>
    <tableColumn id="12302" xr3:uid="{14DD8692-EBF7-4CB2-957C-C0FE39A385B8}" name="Column12296"/>
    <tableColumn id="12303" xr3:uid="{F2F57B9A-3A6D-4C79-8BEF-0F6728EDDB28}" name="Column12297"/>
    <tableColumn id="12304" xr3:uid="{9A5710C1-4F4B-4FC9-96EF-5FB381EF5A7D}" name="Column12298"/>
    <tableColumn id="12305" xr3:uid="{C713CA08-570E-4603-9F29-62C9F1A54D20}" name="Column12299"/>
    <tableColumn id="12306" xr3:uid="{85896030-A02B-4293-8CD8-9837F597A1F1}" name="Column12300"/>
    <tableColumn id="12307" xr3:uid="{CE7BD6BE-281E-4DF5-A4FD-4B01F2CA673D}" name="Column12301"/>
    <tableColumn id="12308" xr3:uid="{735C6A19-B059-4A6C-9E04-9D4CC3FD0890}" name="Column12302"/>
    <tableColumn id="12309" xr3:uid="{F3E6E0C7-98A8-4768-B66B-947C8243287D}" name="Column12303"/>
    <tableColumn id="12310" xr3:uid="{0433A772-F1F9-4BE5-A337-AAE77697F597}" name="Column12304"/>
    <tableColumn id="12311" xr3:uid="{470295EB-AD78-409E-BCC9-13396BAACE1A}" name="Column12305"/>
    <tableColumn id="12312" xr3:uid="{8DC8D43C-A222-418C-9868-A17E74321253}" name="Column12306"/>
    <tableColumn id="12313" xr3:uid="{A8689684-7BD5-43DC-BE15-451006D59CE7}" name="Column12307"/>
    <tableColumn id="12314" xr3:uid="{8FF58800-557A-4BB8-8772-93B7527D7AF0}" name="Column12308"/>
    <tableColumn id="12315" xr3:uid="{C43828B0-AEF9-4FBE-936C-B93DF651491D}" name="Column12309"/>
    <tableColumn id="12316" xr3:uid="{7612A935-3C88-468A-A9E6-61B30303B4FF}" name="Column12310"/>
    <tableColumn id="12317" xr3:uid="{EADF0578-BE53-4301-837E-8831CF1DDD36}" name="Column12311"/>
    <tableColumn id="12318" xr3:uid="{A597AA23-8188-4F89-82E2-4EB569D91CF2}" name="Column12312"/>
    <tableColumn id="12319" xr3:uid="{440ADC3A-D8ED-4935-A308-D5F83CCB61F2}" name="Column12313"/>
    <tableColumn id="12320" xr3:uid="{2E224A1B-0A29-4B34-92FC-1D432750F1B2}" name="Column12314"/>
    <tableColumn id="12321" xr3:uid="{E86797C4-DECF-4B2F-B86D-17C9A2AFD0BB}" name="Column12315"/>
    <tableColumn id="12322" xr3:uid="{AC438FB4-A226-432B-8021-7D43F83DBD60}" name="Column12316"/>
    <tableColumn id="12323" xr3:uid="{42F5B95B-F94F-456D-AA1E-E03F3DA6AA72}" name="Column12317"/>
    <tableColumn id="12324" xr3:uid="{C63FFD83-ACF3-40E0-AF05-F34E04C745ED}" name="Column12318"/>
    <tableColumn id="12325" xr3:uid="{9AC50ADF-FB9C-4824-9DCF-2C079DAFA128}" name="Column12319"/>
    <tableColumn id="12326" xr3:uid="{313EF31C-5CF3-4B79-BD89-9E2CE14E9024}" name="Column12320"/>
    <tableColumn id="12327" xr3:uid="{869B815B-5D80-4489-9FF7-0F0B7A90F385}" name="Column12321"/>
    <tableColumn id="12328" xr3:uid="{568D2019-B0C2-4293-B048-104EC345E7FD}" name="Column12322"/>
    <tableColumn id="12329" xr3:uid="{DDA4D433-217D-41D2-8E07-287350DAAA4F}" name="Column12323"/>
    <tableColumn id="12330" xr3:uid="{39F58956-626D-42B9-92AD-48D4770CE6DE}" name="Column12324"/>
    <tableColumn id="12331" xr3:uid="{18E3CC59-0E00-486D-A37E-90E944C9F808}" name="Column12325"/>
    <tableColumn id="12332" xr3:uid="{E13FF346-4673-4A33-9366-3A4C598B0150}" name="Column12326"/>
    <tableColumn id="12333" xr3:uid="{26CF02F8-BF36-4A04-9500-2984A67A8A77}" name="Column12327"/>
    <tableColumn id="12334" xr3:uid="{21D00005-05EF-4EE9-84A4-4CCB6467D4DC}" name="Column12328"/>
    <tableColumn id="12335" xr3:uid="{89CC3D66-A131-4772-92EB-B38D5DB63C1C}" name="Column12329"/>
    <tableColumn id="12336" xr3:uid="{05BAEE90-A524-496C-ABD7-3C563E0C2D03}" name="Column12330"/>
    <tableColumn id="12337" xr3:uid="{7E7B7821-2C26-4680-9569-D47278D892C7}" name="Column12331"/>
    <tableColumn id="12338" xr3:uid="{B1C3F765-E9C0-4483-B91E-D355CB7EED08}" name="Column12332"/>
    <tableColumn id="12339" xr3:uid="{4119C436-0C7D-4A79-9394-4182A9A82CE2}" name="Column12333"/>
    <tableColumn id="12340" xr3:uid="{47F14F25-84C7-4374-875A-10704778FCE8}" name="Column12334"/>
    <tableColumn id="12341" xr3:uid="{793FE75D-8A4C-4C19-AB8D-7FAAB0F407B2}" name="Column12335"/>
    <tableColumn id="12342" xr3:uid="{5F457BD9-7B8F-442F-90E5-1B34A1288D24}" name="Column12336"/>
    <tableColumn id="12343" xr3:uid="{E14BAED3-56D7-4668-820C-44F4C96E6D20}" name="Column12337"/>
    <tableColumn id="12344" xr3:uid="{5ACEB90B-86A6-48B1-B7E4-89CF0043DE01}" name="Column12338"/>
    <tableColumn id="12345" xr3:uid="{8B51F6B7-F4E0-47C6-B3AF-1F51F6A2605E}" name="Column12339"/>
    <tableColumn id="12346" xr3:uid="{5BE74EAD-0D86-4A81-BBA5-D7D5DA63D757}" name="Column12340"/>
    <tableColumn id="12347" xr3:uid="{05473D19-2CA0-4DF7-AB70-9F6A054CACFC}" name="Column12341"/>
    <tableColumn id="12348" xr3:uid="{A0CDD873-15FF-4107-8217-32D184BF5029}" name="Column12342"/>
    <tableColumn id="12349" xr3:uid="{BB798443-669F-424C-B200-930E3564AFC0}" name="Column12343"/>
    <tableColumn id="12350" xr3:uid="{26267320-AE37-4F69-ADE5-24854DBFCA92}" name="Column12344"/>
    <tableColumn id="12351" xr3:uid="{271A6901-34C3-4D15-8E41-3978EC2332DC}" name="Column12345"/>
    <tableColumn id="12352" xr3:uid="{DCB9F9CB-0F76-4C35-B09F-3EA41C9B5E61}" name="Column12346"/>
    <tableColumn id="12353" xr3:uid="{77932692-2068-4156-84A0-050EB6519E34}" name="Column12347"/>
    <tableColumn id="12354" xr3:uid="{DAD4872F-FCA2-4053-BF35-6D714A533A99}" name="Column12348"/>
    <tableColumn id="12355" xr3:uid="{8D51297B-2158-4661-881F-55ECCD920013}" name="Column12349"/>
    <tableColumn id="12356" xr3:uid="{DECF6563-94FF-4C02-8A95-15BBB33E7169}" name="Column12350"/>
    <tableColumn id="12357" xr3:uid="{F58A84D6-994D-4E54-B9D5-91E1C6C90CB6}" name="Column12351"/>
    <tableColumn id="12358" xr3:uid="{B204DF17-9145-4869-87BA-F33A694196C8}" name="Column12352"/>
    <tableColumn id="12359" xr3:uid="{326C6675-285E-4DF6-819A-F6E4CC6959B8}" name="Column12353"/>
    <tableColumn id="12360" xr3:uid="{01E5AA80-A33E-463C-83DC-EFA981C9F25F}" name="Column12354"/>
    <tableColumn id="12361" xr3:uid="{2FED0E43-6873-4D46-B911-CF582B544C35}" name="Column12355"/>
    <tableColumn id="12362" xr3:uid="{6620A367-2CAB-43D6-A64F-C93B34D212A7}" name="Column12356"/>
    <tableColumn id="12363" xr3:uid="{F847ED13-5BCB-4F43-9344-DCCF340A309D}" name="Column12357"/>
    <tableColumn id="12364" xr3:uid="{6E58C90C-6071-4AAD-80C9-DF15104BE298}" name="Column12358"/>
    <tableColumn id="12365" xr3:uid="{4468DEC0-D4A1-4037-900A-F224B65311F2}" name="Column12359"/>
    <tableColumn id="12366" xr3:uid="{9B758055-A0D9-4C94-B605-2AA66939633B}" name="Column12360"/>
    <tableColumn id="12367" xr3:uid="{E37A7377-D1B5-442C-8B7C-06BF25B64E1A}" name="Column12361"/>
    <tableColumn id="12368" xr3:uid="{3EF8B797-3903-4C0C-A2EF-B6A3B3578ADA}" name="Column12362"/>
    <tableColumn id="12369" xr3:uid="{0D1ECC5F-FD73-409C-900E-1D1808E1E294}" name="Column12363"/>
    <tableColumn id="12370" xr3:uid="{E526C22C-07EE-4596-A5E9-236B0124CFD4}" name="Column12364"/>
    <tableColumn id="12371" xr3:uid="{7D8B4F0A-7A3A-47D5-9581-780367B92AEC}" name="Column12365"/>
    <tableColumn id="12372" xr3:uid="{105860A2-B6B0-4811-AE75-2AE0B5306EDA}" name="Column12366"/>
    <tableColumn id="12373" xr3:uid="{D3B2AB06-4F54-4EA0-87DC-BB43A9C837A7}" name="Column12367"/>
    <tableColumn id="12374" xr3:uid="{47C2D546-0955-4CFF-A856-52B094177C26}" name="Column12368"/>
    <tableColumn id="12375" xr3:uid="{9631D3D4-D1D8-416A-82BE-98624C393934}" name="Column12369"/>
    <tableColumn id="12376" xr3:uid="{B0FAE709-8CAA-4906-945B-91657B0750B2}" name="Column12370"/>
    <tableColumn id="12377" xr3:uid="{10E20A9F-3154-40C4-B907-E38DB7BFB806}" name="Column12371"/>
    <tableColumn id="12378" xr3:uid="{04D08673-71B6-4A57-8F93-726A936815EA}" name="Column12372"/>
    <tableColumn id="12379" xr3:uid="{5EC206B7-D4F7-48CA-AE1A-3852C9C67AA5}" name="Column12373"/>
    <tableColumn id="12380" xr3:uid="{386739F1-4B69-44ED-8366-86DB40EA110A}" name="Column12374"/>
    <tableColumn id="12381" xr3:uid="{6279E4B2-69E6-4F4F-86F3-641E1FE7EC51}" name="Column12375"/>
    <tableColumn id="12382" xr3:uid="{192BF73C-17D5-44BA-B980-4DAF13498F4D}" name="Column12376"/>
    <tableColumn id="12383" xr3:uid="{A8E26EC3-6EA2-49CE-8FA6-CB7090398425}" name="Column12377"/>
    <tableColumn id="12384" xr3:uid="{BEB11E3D-DB2E-453C-8344-36425E2CD2A3}" name="Column12378"/>
    <tableColumn id="12385" xr3:uid="{CFB07BBD-602A-482E-9AEA-D6DFFEA56EB5}" name="Column12379"/>
    <tableColumn id="12386" xr3:uid="{7D2BEA51-F82F-404A-AE22-C18EF42A76B5}" name="Column12380"/>
    <tableColumn id="12387" xr3:uid="{EF37708E-F8AA-4178-848F-DEC008D217F5}" name="Column12381"/>
    <tableColumn id="12388" xr3:uid="{B12976EA-782A-43D7-ACAB-F50075E36C8C}" name="Column12382"/>
    <tableColumn id="12389" xr3:uid="{A5505020-3805-4CB2-9505-B23A325FEB64}" name="Column12383"/>
    <tableColumn id="12390" xr3:uid="{6584F87C-29B0-47E8-A248-BBA6BF79F1CB}" name="Column12384"/>
    <tableColumn id="12391" xr3:uid="{506AB16C-094F-4714-A871-631BA736DA31}" name="Column12385"/>
    <tableColumn id="12392" xr3:uid="{D370465C-B1B4-47C9-AA07-B3A9602557D2}" name="Column12386"/>
    <tableColumn id="12393" xr3:uid="{2A800938-DE1A-4366-B4AF-C7C287BC3102}" name="Column12387"/>
    <tableColumn id="12394" xr3:uid="{6C1C0BDF-924A-46ED-99AC-4A6E137E78BD}" name="Column12388"/>
    <tableColumn id="12395" xr3:uid="{9C5503BE-11EC-497A-8DF4-40573D4C6CD1}" name="Column12389"/>
    <tableColumn id="12396" xr3:uid="{766C2F6D-07D2-453D-A735-B1DC641380CC}" name="Column12390"/>
    <tableColumn id="12397" xr3:uid="{595C99F1-FD50-4BD9-A8BD-D68DB2AB8E23}" name="Column12391"/>
    <tableColumn id="12398" xr3:uid="{0BDB883F-F8BA-4A3F-8F5C-99E0CD663E71}" name="Column12392"/>
    <tableColumn id="12399" xr3:uid="{3BFF0609-6782-4537-97D6-58DAC18DC18D}" name="Column12393"/>
    <tableColumn id="12400" xr3:uid="{7EEC1439-73C0-4419-A219-558950558DDA}" name="Column12394"/>
    <tableColumn id="12401" xr3:uid="{75598C56-A7C7-4ACD-81C5-5CFB241B3902}" name="Column12395"/>
    <tableColumn id="12402" xr3:uid="{B52F2E72-9C22-4E0B-9261-F4B4668E873F}" name="Column12396"/>
    <tableColumn id="12403" xr3:uid="{94C7921E-FB22-4C6C-B984-4A0AABA40933}" name="Column12397"/>
    <tableColumn id="12404" xr3:uid="{BDEC84E6-1DCF-4D9C-BB2C-C6F810E7DF11}" name="Column12398"/>
    <tableColumn id="12405" xr3:uid="{A3DAA63E-C4FE-4FC7-A6EB-A346A725A45A}" name="Column12399"/>
    <tableColumn id="12406" xr3:uid="{8FEB4CF3-8FF8-4F9C-B732-8938F7FBD3DF}" name="Column12400"/>
    <tableColumn id="12407" xr3:uid="{7A1D8932-7C10-4DEC-8B64-31FD333171F9}" name="Column12401"/>
    <tableColumn id="12408" xr3:uid="{397EB47D-259B-4044-BC1E-1754DCDE06F3}" name="Column12402"/>
    <tableColumn id="12409" xr3:uid="{9DB8A451-6396-4EAE-8F5E-3A48D332088E}" name="Column12403"/>
    <tableColumn id="12410" xr3:uid="{2D612A46-314E-4643-B964-F2492E382A41}" name="Column12404"/>
    <tableColumn id="12411" xr3:uid="{2C2DD19A-949F-4715-A833-95C2CF4B7CA0}" name="Column12405"/>
    <tableColumn id="12412" xr3:uid="{59D257A1-4BCC-4B1B-9A75-1A791A2D5C5F}" name="Column12406"/>
    <tableColumn id="12413" xr3:uid="{8012401F-23AC-4F15-9ED9-490271B1B94F}" name="Column12407"/>
    <tableColumn id="12414" xr3:uid="{B7C83394-A097-45EB-9D3D-795019B48D63}" name="Column12408"/>
    <tableColumn id="12415" xr3:uid="{F866BC52-25AE-406A-9331-0BA4D80BF9F1}" name="Column12409"/>
    <tableColumn id="12416" xr3:uid="{1042E10B-A108-47B8-8AD2-7A8C3B1F24BB}" name="Column12410"/>
    <tableColumn id="12417" xr3:uid="{9B3A2B97-C031-425A-9CD7-A208334033B4}" name="Column12411"/>
    <tableColumn id="12418" xr3:uid="{4D314E50-12C3-48A0-BF4C-80479D1DCD9E}" name="Column12412"/>
    <tableColumn id="12419" xr3:uid="{92A7EA21-C009-47EC-9B90-8F3F188AA6D3}" name="Column12413"/>
    <tableColumn id="12420" xr3:uid="{CE350728-93C8-4FE9-B2E7-96C5363D62C1}" name="Column12414"/>
    <tableColumn id="12421" xr3:uid="{B5816C05-F5E7-4B0A-ABD3-E53C2220DEA6}" name="Column12415"/>
    <tableColumn id="12422" xr3:uid="{830A3C03-18CF-443A-AB31-E92BE3901362}" name="Column12416"/>
    <tableColumn id="12423" xr3:uid="{0D9FD849-857B-4060-A324-904FAF8BCAF3}" name="Column12417"/>
    <tableColumn id="12424" xr3:uid="{DA20C931-67A1-42D9-AE2A-11A79F1E56CE}" name="Column12418"/>
    <tableColumn id="12425" xr3:uid="{0EA140AC-1D45-4EDC-87A2-7A6EC860A24D}" name="Column12419"/>
    <tableColumn id="12426" xr3:uid="{7BFDFF4B-9AF3-48D7-8BA8-F8BF8075A9F3}" name="Column12420"/>
    <tableColumn id="12427" xr3:uid="{280A2204-7777-4577-984D-D1F691D56D17}" name="Column12421"/>
    <tableColumn id="12428" xr3:uid="{32BBA97A-97F6-4D48-84EB-ACB215249B92}" name="Column12422"/>
    <tableColumn id="12429" xr3:uid="{5071BDF3-B361-4722-A008-451C279F6584}" name="Column12423"/>
    <tableColumn id="12430" xr3:uid="{9D669E3D-8166-4A89-B8F8-380E14605D79}" name="Column12424"/>
    <tableColumn id="12431" xr3:uid="{5A2C5681-836E-4348-9A32-1304F4D9A0D7}" name="Column12425"/>
    <tableColumn id="12432" xr3:uid="{2516D26D-D6BC-48F9-ACFB-EAAB74D596DB}" name="Column12426"/>
    <tableColumn id="12433" xr3:uid="{791ADB4E-3D62-44C4-A5BE-71004C0EDA5A}" name="Column12427"/>
    <tableColumn id="12434" xr3:uid="{B6AA38EA-A080-451B-BF9E-49B9CAF30D13}" name="Column12428"/>
    <tableColumn id="12435" xr3:uid="{6A228AA1-CC67-40DD-9068-2F37D8F1724D}" name="Column12429"/>
    <tableColumn id="12436" xr3:uid="{81E82560-C650-414F-97E9-8CC378064983}" name="Column12430"/>
    <tableColumn id="12437" xr3:uid="{BF1D4D53-D329-49E7-9A2E-5BEFF4C5DBAF}" name="Column12431"/>
    <tableColumn id="12438" xr3:uid="{3A03C6E3-1369-4F91-9F25-3EB81F7E3C45}" name="Column12432"/>
    <tableColumn id="12439" xr3:uid="{F39FA56C-69F9-48BF-8F36-5DE9EC0420BF}" name="Column12433"/>
    <tableColumn id="12440" xr3:uid="{45768276-44CC-485C-A47F-1536E8362DA1}" name="Column12434"/>
    <tableColumn id="12441" xr3:uid="{C837E92C-ABEE-43E7-B7D1-DFE24A885A87}" name="Column12435"/>
    <tableColumn id="12442" xr3:uid="{2D45C2FF-6CAC-457D-8A08-500CC0FD0B6E}" name="Column12436"/>
    <tableColumn id="12443" xr3:uid="{583A7155-4642-41E4-B68B-395300709940}" name="Column12437"/>
    <tableColumn id="12444" xr3:uid="{3BCE601C-6BD7-4AE0-9C8E-B000BB4A020C}" name="Column12438"/>
    <tableColumn id="12445" xr3:uid="{6B0AB9C9-DD95-41F0-80BA-05C790C13E9A}" name="Column12439"/>
    <tableColumn id="12446" xr3:uid="{E65C13B8-6090-4385-BC67-C303BA8821EE}" name="Column12440"/>
    <tableColumn id="12447" xr3:uid="{B58394A8-543C-4C55-9063-153F09763E1B}" name="Column12441"/>
    <tableColumn id="12448" xr3:uid="{013EF155-114E-4508-BBC1-AA9D2DA4CD27}" name="Column12442"/>
    <tableColumn id="12449" xr3:uid="{67DDED57-61CA-4233-A781-9953FF5E6CF8}" name="Column12443"/>
    <tableColumn id="12450" xr3:uid="{DC73D00E-29B9-4B17-B6B4-2DA296837E1A}" name="Column12444"/>
    <tableColumn id="12451" xr3:uid="{AD82E849-B358-42E2-AEDD-37556537007C}" name="Column12445"/>
    <tableColumn id="12452" xr3:uid="{1056862F-6723-46C9-88D0-A8F97480AC40}" name="Column12446"/>
    <tableColumn id="12453" xr3:uid="{9A7EF0B3-9E0D-43DF-827D-4B4E5AA71D83}" name="Column12447"/>
    <tableColumn id="12454" xr3:uid="{563AE5D1-5E71-46CD-B3D5-6A4F77EEC085}" name="Column12448"/>
    <tableColumn id="12455" xr3:uid="{0A5A59CF-C293-4ED8-A763-E6E9B497A7BC}" name="Column12449"/>
    <tableColumn id="12456" xr3:uid="{20B19DFD-5AB0-4C2D-AF8D-171641377950}" name="Column12450"/>
    <tableColumn id="12457" xr3:uid="{44203F23-C2BD-47CB-8E5E-FC9DD44308C4}" name="Column12451"/>
    <tableColumn id="12458" xr3:uid="{2D17E620-87B7-4569-A674-87D65AAFA270}" name="Column12452"/>
    <tableColumn id="12459" xr3:uid="{1F0C09FC-5BF3-40C9-976D-E72514FBEBA4}" name="Column12453"/>
    <tableColumn id="12460" xr3:uid="{3A217800-A147-4E92-A667-3AF3D1712D15}" name="Column12454"/>
    <tableColumn id="12461" xr3:uid="{5D7FBFC2-A61B-4BA0-AEBC-D23E8968523D}" name="Column12455"/>
    <tableColumn id="12462" xr3:uid="{1D2D8ADB-5851-4530-BAC9-F9814BAE90E0}" name="Column12456"/>
    <tableColumn id="12463" xr3:uid="{80572B8C-9CEF-4747-9B0A-F88104544B7D}" name="Column12457"/>
    <tableColumn id="12464" xr3:uid="{F2DDBDA8-1169-4D9A-8FBF-E0620EBC8E66}" name="Column12458"/>
    <tableColumn id="12465" xr3:uid="{92F3408B-C1C4-4359-A7C3-1245092E7478}" name="Column12459"/>
    <tableColumn id="12466" xr3:uid="{734A3414-B4BD-4047-89FD-54F3B5BB092A}" name="Column12460"/>
    <tableColumn id="12467" xr3:uid="{EC0E7298-E79D-4E76-861B-073824A378E0}" name="Column12461"/>
    <tableColumn id="12468" xr3:uid="{0B98FBD0-476A-4550-8429-BE47D5BA1767}" name="Column12462"/>
    <tableColumn id="12469" xr3:uid="{02EB68EE-FBF0-4C1F-9B6C-F130F036E459}" name="Column12463"/>
    <tableColumn id="12470" xr3:uid="{22A084C7-2AD2-4FA1-84C0-379DF76BE901}" name="Column12464"/>
    <tableColumn id="12471" xr3:uid="{8628C9C8-ECDC-4F17-89EC-204626908ECF}" name="Column12465"/>
    <tableColumn id="12472" xr3:uid="{D415D81A-7433-4FCB-A9A7-022A9F0CF7DA}" name="Column12466"/>
    <tableColumn id="12473" xr3:uid="{7EF3BDA0-5C4F-4887-A623-E58E2DCDA767}" name="Column12467"/>
    <tableColumn id="12474" xr3:uid="{F505DED5-A187-4C76-ADDE-66E42C38EF74}" name="Column12468"/>
    <tableColumn id="12475" xr3:uid="{5EEE5842-4D57-402A-8BEE-1DD7574D1AA4}" name="Column12469"/>
    <tableColumn id="12476" xr3:uid="{DCAB4690-6AD9-4BCE-B691-0CF51BAF0310}" name="Column12470"/>
    <tableColumn id="12477" xr3:uid="{D07E5616-D8EF-48F0-BF74-77DBA15654C8}" name="Column12471"/>
    <tableColumn id="12478" xr3:uid="{616B2C7B-174C-46B2-A490-EB3604BCB9B3}" name="Column12472"/>
    <tableColumn id="12479" xr3:uid="{EBB8E206-68A1-408F-B6AD-94EFFD33F297}" name="Column12473"/>
    <tableColumn id="12480" xr3:uid="{C3AAD287-8EAC-4EAA-BAF5-88239B062FFA}" name="Column12474"/>
    <tableColumn id="12481" xr3:uid="{5DE5B5DB-2024-4E30-9EAD-D7C8FFBB80AA}" name="Column12475"/>
    <tableColumn id="12482" xr3:uid="{B1864378-CA9C-4210-B3CB-273181B772C3}" name="Column12476"/>
    <tableColumn id="12483" xr3:uid="{5D6DF487-38C1-42C4-ABE7-735A06B19962}" name="Column12477"/>
    <tableColumn id="12484" xr3:uid="{8BBDA939-BDE9-469D-8C94-AF1360CBCF4A}" name="Column12478"/>
    <tableColumn id="12485" xr3:uid="{B57A8D64-5639-42D3-92B2-343C8C08D96D}" name="Column12479"/>
    <tableColumn id="12486" xr3:uid="{9274AAA6-8670-467C-AB9D-1DF0D3AFF9B5}" name="Column12480"/>
    <tableColumn id="12487" xr3:uid="{58814180-467F-4275-B42D-0E9C744CA3AF}" name="Column12481"/>
    <tableColumn id="12488" xr3:uid="{3C7A1A29-B3D1-4C8F-BBDD-1ABF4B347FD5}" name="Column12482"/>
    <tableColumn id="12489" xr3:uid="{F034CD9E-18D4-4FCE-9B7B-AFDE68024A87}" name="Column12483"/>
    <tableColumn id="12490" xr3:uid="{96C4DDDC-9EB3-4030-BD17-AF9473524B2C}" name="Column12484"/>
    <tableColumn id="12491" xr3:uid="{74E23459-9839-4F67-AB35-B0DFA6DFCC47}" name="Column12485"/>
    <tableColumn id="12492" xr3:uid="{8FA0AD2F-8226-48A5-8F29-990ED943B8A8}" name="Column12486"/>
    <tableColumn id="12493" xr3:uid="{7C2939DD-9DE8-4A52-8275-467F7E442F32}" name="Column12487"/>
    <tableColumn id="12494" xr3:uid="{6CAC943E-B3D0-442B-A5B1-E328E1C1C635}" name="Column12488"/>
    <tableColumn id="12495" xr3:uid="{48C43ED1-1073-4688-A2D9-6C64C8727F0B}" name="Column12489"/>
    <tableColumn id="12496" xr3:uid="{B00AE493-1087-4DBF-AE60-18D0C951AAB1}" name="Column12490"/>
    <tableColumn id="12497" xr3:uid="{FFBF5E1F-C1EB-4929-A7B6-B076271FECF6}" name="Column12491"/>
    <tableColumn id="12498" xr3:uid="{4F8F1F79-6284-4187-BC48-DD8D164F4C78}" name="Column12492"/>
    <tableColumn id="12499" xr3:uid="{0CF097AD-A1D6-48F4-A13D-3AF7DF4120E9}" name="Column12493"/>
    <tableColumn id="12500" xr3:uid="{6A892003-2B19-4B51-A427-F12F5A1A8AEB}" name="Column12494"/>
    <tableColumn id="12501" xr3:uid="{BB312B61-688B-451F-892D-970EAFA4D7C5}" name="Column12495"/>
    <tableColumn id="12502" xr3:uid="{F62CA47D-FF27-4399-9C38-C58647C8E4AF}" name="Column12496"/>
    <tableColumn id="12503" xr3:uid="{079EECBC-D879-4D09-8CC4-EBCFE37DB2E5}" name="Column12497"/>
    <tableColumn id="12504" xr3:uid="{FD3A7175-23D5-4130-A09C-0F220E0356E2}" name="Column12498"/>
    <tableColumn id="12505" xr3:uid="{B0CBCE89-4B9B-4F3E-A550-2948EC229AE5}" name="Column12499"/>
    <tableColumn id="12506" xr3:uid="{AA63A8E6-2D2E-4E0D-8D68-899AB7ACA4DB}" name="Column12500"/>
    <tableColumn id="12507" xr3:uid="{030A46EB-BC36-45BB-85A3-5BEAC0228E6F}" name="Column12501"/>
    <tableColumn id="12508" xr3:uid="{4E8BAFA8-08F1-42DC-A2B6-63F7920B7679}" name="Column12502"/>
    <tableColumn id="12509" xr3:uid="{6D4D025E-6CC0-403C-85D8-C24498B1A8DC}" name="Column12503"/>
    <tableColumn id="12510" xr3:uid="{A56D1BD6-7ED5-4854-A315-8DEC5CF2AD46}" name="Column12504"/>
    <tableColumn id="12511" xr3:uid="{9C698DD4-2234-42E8-AAE0-6B72237D5ACD}" name="Column12505"/>
    <tableColumn id="12512" xr3:uid="{72024CC3-81E0-4AA5-B0C6-2685D0E7F9E5}" name="Column12506"/>
    <tableColumn id="12513" xr3:uid="{39D6D8F0-4F65-4981-A319-4C2126D1A93C}" name="Column12507"/>
    <tableColumn id="12514" xr3:uid="{5C0CD29E-8882-40EE-9A63-4306CF79A552}" name="Column12508"/>
    <tableColumn id="12515" xr3:uid="{68E82C33-4212-4677-BFBA-4B7AB0DE0B13}" name="Column12509"/>
    <tableColumn id="12516" xr3:uid="{88C89195-6894-483C-BAEC-BAC5BF3D8F19}" name="Column12510"/>
    <tableColumn id="12517" xr3:uid="{A7E5BF0B-8A70-4303-9BB2-DE934C957C92}" name="Column12511"/>
    <tableColumn id="12518" xr3:uid="{8AD0F00E-B7E5-401A-911B-445BEA4BE9C2}" name="Column12512"/>
    <tableColumn id="12519" xr3:uid="{A90D6B26-471B-4A58-BC06-5D4E17896A0D}" name="Column12513"/>
    <tableColumn id="12520" xr3:uid="{28F0C445-6201-451D-BA95-A9DE27DBCA6B}" name="Column12514"/>
    <tableColumn id="12521" xr3:uid="{A06F029D-3488-4459-9630-493FE39A94EA}" name="Column12515"/>
    <tableColumn id="12522" xr3:uid="{7D6D035F-6B8D-4A90-9FDD-581C24937BDD}" name="Column12516"/>
    <tableColumn id="12523" xr3:uid="{587F5767-AEAF-49CC-9C81-B203FD79C821}" name="Column12517"/>
    <tableColumn id="12524" xr3:uid="{EFBDA406-46B8-4C23-BC67-9E78AA5A275F}" name="Column12518"/>
    <tableColumn id="12525" xr3:uid="{E51995EF-0C61-409E-BC01-1F7C9FB6EE08}" name="Column12519"/>
    <tableColumn id="12526" xr3:uid="{1845C3BE-6039-4CAA-BB00-78E9F226CDCA}" name="Column12520"/>
    <tableColumn id="12527" xr3:uid="{75DAA2E8-EEBE-4F6C-B157-DCCD09304956}" name="Column12521"/>
    <tableColumn id="12528" xr3:uid="{5A708E29-0C40-4EB8-8394-52457DF14002}" name="Column12522"/>
    <tableColumn id="12529" xr3:uid="{846896BD-8B85-4D6B-A2FD-7D623035B5E6}" name="Column12523"/>
    <tableColumn id="12530" xr3:uid="{09859A91-7959-4719-A67A-A01C5C5288E1}" name="Column12524"/>
    <tableColumn id="12531" xr3:uid="{62DA33BC-096A-4674-9176-BA5264DE5316}" name="Column12525"/>
    <tableColumn id="12532" xr3:uid="{6EF68C46-A450-4FB3-8426-2356DA141C82}" name="Column12526"/>
    <tableColumn id="12533" xr3:uid="{EE8474FC-E3A3-4492-B42E-F55AC6EDE5D7}" name="Column12527"/>
    <tableColumn id="12534" xr3:uid="{2A595F0D-6EBB-4371-BDF8-8242392001D9}" name="Column12528"/>
    <tableColumn id="12535" xr3:uid="{B7AFA964-EC73-458B-A349-3A6B6419A462}" name="Column12529"/>
    <tableColumn id="12536" xr3:uid="{6BF217AC-5625-4032-9329-3622651F64CC}" name="Column12530"/>
    <tableColumn id="12537" xr3:uid="{F5C1A18D-94E3-46ED-AA4C-C48A2FE65B33}" name="Column12531"/>
    <tableColumn id="12538" xr3:uid="{45F4C9CC-E1E2-4009-8DC8-CF4FE81AC9FE}" name="Column12532"/>
    <tableColumn id="12539" xr3:uid="{C40DC038-C830-42E8-89C6-BBF0756B7C66}" name="Column12533"/>
    <tableColumn id="12540" xr3:uid="{A3D683F2-34CB-415C-A600-35A25EB9DFC5}" name="Column12534"/>
    <tableColumn id="12541" xr3:uid="{5B58A988-341D-449E-A32A-E764999335FA}" name="Column12535"/>
    <tableColumn id="12542" xr3:uid="{0DD610BE-072D-452E-BC63-27DA29ABA146}" name="Column12536"/>
    <tableColumn id="12543" xr3:uid="{8AFBC43E-EDBC-46F4-9702-282EDA8F0D4B}" name="Column12537"/>
    <tableColumn id="12544" xr3:uid="{EA891B3F-2E69-4C4C-8865-DB8F90F16C9A}" name="Column12538"/>
    <tableColumn id="12545" xr3:uid="{F1CE94F6-B9C9-408F-90F4-A43DF5437372}" name="Column12539"/>
    <tableColumn id="12546" xr3:uid="{E8C10747-D742-4C55-B079-1C35C6B29FD7}" name="Column12540"/>
    <tableColumn id="12547" xr3:uid="{9B0A2BFE-574C-45C9-BB31-57C334413321}" name="Column12541"/>
    <tableColumn id="12548" xr3:uid="{61F3FA57-2C5A-47DB-9AE0-2F7E4C4C55DF}" name="Column12542"/>
    <tableColumn id="12549" xr3:uid="{737AAAB5-10F2-43AD-B5E8-1D41C48C8BA2}" name="Column12543"/>
    <tableColumn id="12550" xr3:uid="{74DC4788-D0EE-4BBE-968B-717259B17E14}" name="Column12544"/>
    <tableColumn id="12551" xr3:uid="{26BD7B3B-A74C-41B1-B1DC-C237173BE334}" name="Column12545"/>
    <tableColumn id="12552" xr3:uid="{03361FC3-AA77-4482-8E3C-ECCC55416A48}" name="Column12546"/>
    <tableColumn id="12553" xr3:uid="{6C845C38-93C4-4F8F-8CF3-FDCB08F4EEE6}" name="Column12547"/>
    <tableColumn id="12554" xr3:uid="{C8450B24-D337-4DF8-A3E6-CE4870074791}" name="Column12548"/>
    <tableColumn id="12555" xr3:uid="{A62147DD-125A-415B-87C4-49F184F4243A}" name="Column12549"/>
    <tableColumn id="12556" xr3:uid="{F4E9440D-AE42-4526-83D6-20481E5F7767}" name="Column12550"/>
    <tableColumn id="12557" xr3:uid="{66AC373A-36C3-4E3D-B885-1B27401C257B}" name="Column12551"/>
    <tableColumn id="12558" xr3:uid="{4DF6945F-A3E1-446B-B72D-52195ED739AD}" name="Column12552"/>
    <tableColumn id="12559" xr3:uid="{55E3528B-1CFA-4DED-97B6-0825FA79E5D1}" name="Column12553"/>
    <tableColumn id="12560" xr3:uid="{E09D8100-A83B-4EE2-BE62-551848028388}" name="Column12554"/>
    <tableColumn id="12561" xr3:uid="{7D6E1F76-6AF9-46CC-971A-AFDB3DD9FEB5}" name="Column12555"/>
    <tableColumn id="12562" xr3:uid="{F7E2D195-FAF5-4434-99BB-144ECBFD7B20}" name="Column12556"/>
    <tableColumn id="12563" xr3:uid="{AF8C9B22-EA39-4B11-AC48-57159DBCF460}" name="Column12557"/>
    <tableColumn id="12564" xr3:uid="{DF1B4731-E696-4838-A5E9-B8A4BBBF89F7}" name="Column12558"/>
    <tableColumn id="12565" xr3:uid="{8DA81FAF-213B-4832-AD99-CDB096A004A0}" name="Column12559"/>
    <tableColumn id="12566" xr3:uid="{1D43325A-4C10-4C1C-84EE-5CEDFC1F852B}" name="Column12560"/>
    <tableColumn id="12567" xr3:uid="{2045F20E-1E9D-4D2A-8DF4-9F9DCAEEE8A6}" name="Column12561"/>
    <tableColumn id="12568" xr3:uid="{2980CF8D-F9ED-4C65-A337-CBA7E225A94B}" name="Column12562"/>
    <tableColumn id="12569" xr3:uid="{296934FB-F6D5-4575-8C79-9DC53DD3684D}" name="Column12563"/>
    <tableColumn id="12570" xr3:uid="{31A67631-CDD8-4E99-B943-A89B4D651E0C}" name="Column12564"/>
    <tableColumn id="12571" xr3:uid="{D4ECC07E-B1CE-43F5-97BD-10D3A3F52D8C}" name="Column12565"/>
    <tableColumn id="12572" xr3:uid="{824624D2-0789-4B0F-9B10-EAC954066342}" name="Column12566"/>
    <tableColumn id="12573" xr3:uid="{755B56CE-0636-4680-9C8C-C038295B660B}" name="Column12567"/>
    <tableColumn id="12574" xr3:uid="{BDC7AB53-A75E-48E9-A7EB-F0DA0A55F025}" name="Column12568"/>
    <tableColumn id="12575" xr3:uid="{7BEE474E-14CA-4D58-BB11-AF0FF23B9AE4}" name="Column12569"/>
    <tableColumn id="12576" xr3:uid="{8EB49F11-BAC1-4270-A706-9E8A405BA790}" name="Column12570"/>
    <tableColumn id="12577" xr3:uid="{56791FA9-75B6-4C40-A92D-1BABFA557355}" name="Column12571"/>
    <tableColumn id="12578" xr3:uid="{4736AB89-C804-46D1-B379-AD2E3117CCF3}" name="Column12572"/>
    <tableColumn id="12579" xr3:uid="{B08EEA99-9250-4F35-A2CF-F6873A0773DE}" name="Column12573"/>
    <tableColumn id="12580" xr3:uid="{168D4C37-37E8-40B7-8ADC-7A1FA0541FAE}" name="Column12574"/>
    <tableColumn id="12581" xr3:uid="{5D26A059-69DB-42E0-943B-45732C94E189}" name="Column12575"/>
    <tableColumn id="12582" xr3:uid="{8597F4BF-8671-4F11-B3F0-F9ED5A49A63C}" name="Column12576"/>
    <tableColumn id="12583" xr3:uid="{96A07F35-AD4C-495C-A70B-3BE9758CD9DD}" name="Column12577"/>
    <tableColumn id="12584" xr3:uid="{828C9BF9-994E-4042-91CC-E8D8FA184261}" name="Column12578"/>
    <tableColumn id="12585" xr3:uid="{44567EC3-9C28-499D-B83E-939C77677128}" name="Column12579"/>
    <tableColumn id="12586" xr3:uid="{4E1014A8-09DF-4C7A-B79D-AFD76C8869DB}" name="Column12580"/>
    <tableColumn id="12587" xr3:uid="{41D6AF30-2514-45B2-9178-5577B3AE141A}" name="Column12581"/>
    <tableColumn id="12588" xr3:uid="{59486F9B-CABC-490C-B430-36CBB59DB953}" name="Column12582"/>
    <tableColumn id="12589" xr3:uid="{1736790E-9F33-4B2E-932B-3CA71B3042F7}" name="Column12583"/>
    <tableColumn id="12590" xr3:uid="{5B42CC28-1950-4FCD-90FF-79DD7B9903CD}" name="Column12584"/>
    <tableColumn id="12591" xr3:uid="{676B2D03-0C36-4D08-9F0D-E62BE1FBFD45}" name="Column12585"/>
    <tableColumn id="12592" xr3:uid="{CD592D43-819B-4109-A2A9-DC74CB33A1B7}" name="Column12586"/>
    <tableColumn id="12593" xr3:uid="{067AEE35-F7A8-4170-991C-0CD6EF86ACAF}" name="Column12587"/>
    <tableColumn id="12594" xr3:uid="{E89D1F7F-CA04-44E5-8F2A-EEBB0505BED1}" name="Column12588"/>
    <tableColumn id="12595" xr3:uid="{4EEA0CE1-FBDB-4F2A-82F4-9277D95AAFBB}" name="Column12589"/>
    <tableColumn id="12596" xr3:uid="{FDC7C305-A7BD-4AF1-A627-8E53690EE1AD}" name="Column12590"/>
    <tableColumn id="12597" xr3:uid="{894E8379-5864-4D1C-B110-1F1DCCD7BB78}" name="Column12591"/>
    <tableColumn id="12598" xr3:uid="{7A8C0620-F366-4E39-ACC6-90FAE53261AA}" name="Column12592"/>
    <tableColumn id="12599" xr3:uid="{4C55C571-875B-4C89-A2EF-4367CC8B95B2}" name="Column12593"/>
    <tableColumn id="12600" xr3:uid="{CE7FAC62-FD7E-46F6-8A4B-8DE2DADBA9D4}" name="Column12594"/>
    <tableColumn id="12601" xr3:uid="{0B3C3D21-6B99-4486-AF0F-7B366AE60069}" name="Column12595"/>
    <tableColumn id="12602" xr3:uid="{9D21366E-5E1F-4566-9A42-8CC60EABA925}" name="Column12596"/>
    <tableColumn id="12603" xr3:uid="{39A69093-81CA-40CC-BBAA-27CAC6CC119B}" name="Column12597"/>
    <tableColumn id="12604" xr3:uid="{1A080E86-4331-4D06-9BE4-88136739EFDF}" name="Column12598"/>
    <tableColumn id="12605" xr3:uid="{F2C889A9-E826-448A-B8D9-73B0BD224FE1}" name="Column12599"/>
    <tableColumn id="12606" xr3:uid="{0B7B4D04-70A2-47CE-94D1-992170E6AC24}" name="Column12600"/>
    <tableColumn id="12607" xr3:uid="{7C85D7D4-F2BE-4701-BFDB-C5B55616ADE2}" name="Column12601"/>
    <tableColumn id="12608" xr3:uid="{123A24D8-EC0F-4FB6-A7CF-0685D91CAB2E}" name="Column12602"/>
    <tableColumn id="12609" xr3:uid="{2CDB4B78-3D5C-4B00-9B76-2F5B6EAF7D77}" name="Column12603"/>
    <tableColumn id="12610" xr3:uid="{C0961D1E-2200-4C63-874F-E7B816BBE76D}" name="Column12604"/>
    <tableColumn id="12611" xr3:uid="{BB0F69DF-952F-49EC-B2D4-A038F4AF3BA6}" name="Column12605"/>
    <tableColumn id="12612" xr3:uid="{C8DF4E72-45DE-4304-884B-3A6E8107302F}" name="Column12606"/>
    <tableColumn id="12613" xr3:uid="{17BB9D1D-D4A9-4565-93BB-A9CFD926B045}" name="Column12607"/>
    <tableColumn id="12614" xr3:uid="{CFE5C92A-F642-45B5-BB35-94B8B51872D2}" name="Column12608"/>
    <tableColumn id="12615" xr3:uid="{3EEDB9FA-970F-4C58-B4AD-A17969881E47}" name="Column12609"/>
    <tableColumn id="12616" xr3:uid="{BA29E242-7131-4DC8-B324-CC19EB33E664}" name="Column12610"/>
    <tableColumn id="12617" xr3:uid="{D57D3422-8DA6-4129-B66C-9D8C4FC6034A}" name="Column12611"/>
    <tableColumn id="12618" xr3:uid="{F2DA7145-F06A-4EF9-9F27-D3488DE241B5}" name="Column12612"/>
    <tableColumn id="12619" xr3:uid="{6D025726-5682-4F37-8E83-E2DCA25322E3}" name="Column12613"/>
    <tableColumn id="12620" xr3:uid="{12F75839-CA1F-4C44-99AF-3BD84B62B9F3}" name="Column12614"/>
    <tableColumn id="12621" xr3:uid="{5F610FE9-619B-45AF-955C-49D4418FFB35}" name="Column12615"/>
    <tableColumn id="12622" xr3:uid="{8110BBF3-1BF3-4AA1-9357-87B051A388F3}" name="Column12616"/>
    <tableColumn id="12623" xr3:uid="{604E4DD8-4E69-4477-8785-D2C3C48A293C}" name="Column12617"/>
    <tableColumn id="12624" xr3:uid="{BA335CF9-5DCC-41C1-8607-AB6C88A8FA99}" name="Column12618"/>
    <tableColumn id="12625" xr3:uid="{449C9C84-56A7-48C4-AD14-9184D01D61F0}" name="Column12619"/>
    <tableColumn id="12626" xr3:uid="{51AC2F0C-0C38-406C-9F72-1752BBB2350B}" name="Column12620"/>
    <tableColumn id="12627" xr3:uid="{CF89432A-67C6-4C76-B184-CC45978A340E}" name="Column12621"/>
    <tableColumn id="12628" xr3:uid="{4D55ADD6-098E-4860-8CED-905D7EC9622A}" name="Column12622"/>
    <tableColumn id="12629" xr3:uid="{B360D824-E1CF-4AB0-A937-C4A3F7E03721}" name="Column12623"/>
    <tableColumn id="12630" xr3:uid="{CD0F9A48-B1FA-42B1-9481-44A93F72172B}" name="Column12624"/>
    <tableColumn id="12631" xr3:uid="{A85B5AC0-6F7D-4895-B33C-D62F62FC6E57}" name="Column12625"/>
    <tableColumn id="12632" xr3:uid="{1773E006-D8B2-421E-9275-103735DC3A9D}" name="Column12626"/>
    <tableColumn id="12633" xr3:uid="{7B261771-7C99-4567-AD0D-5AB271A8AC9E}" name="Column12627"/>
    <tableColumn id="12634" xr3:uid="{F9C42800-5241-445F-B84E-13EE6791E549}" name="Column12628"/>
    <tableColumn id="12635" xr3:uid="{687F6F92-C194-4D74-A05B-5E3F2530BC01}" name="Column12629"/>
    <tableColumn id="12636" xr3:uid="{D68E1189-F230-4FFA-98E1-824EF490FB80}" name="Column12630"/>
    <tableColumn id="12637" xr3:uid="{BCFEECBE-6487-4214-817A-656C9767F6B4}" name="Column12631"/>
    <tableColumn id="12638" xr3:uid="{DFFD1D81-AA58-45DD-8496-52B2FF181012}" name="Column12632"/>
    <tableColumn id="12639" xr3:uid="{1945231E-247B-4242-B5F5-51E1DF16F289}" name="Column12633"/>
    <tableColumn id="12640" xr3:uid="{231FAB97-E8DF-401D-9A77-BCEDF2247F22}" name="Column12634"/>
    <tableColumn id="12641" xr3:uid="{60BFFC9E-6C68-4B35-AEA9-295901FC3A28}" name="Column12635"/>
    <tableColumn id="12642" xr3:uid="{2077AB58-EDBF-4CDD-8D62-0C74BBED8571}" name="Column12636"/>
    <tableColumn id="12643" xr3:uid="{6397EF6F-EF10-4AE3-B7BA-9F4E92656DA3}" name="Column12637"/>
    <tableColumn id="12644" xr3:uid="{EAFE609F-B7FA-453A-9027-AB5353B0D070}" name="Column12638"/>
    <tableColumn id="12645" xr3:uid="{FDAC6910-1FD8-438F-B549-038CC407932D}" name="Column12639"/>
    <tableColumn id="12646" xr3:uid="{0C2E9D66-95A2-4ABE-A5F9-C5F64C2A5304}" name="Column12640"/>
    <tableColumn id="12647" xr3:uid="{47C7DC25-8681-4AE6-9BA0-72FC46F02155}" name="Column12641"/>
    <tableColumn id="12648" xr3:uid="{3BF34171-4F08-4A78-BF56-A498C3794BB1}" name="Column12642"/>
    <tableColumn id="12649" xr3:uid="{CDB996AD-E9D0-4A1F-B174-44B2854D3435}" name="Column12643"/>
    <tableColumn id="12650" xr3:uid="{6E0E5A83-4D8E-42FA-9513-4E083B5C537B}" name="Column12644"/>
    <tableColumn id="12651" xr3:uid="{790FE2A9-D150-47F8-B75C-A0205743037A}" name="Column12645"/>
    <tableColumn id="12652" xr3:uid="{421EE448-6A06-4B35-8AF8-0838555ABA81}" name="Column12646"/>
    <tableColumn id="12653" xr3:uid="{F04A519A-8180-4F95-9BAC-4772DAA9C7FB}" name="Column12647"/>
    <tableColumn id="12654" xr3:uid="{8E23E47E-1D20-449C-88FF-2AFB914B8AB4}" name="Column12648"/>
    <tableColumn id="12655" xr3:uid="{F2653539-C9E7-4C59-B7E2-89F12F5FD9F9}" name="Column12649"/>
    <tableColumn id="12656" xr3:uid="{2458427F-BB7F-4DE4-B533-EAC4A670BE63}" name="Column12650"/>
    <tableColumn id="12657" xr3:uid="{C9AB20D7-DBCB-400B-85C6-4A8F12F092CF}" name="Column12651"/>
    <tableColumn id="12658" xr3:uid="{EF5F1DB4-CA71-4559-AA19-500602E835BE}" name="Column12652"/>
    <tableColumn id="12659" xr3:uid="{3E47E52C-F1D0-4B25-880E-94DAC58FFFBF}" name="Column12653"/>
    <tableColumn id="12660" xr3:uid="{E5204645-608C-41E6-B8DE-6FD6E455DCDD}" name="Column12654"/>
    <tableColumn id="12661" xr3:uid="{467770EA-6431-4693-BFBC-4FCC17BA3A2F}" name="Column12655"/>
    <tableColumn id="12662" xr3:uid="{63DC8BA8-4B71-434E-8599-66E8144667F3}" name="Column12656"/>
    <tableColumn id="12663" xr3:uid="{94781FC6-189F-4806-B476-81275BEDAB98}" name="Column12657"/>
    <tableColumn id="12664" xr3:uid="{5045F4FB-4618-443F-9068-F161BDAD99F1}" name="Column12658"/>
    <tableColumn id="12665" xr3:uid="{D3E2E28D-D219-45FC-B9BD-B5EA42AB5811}" name="Column12659"/>
    <tableColumn id="12666" xr3:uid="{5F310B44-AD5B-4215-B518-CC201ED34BFE}" name="Column12660"/>
    <tableColumn id="12667" xr3:uid="{EF2BB758-12FF-47A5-BEF9-F8A9FE716320}" name="Column12661"/>
    <tableColumn id="12668" xr3:uid="{1C01F3D0-6A96-414F-A6F9-98366500239B}" name="Column12662"/>
    <tableColumn id="12669" xr3:uid="{120FBFDB-2501-484B-B635-9FB9EC8C6D5E}" name="Column12663"/>
    <tableColumn id="12670" xr3:uid="{E7CE43DB-A667-43F2-ADF0-E58DBEBB27C5}" name="Column12664"/>
    <tableColumn id="12671" xr3:uid="{74FFC1A8-63A8-46AA-B4CF-820E7A6C461E}" name="Column12665"/>
    <tableColumn id="12672" xr3:uid="{256DCDA3-0602-4DB5-9B0D-ED9E5AA00815}" name="Column12666"/>
    <tableColumn id="12673" xr3:uid="{81A5DAE6-9711-4854-8A52-59FECB6685B6}" name="Column12667"/>
    <tableColumn id="12674" xr3:uid="{AEEDF1A9-B285-44AD-98A6-A87259353137}" name="Column12668"/>
    <tableColumn id="12675" xr3:uid="{9A532533-C68A-457E-A33A-4D5106917FC5}" name="Column12669"/>
    <tableColumn id="12676" xr3:uid="{55E5BA49-EE95-4563-9BCD-91602AFFBD7A}" name="Column12670"/>
    <tableColumn id="12677" xr3:uid="{7BA42688-5ACF-4DFF-89EA-750074D46BE9}" name="Column12671"/>
    <tableColumn id="12678" xr3:uid="{0D0E19FB-4624-494F-A53C-194F765FC019}" name="Column12672"/>
    <tableColumn id="12679" xr3:uid="{314DC4C1-4537-429D-85C6-0698BDDB1D17}" name="Column12673"/>
    <tableColumn id="12680" xr3:uid="{E7C1DCFE-70CD-4FC2-ACE8-B7D6D4053774}" name="Column12674"/>
    <tableColumn id="12681" xr3:uid="{6A963547-CC80-4F5F-8CED-F77DC740B550}" name="Column12675"/>
    <tableColumn id="12682" xr3:uid="{263125F2-DDA0-4A00-9F32-77D6783A4F9D}" name="Column12676"/>
    <tableColumn id="12683" xr3:uid="{F896DAD4-00D8-4B85-BDB0-5EE589EDCC97}" name="Column12677"/>
    <tableColumn id="12684" xr3:uid="{43A405A1-3527-4CF7-B2F2-D3EE1D14BD58}" name="Column12678"/>
    <tableColumn id="12685" xr3:uid="{AA6B0CA2-C4F5-4097-8DD3-EC19180E8A9C}" name="Column12679"/>
    <tableColumn id="12686" xr3:uid="{B78930A6-520D-404C-87B6-078C85E6FD76}" name="Column12680"/>
    <tableColumn id="12687" xr3:uid="{F8425025-04F8-4F6C-90DA-D9A5F2A1BC42}" name="Column12681"/>
    <tableColumn id="12688" xr3:uid="{166537CF-CDF5-4703-90D0-AF3F026A32D1}" name="Column12682"/>
    <tableColumn id="12689" xr3:uid="{AF2342A1-7230-49C5-8E18-33506665E7D7}" name="Column12683"/>
    <tableColumn id="12690" xr3:uid="{68EF5A85-E380-47EE-A72D-AA82B909C090}" name="Column12684"/>
    <tableColumn id="12691" xr3:uid="{F4924BC7-688E-4309-8E5F-C8DCB5869EED}" name="Column12685"/>
    <tableColumn id="12692" xr3:uid="{771CD884-F2DE-4E08-889B-89CB13CC1638}" name="Column12686"/>
    <tableColumn id="12693" xr3:uid="{54527CCA-864A-451B-BF63-E82A1BB636DC}" name="Column12687"/>
    <tableColumn id="12694" xr3:uid="{648450AA-E093-45B8-96AC-25A4E9EED29B}" name="Column12688"/>
    <tableColumn id="12695" xr3:uid="{8419EB9F-BACB-45DE-9F0E-945B5F184177}" name="Column12689"/>
    <tableColumn id="12696" xr3:uid="{54B6E10F-FD35-47BA-805C-D6D5480993F7}" name="Column12690"/>
    <tableColumn id="12697" xr3:uid="{B93040F1-722E-4BD9-9000-4FC947DD7AF3}" name="Column12691"/>
    <tableColumn id="12698" xr3:uid="{EECC2FB9-09C1-4827-8CDB-963A5AB09F72}" name="Column12692"/>
    <tableColumn id="12699" xr3:uid="{11310418-7666-45AA-81EC-2DB91AA1A3A3}" name="Column12693"/>
    <tableColumn id="12700" xr3:uid="{116781E1-B882-484E-87E5-EBA9D4E15A94}" name="Column12694"/>
    <tableColumn id="12701" xr3:uid="{FDDC387F-88BB-408D-BD80-6D67EFF38285}" name="Column12695"/>
    <tableColumn id="12702" xr3:uid="{322B9E1A-B08F-4FFA-A382-A736BD576560}" name="Column12696"/>
    <tableColumn id="12703" xr3:uid="{47489F77-B2AC-4167-9A28-C0D357107FDD}" name="Column12697"/>
    <tableColumn id="12704" xr3:uid="{4BAD22FB-8BB5-4127-B081-ED0AB0C49DCC}" name="Column12698"/>
    <tableColumn id="12705" xr3:uid="{26F0F4DF-B1A9-4A81-86BE-49DD6F16B9AB}" name="Column12699"/>
    <tableColumn id="12706" xr3:uid="{839E7584-2150-4477-8ADB-107907C4CE10}" name="Column12700"/>
    <tableColumn id="12707" xr3:uid="{3CF28CCB-1941-499D-A2D7-7306A5BED35D}" name="Column12701"/>
    <tableColumn id="12708" xr3:uid="{F37BE335-2A72-44BB-ADEB-895EC3FFE60F}" name="Column12702"/>
    <tableColumn id="12709" xr3:uid="{D33CAE08-8CF0-438C-BF56-7B126161EDC9}" name="Column12703"/>
    <tableColumn id="12710" xr3:uid="{BF7ECF90-A264-403E-B8D8-782D0DB54AEA}" name="Column12704"/>
    <tableColumn id="12711" xr3:uid="{91C62DDF-1886-4E83-BFF3-5079041C3A4B}" name="Column12705"/>
    <tableColumn id="12712" xr3:uid="{0A059E8C-E2F5-458B-A2A5-0EEDAD1E5E2E}" name="Column12706"/>
    <tableColumn id="12713" xr3:uid="{F2A8ECA6-BF29-4130-8E24-CFC6C0CF25C6}" name="Column12707"/>
    <tableColumn id="12714" xr3:uid="{C5A7FA72-57D1-462F-9F8E-F1510F71FB5B}" name="Column12708"/>
    <tableColumn id="12715" xr3:uid="{644BC19D-AA08-4FDF-B738-F774EBC48590}" name="Column12709"/>
    <tableColumn id="12716" xr3:uid="{2EF39FC4-469C-4144-83C6-CCC991F73B8B}" name="Column12710"/>
    <tableColumn id="12717" xr3:uid="{8766F374-2A5C-4066-92CB-DA20FE9E248B}" name="Column12711"/>
    <tableColumn id="12718" xr3:uid="{439530BA-FAA5-4F67-B258-FE2890BF967B}" name="Column12712"/>
    <tableColumn id="12719" xr3:uid="{75658CD6-7FB2-441B-9FAF-08D938070A1B}" name="Column12713"/>
    <tableColumn id="12720" xr3:uid="{5823FC2E-E6F1-40C7-8EC0-CFAE08D68D55}" name="Column12714"/>
    <tableColumn id="12721" xr3:uid="{12AA196F-6800-4900-9064-8769AE2E321A}" name="Column12715"/>
    <tableColumn id="12722" xr3:uid="{B507AA7F-C880-4B6B-813D-F8AF5A6F8A73}" name="Column12716"/>
    <tableColumn id="12723" xr3:uid="{A1F425A8-B994-4EE7-9ABA-0F9A5ED1E8BE}" name="Column12717"/>
    <tableColumn id="12724" xr3:uid="{5466E153-37D9-4A27-81EC-15B211CB2C07}" name="Column12718"/>
    <tableColumn id="12725" xr3:uid="{442FEF65-99A6-43D0-BC31-EB95D1566C0D}" name="Column12719"/>
    <tableColumn id="12726" xr3:uid="{49025A3F-A530-4B40-A818-AC944E183BDF}" name="Column12720"/>
    <tableColumn id="12727" xr3:uid="{C6889702-8406-45E6-BA66-857E47061807}" name="Column12721"/>
    <tableColumn id="12728" xr3:uid="{3E20B668-C6A5-447A-9CAF-E5445D05F81F}" name="Column12722"/>
    <tableColumn id="12729" xr3:uid="{5399B342-7583-41C3-9CCD-D25A53CC9675}" name="Column12723"/>
    <tableColumn id="12730" xr3:uid="{D857A17E-AC5A-4DB5-8EDD-CB1342D4ED0F}" name="Column12724"/>
    <tableColumn id="12731" xr3:uid="{B8FE2572-927E-48C2-B562-9903C21CD1F4}" name="Column12725"/>
    <tableColumn id="12732" xr3:uid="{F27E3C55-8432-4456-8E6F-3E398A6F90A5}" name="Column12726"/>
    <tableColumn id="12733" xr3:uid="{1EC717B3-BEB3-4568-81E1-D28D7EF7FC0E}" name="Column12727"/>
    <tableColumn id="12734" xr3:uid="{7B6976C0-D7A5-4D81-BA40-484ADB0A6CF4}" name="Column12728"/>
    <tableColumn id="12735" xr3:uid="{5C1CE232-9286-4264-A117-63FBB512CE17}" name="Column12729"/>
    <tableColumn id="12736" xr3:uid="{4B099B65-E7DA-4AB5-A73B-083677B015FD}" name="Column12730"/>
    <tableColumn id="12737" xr3:uid="{202FEA56-098A-4426-A0E8-FCF03984EDB4}" name="Column12731"/>
    <tableColumn id="12738" xr3:uid="{308784EA-2E57-4A1F-AFFC-76469DFF8B0B}" name="Column12732"/>
    <tableColumn id="12739" xr3:uid="{A26C0AD5-D670-4D19-8A1D-54ED6088D50D}" name="Column12733"/>
    <tableColumn id="12740" xr3:uid="{5EE3F225-6219-453C-B071-8268EEE93EF1}" name="Column12734"/>
    <tableColumn id="12741" xr3:uid="{1B62314A-40E7-4B90-8437-B1F571AE7172}" name="Column12735"/>
    <tableColumn id="12742" xr3:uid="{7C34A832-D0FF-4485-AC30-F4D533C55564}" name="Column12736"/>
    <tableColumn id="12743" xr3:uid="{A572E0EE-F24C-46BD-A1B5-745D2E0DC6D7}" name="Column12737"/>
    <tableColumn id="12744" xr3:uid="{ACAD076E-7994-4514-9E05-6E215BA5DDAD}" name="Column12738"/>
    <tableColumn id="12745" xr3:uid="{F4CE0749-B6C4-480A-B94D-583FFDEC612F}" name="Column12739"/>
    <tableColumn id="12746" xr3:uid="{3CA97F22-B77F-4B99-A928-F9CCE78B0385}" name="Column12740"/>
    <tableColumn id="12747" xr3:uid="{76A7C4C5-E3DF-4150-B276-63C1F827D38D}" name="Column12741"/>
    <tableColumn id="12748" xr3:uid="{79D37A0B-6BE1-42DB-8B72-BF8FF1C6F515}" name="Column12742"/>
    <tableColumn id="12749" xr3:uid="{55C5B8FE-D923-475F-8971-67F9A3AFE851}" name="Column12743"/>
    <tableColumn id="12750" xr3:uid="{8B89DB11-8355-47B1-B1EB-1331D7018501}" name="Column12744"/>
    <tableColumn id="12751" xr3:uid="{46439055-C0FC-49EB-BE95-770744B7D220}" name="Column12745"/>
    <tableColumn id="12752" xr3:uid="{E27FBCB1-BC08-426F-8DFA-3E3BD91DE7FD}" name="Column12746"/>
    <tableColumn id="12753" xr3:uid="{4726AC21-C97A-4C58-93E3-D672B65C5722}" name="Column12747"/>
    <tableColumn id="12754" xr3:uid="{82DBCB55-33C5-4716-A48F-3527B571B1D4}" name="Column12748"/>
    <tableColumn id="12755" xr3:uid="{B78D16B5-FD61-436A-9B22-FE4D7A3ACEBE}" name="Column12749"/>
    <tableColumn id="12756" xr3:uid="{47D1FB19-1E2A-4C95-80FC-4F994E1D2B7B}" name="Column12750"/>
    <tableColumn id="12757" xr3:uid="{F05719E9-EE57-435F-94B2-CB3EF2909755}" name="Column12751"/>
    <tableColumn id="12758" xr3:uid="{7B7B43AF-73F6-4F11-9137-10827203DB95}" name="Column12752"/>
    <tableColumn id="12759" xr3:uid="{F81ECCB1-3BBF-480C-AE3B-C7D7B2489770}" name="Column12753"/>
    <tableColumn id="12760" xr3:uid="{034393A5-D56F-4216-B208-625EF790AEE6}" name="Column12754"/>
    <tableColumn id="12761" xr3:uid="{FF729769-2CB8-4005-9D58-689CE1E48F89}" name="Column12755"/>
    <tableColumn id="12762" xr3:uid="{3751C793-6F38-48CE-824C-FF58710B3769}" name="Column12756"/>
    <tableColumn id="12763" xr3:uid="{D54D2D60-D507-4725-AD24-721528B4D257}" name="Column12757"/>
    <tableColumn id="12764" xr3:uid="{BDFC8624-890E-4BC3-A396-934F79D2AFEB}" name="Column12758"/>
    <tableColumn id="12765" xr3:uid="{C3FD893B-CD0F-4E38-BB52-E6293EC28487}" name="Column12759"/>
    <tableColumn id="12766" xr3:uid="{4932C06B-3A06-46C8-9E48-C1D6218563D7}" name="Column12760"/>
    <tableColumn id="12767" xr3:uid="{9C4AB491-82EA-4FBF-8677-D043D0FBEED3}" name="Column12761"/>
    <tableColumn id="12768" xr3:uid="{EC038DB7-3E69-42B1-B160-B7F9BCA23ADF}" name="Column12762"/>
    <tableColumn id="12769" xr3:uid="{E987F3BF-C06A-46B4-B0E4-5E7CCBCC7540}" name="Column12763"/>
    <tableColumn id="12770" xr3:uid="{7DBA7A3A-4C68-41C0-8EAC-C7EACC58F693}" name="Column12764"/>
    <tableColumn id="12771" xr3:uid="{9C160498-0E72-4854-90DA-CA485B655383}" name="Column12765"/>
    <tableColumn id="12772" xr3:uid="{24714E9D-E9FD-45C9-8A2C-765392853EC0}" name="Column12766"/>
    <tableColumn id="12773" xr3:uid="{A53F9943-D869-471E-BA9F-C032E8FDCBF7}" name="Column12767"/>
    <tableColumn id="12774" xr3:uid="{2A1188CE-930C-4268-BDD5-FEB33E8957FB}" name="Column12768"/>
    <tableColumn id="12775" xr3:uid="{94DB6E93-6229-45D9-B1D6-6EDB8D33D8F7}" name="Column12769"/>
    <tableColumn id="12776" xr3:uid="{0466D4A8-15F5-40D9-B5BD-E0103C51A0FB}" name="Column12770"/>
    <tableColumn id="12777" xr3:uid="{0F631EF1-5AC1-4546-BF69-D5872DDC2D28}" name="Column12771"/>
    <tableColumn id="12778" xr3:uid="{D966689D-51B3-4BA5-8509-9257366B6272}" name="Column12772"/>
    <tableColumn id="12779" xr3:uid="{81002874-19ED-445A-A082-04E7DA8CDE27}" name="Column12773"/>
    <tableColumn id="12780" xr3:uid="{CC20520E-8714-49E3-8076-F08F8CEFC864}" name="Column12774"/>
    <tableColumn id="12781" xr3:uid="{E916888C-A30C-4F31-B834-13176614D0DF}" name="Column12775"/>
    <tableColumn id="12782" xr3:uid="{80CCD519-C31A-43A6-B12F-FA008E16A33C}" name="Column12776"/>
    <tableColumn id="12783" xr3:uid="{CD1496CF-3F54-4F65-89DD-D2D0D88D1DA2}" name="Column12777"/>
    <tableColumn id="12784" xr3:uid="{0C9A8434-C881-40FC-9490-C108BC819CE0}" name="Column12778"/>
    <tableColumn id="12785" xr3:uid="{A0E82358-40B1-4F4D-A648-F94DA96DE7F3}" name="Column12779"/>
    <tableColumn id="12786" xr3:uid="{7FD8F85A-98E8-40CD-B1D1-16293A1246A1}" name="Column12780"/>
    <tableColumn id="12787" xr3:uid="{8D4451C3-F5B6-4AC2-9F8F-9C1115CB1AEB}" name="Column12781"/>
    <tableColumn id="12788" xr3:uid="{4CF269C6-C9CB-4294-A9FE-3BC9D353B3EF}" name="Column12782"/>
    <tableColumn id="12789" xr3:uid="{3912BB40-FE66-4659-B4EB-1A97EE29A427}" name="Column12783"/>
    <tableColumn id="12790" xr3:uid="{F11B24B6-11EF-47BA-8ACA-9EFF5A90C726}" name="Column12784"/>
    <tableColumn id="12791" xr3:uid="{0E5D99FC-E6C5-4830-AFBF-C5F6B0637552}" name="Column12785"/>
    <tableColumn id="12792" xr3:uid="{D22F6DF4-D51F-4783-87B0-175111B4ABC0}" name="Column12786"/>
    <tableColumn id="12793" xr3:uid="{43DFE07D-3A1A-468C-9FAB-3F21FD936EF2}" name="Column12787"/>
    <tableColumn id="12794" xr3:uid="{F28A81F1-EE11-40B5-9022-E726AA01DFA2}" name="Column12788"/>
    <tableColumn id="12795" xr3:uid="{4895169B-70BE-449A-84E1-00E8B8D29A2E}" name="Column12789"/>
    <tableColumn id="12796" xr3:uid="{72BAEC54-0BAA-4293-BDEF-C92889DC1CE4}" name="Column12790"/>
    <tableColumn id="12797" xr3:uid="{3576FFE8-7894-4885-929E-E771B3ABD099}" name="Column12791"/>
    <tableColumn id="12798" xr3:uid="{79792742-5BC8-487E-BABB-055F7F40C4FD}" name="Column12792"/>
    <tableColumn id="12799" xr3:uid="{86C49CE2-7249-480E-AE99-51818750FFF0}" name="Column12793"/>
    <tableColumn id="12800" xr3:uid="{250D35F2-F6FB-4A9A-8089-52C853FBB202}" name="Column12794"/>
    <tableColumn id="12801" xr3:uid="{E7D5EB3F-003D-484A-A201-72BE5EF504E9}" name="Column12795"/>
    <tableColumn id="12802" xr3:uid="{FEFBCD78-C8B9-46B0-824B-10D1D8D04C27}" name="Column12796"/>
    <tableColumn id="12803" xr3:uid="{44A22CFD-A26D-4A15-BE30-3B652D36598D}" name="Column12797"/>
    <tableColumn id="12804" xr3:uid="{F2EDB82F-28D9-4FC7-9F1E-84C72BE8C0B3}" name="Column12798"/>
    <tableColumn id="12805" xr3:uid="{19DCADE9-A54F-4CD3-A78A-A92EBB9B70AC}" name="Column12799"/>
    <tableColumn id="12806" xr3:uid="{0014EAE9-E780-4A52-ACBE-322D59E8E879}" name="Column12800"/>
    <tableColumn id="12807" xr3:uid="{8882BFFC-B6B7-496E-89DF-2EF98424285D}" name="Column12801"/>
    <tableColumn id="12808" xr3:uid="{0EAEDFD3-DDB6-4CA6-A889-E8B9C1389725}" name="Column12802"/>
    <tableColumn id="12809" xr3:uid="{2B97448F-3D79-4DB9-B5ED-910EC482C6BB}" name="Column12803"/>
    <tableColumn id="12810" xr3:uid="{0100A312-1145-4B61-8475-4393CBC45011}" name="Column12804"/>
    <tableColumn id="12811" xr3:uid="{FA23D9FF-7CD3-4FE6-BF76-A1B3743402C1}" name="Column12805"/>
    <tableColumn id="12812" xr3:uid="{3422E11B-54B1-4F28-AA4E-402C4E3DC4F4}" name="Column12806"/>
    <tableColumn id="12813" xr3:uid="{A59CFEE5-5F06-4CFF-BA23-3AF2471EB116}" name="Column12807"/>
    <tableColumn id="12814" xr3:uid="{760E9D74-5708-4810-97A8-8C648F97BDFD}" name="Column12808"/>
    <tableColumn id="12815" xr3:uid="{D4D14F8B-AEC3-4A05-958D-A05FD91013D4}" name="Column12809"/>
    <tableColumn id="12816" xr3:uid="{7347F218-1232-452F-8D5F-C1B74D5AFB17}" name="Column12810"/>
    <tableColumn id="12817" xr3:uid="{A5FD2151-233F-47A3-9693-B2AB2F85C421}" name="Column12811"/>
    <tableColumn id="12818" xr3:uid="{08450879-B6A3-44F2-A72D-67697F4FE965}" name="Column12812"/>
    <tableColumn id="12819" xr3:uid="{E5F7C3BB-1BB2-4095-9D1F-A8DAB0DAE3E6}" name="Column12813"/>
    <tableColumn id="12820" xr3:uid="{873EDBDA-EE65-49C9-8658-8F6A14D1E4E2}" name="Column12814"/>
    <tableColumn id="12821" xr3:uid="{01723CCC-BB84-4C29-B915-D244746ED576}" name="Column12815"/>
    <tableColumn id="12822" xr3:uid="{EBF8311F-107A-4679-846A-C19B4557F3B1}" name="Column12816"/>
    <tableColumn id="12823" xr3:uid="{4BE98C1B-6B5E-4BFB-ABA8-EA4D9FDA41B8}" name="Column12817"/>
    <tableColumn id="12824" xr3:uid="{CB87B7D4-D5B6-423E-8D5A-C5393B4EEB60}" name="Column12818"/>
    <tableColumn id="12825" xr3:uid="{D9089B32-6CA2-492F-B404-FDA17364EC05}" name="Column12819"/>
    <tableColumn id="12826" xr3:uid="{BFEAC447-1E7A-4C97-BEEC-8DC91FCCEB37}" name="Column12820"/>
    <tableColumn id="12827" xr3:uid="{0F18C0F5-A83F-44FB-B0E7-C306AB723C33}" name="Column12821"/>
    <tableColumn id="12828" xr3:uid="{F51948FE-1A84-457F-ABC1-60D6B15D45C4}" name="Column12822"/>
    <tableColumn id="12829" xr3:uid="{2833F4FF-43C6-4207-B25D-AF343B5ED7B8}" name="Column12823"/>
    <tableColumn id="12830" xr3:uid="{7AA69625-D85C-4FB6-9166-F86FFC59D750}" name="Column12824"/>
    <tableColumn id="12831" xr3:uid="{11F68E19-2843-41CC-9AF4-81BFD1980A73}" name="Column12825"/>
    <tableColumn id="12832" xr3:uid="{F12DBBCD-5805-48E8-9E7F-FAE530074676}" name="Column12826"/>
    <tableColumn id="12833" xr3:uid="{5D2DC93C-88B3-4C8C-B5BC-3750E376A4E8}" name="Column12827"/>
    <tableColumn id="12834" xr3:uid="{2A99E0A3-4C96-4CE8-A2D5-141FECE03AD0}" name="Column12828"/>
    <tableColumn id="12835" xr3:uid="{8D5C8929-7056-4819-8804-FF7AF7FBC5AA}" name="Column12829"/>
    <tableColumn id="12836" xr3:uid="{26DE3648-9F30-48BB-B2A5-F8FA02C64D0D}" name="Column12830"/>
    <tableColumn id="12837" xr3:uid="{C3714086-5E19-4B25-B598-A0EE7A3361E6}" name="Column12831"/>
    <tableColumn id="12838" xr3:uid="{D59FA85B-9602-4EBB-9F9F-1CD8675D7380}" name="Column12832"/>
    <tableColumn id="12839" xr3:uid="{DA47D805-D6AD-435C-AF26-6C6F36612FBA}" name="Column12833"/>
    <tableColumn id="12840" xr3:uid="{2FCEF9B7-F8B5-4BF5-97EF-FDF3B9B5CB46}" name="Column12834"/>
    <tableColumn id="12841" xr3:uid="{F1B76A05-B2E6-445B-A375-1B5A0E94D66F}" name="Column12835"/>
    <tableColumn id="12842" xr3:uid="{0420F110-C470-4254-9F4D-B276F5FC59AE}" name="Column12836"/>
    <tableColumn id="12843" xr3:uid="{6D9DCA7F-0B62-47CC-AFAF-1E3B88974E32}" name="Column12837"/>
    <tableColumn id="12844" xr3:uid="{D2F5E832-75E0-45BF-85DF-4F13DA9AB58F}" name="Column12838"/>
    <tableColumn id="12845" xr3:uid="{593A9DD9-1C4E-4CAA-9521-F02B7DCA4F92}" name="Column12839"/>
    <tableColumn id="12846" xr3:uid="{CF8A3E2F-1061-41BA-856A-1733D7175212}" name="Column12840"/>
    <tableColumn id="12847" xr3:uid="{0CE3D9F5-995B-4055-B212-2BAB97765739}" name="Column12841"/>
    <tableColumn id="12848" xr3:uid="{6411CC7E-0E6B-4044-9939-9BFFECC634BC}" name="Column12842"/>
    <tableColumn id="12849" xr3:uid="{53AEC365-1141-4A14-A598-4D93C3B8F2F3}" name="Column12843"/>
    <tableColumn id="12850" xr3:uid="{EE26EF8F-A0E9-4F5C-843D-15EA6F41E693}" name="Column12844"/>
    <tableColumn id="12851" xr3:uid="{B8766710-7CE3-46D4-BF97-3B9E3B266F8D}" name="Column12845"/>
    <tableColumn id="12852" xr3:uid="{61418A13-5475-43EB-A6E4-129B439D34E7}" name="Column12846"/>
    <tableColumn id="12853" xr3:uid="{3F8085E8-A06C-4036-AE04-A88FA034F591}" name="Column12847"/>
    <tableColumn id="12854" xr3:uid="{E4439B2B-E220-4721-BCE6-979B30222112}" name="Column12848"/>
    <tableColumn id="12855" xr3:uid="{CBEC44F7-CBDA-4F88-B1A7-938ABCA53D32}" name="Column12849"/>
    <tableColumn id="12856" xr3:uid="{472008B8-E33A-46C4-AC89-C9BADC0BFFED}" name="Column12850"/>
    <tableColumn id="12857" xr3:uid="{1080C320-0399-4E7E-BEEA-B45E14899AD2}" name="Column12851"/>
    <tableColumn id="12858" xr3:uid="{CEE10381-FEAE-45DB-B339-A8EEE4B9103E}" name="Column12852"/>
    <tableColumn id="12859" xr3:uid="{CE512A15-2CAD-4A9F-B2E1-B8F8F72CC195}" name="Column12853"/>
    <tableColumn id="12860" xr3:uid="{B04C6B9E-2FAA-40A9-A55A-D3C306CB67E5}" name="Column12854"/>
    <tableColumn id="12861" xr3:uid="{A3E072B1-87A0-4A0A-90EC-A55C28CCAB5C}" name="Column12855"/>
    <tableColumn id="12862" xr3:uid="{564D4D47-2D0E-4064-91E0-1E003E6C2F9E}" name="Column12856"/>
    <tableColumn id="12863" xr3:uid="{18D736B7-04B5-48DE-8BB7-A4F56E8177E6}" name="Column12857"/>
    <tableColumn id="12864" xr3:uid="{A4FFEBF0-9996-42AF-811E-0D828425021F}" name="Column12858"/>
    <tableColumn id="12865" xr3:uid="{684A2153-4D65-456A-8DD3-A4E16C9DD460}" name="Column12859"/>
    <tableColumn id="12866" xr3:uid="{9DE5AA57-A7DE-44BB-86B9-7164CBB240A6}" name="Column12860"/>
    <tableColumn id="12867" xr3:uid="{3A7729A3-A208-4607-9679-8FAF5280C382}" name="Column12861"/>
    <tableColumn id="12868" xr3:uid="{AAA2DAD3-0AE1-4CDF-847C-381AFA32B5A1}" name="Column12862"/>
    <tableColumn id="12869" xr3:uid="{148BB932-CF41-44F1-9552-271592B4E4C4}" name="Column12863"/>
    <tableColumn id="12870" xr3:uid="{0F97B78F-8739-45E5-A226-60B12AE49331}" name="Column12864"/>
    <tableColumn id="12871" xr3:uid="{75026ADA-7D1B-4455-82F5-3FF425D061E7}" name="Column12865"/>
    <tableColumn id="12872" xr3:uid="{50AD2123-87C7-439E-9C04-DA9374408360}" name="Column12866"/>
    <tableColumn id="12873" xr3:uid="{8B90D7F1-89D4-40C8-9EF9-FC9A81D428F9}" name="Column12867"/>
    <tableColumn id="12874" xr3:uid="{894AA22F-1090-4187-A02B-84684D23D73D}" name="Column12868"/>
    <tableColumn id="12875" xr3:uid="{44EDE16D-7432-4E2E-BE2C-85E5790AC9FF}" name="Column12869"/>
    <tableColumn id="12876" xr3:uid="{DAE58BE5-8CCD-4653-9C12-C367DC860129}" name="Column12870"/>
    <tableColumn id="12877" xr3:uid="{CA9FF2EE-5CC4-43FA-8765-A00A3A2AD6A6}" name="Column12871"/>
    <tableColumn id="12878" xr3:uid="{0609BCAF-4057-4C63-81D3-F41BC9261F89}" name="Column12872"/>
    <tableColumn id="12879" xr3:uid="{17CA0406-96B7-43A3-A1BA-6F5CB976C2C9}" name="Column12873"/>
    <tableColumn id="12880" xr3:uid="{BE1E7B8D-3872-4CB8-95CF-C3961328BA0F}" name="Column12874"/>
    <tableColumn id="12881" xr3:uid="{5BB2EDE2-5C97-48EC-86E8-64BDDA65116D}" name="Column12875"/>
    <tableColumn id="12882" xr3:uid="{9550F32C-27EB-4D59-9E94-B3F37D4CA4BA}" name="Column12876"/>
    <tableColumn id="12883" xr3:uid="{F5DC5636-1690-46C6-9C9B-6DE7A176FE46}" name="Column12877"/>
    <tableColumn id="12884" xr3:uid="{38F3B760-7F19-4B04-A28C-9F96D8C4DE34}" name="Column12878"/>
    <tableColumn id="12885" xr3:uid="{CC165D58-78A9-4C77-A390-FDBCA40B6124}" name="Column12879"/>
    <tableColumn id="12886" xr3:uid="{8DB25292-30AF-4896-AD67-CB49C0370DFF}" name="Column12880"/>
    <tableColumn id="12887" xr3:uid="{46908072-B0AB-455A-A59D-4636F56928E5}" name="Column12881"/>
    <tableColumn id="12888" xr3:uid="{3AAEEBEA-15E1-4598-962F-005551D93812}" name="Column12882"/>
    <tableColumn id="12889" xr3:uid="{D07C52E1-FF47-4903-9332-6EB2EB33F22C}" name="Column12883"/>
    <tableColumn id="12890" xr3:uid="{0037E0BF-CA33-4DDD-B35C-B3AA12AD9447}" name="Column12884"/>
    <tableColumn id="12891" xr3:uid="{BB725308-C1CB-4265-805B-FA58188B5490}" name="Column12885"/>
    <tableColumn id="12892" xr3:uid="{9E54579B-95D8-4238-BE6A-037CF30B4AC3}" name="Column12886"/>
    <tableColumn id="12893" xr3:uid="{B0CB4490-877F-4E05-8442-44431C024FB6}" name="Column12887"/>
    <tableColumn id="12894" xr3:uid="{81129E98-CA3D-4C9D-AE1A-A9BE1E814DB7}" name="Column12888"/>
    <tableColumn id="12895" xr3:uid="{FECD558E-E252-4CC1-A7D2-D3A852AB78DD}" name="Column12889"/>
    <tableColumn id="12896" xr3:uid="{60FFCF91-6BAA-48EA-A388-7FBCF9DB84F2}" name="Column12890"/>
    <tableColumn id="12897" xr3:uid="{CAC56FB9-9DBC-4817-BDA9-9FE3FBE29010}" name="Column12891"/>
    <tableColumn id="12898" xr3:uid="{DC239228-2D19-4F9C-957C-87C3DC660999}" name="Column12892"/>
    <tableColumn id="12899" xr3:uid="{EFD8A331-CAAB-4397-8F2B-AF311BE8960F}" name="Column12893"/>
    <tableColumn id="12900" xr3:uid="{D2293235-1491-4367-81E6-D19BFFCCED86}" name="Column12894"/>
    <tableColumn id="12901" xr3:uid="{F74859CF-EDE2-4391-805B-83FA0892EC9A}" name="Column12895"/>
    <tableColumn id="12902" xr3:uid="{87A2832E-08A0-4F5F-969B-C1FB06155097}" name="Column12896"/>
    <tableColumn id="12903" xr3:uid="{F11BB6B7-7238-48D2-B9BD-A822A6940B06}" name="Column12897"/>
    <tableColumn id="12904" xr3:uid="{AFC1CD25-22AA-4296-BF49-CDE492FB6769}" name="Column12898"/>
    <tableColumn id="12905" xr3:uid="{561FABE8-C8C7-4066-8DC1-D4A4DBBBD6C7}" name="Column12899"/>
    <tableColumn id="12906" xr3:uid="{6D093FDE-D09F-4885-A332-F892C3ED98AB}" name="Column12900"/>
    <tableColumn id="12907" xr3:uid="{D3EA2ABC-0F40-42DD-8CED-D2F87286481F}" name="Column12901"/>
    <tableColumn id="12908" xr3:uid="{881C2B6A-C6CD-4B24-AE40-7276CCC5C09F}" name="Column12902"/>
    <tableColumn id="12909" xr3:uid="{95D0C517-F102-47AA-8789-4E0CC6B7C41D}" name="Column12903"/>
    <tableColumn id="12910" xr3:uid="{E510D880-A9F2-42C0-A4EA-431514B00746}" name="Column12904"/>
    <tableColumn id="12911" xr3:uid="{24D5DE71-2500-4BD5-984E-E08E762EEE3A}" name="Column12905"/>
    <tableColumn id="12912" xr3:uid="{1DBD0D44-F716-4B80-A90C-9D7C87B1BD15}" name="Column12906"/>
    <tableColumn id="12913" xr3:uid="{B63F3BCA-F021-4F65-871C-88A40105B2F1}" name="Column12907"/>
    <tableColumn id="12914" xr3:uid="{5C527700-8F22-43AE-B5BE-9203DDA6B7A3}" name="Column12908"/>
    <tableColumn id="12915" xr3:uid="{4F0266F2-A318-4642-B356-C43770D6FC2B}" name="Column12909"/>
    <tableColumn id="12916" xr3:uid="{AD2A002A-3BE2-4F4B-8D9A-D8A8E0BE8E68}" name="Column12910"/>
    <tableColumn id="12917" xr3:uid="{54E4D705-FB6E-4A32-9ADF-C33686ECC275}" name="Column12911"/>
    <tableColumn id="12918" xr3:uid="{EFB50B91-26DF-4CCC-8999-5B475B9D98A6}" name="Column12912"/>
    <tableColumn id="12919" xr3:uid="{65CC8F64-43AF-4664-B523-B52D98920787}" name="Column12913"/>
    <tableColumn id="12920" xr3:uid="{8EF00818-5D77-4489-84F1-86081C84E365}" name="Column12914"/>
    <tableColumn id="12921" xr3:uid="{38DC6CD5-8B0E-4C98-8A6B-81A450A92F84}" name="Column12915"/>
    <tableColumn id="12922" xr3:uid="{68762CBE-77A6-4080-9180-9D8B4A0B71C2}" name="Column12916"/>
    <tableColumn id="12923" xr3:uid="{34248535-3F88-493E-AC92-49CFC78EFBAD}" name="Column12917"/>
    <tableColumn id="12924" xr3:uid="{84377BC8-630F-431B-9C97-8EA6A9032E30}" name="Column12918"/>
    <tableColumn id="12925" xr3:uid="{D32AD0E5-B8C5-4852-AB26-F9B69470A73B}" name="Column12919"/>
    <tableColumn id="12926" xr3:uid="{043968CE-D4DB-4696-B289-1678BD96A617}" name="Column12920"/>
    <tableColumn id="12927" xr3:uid="{9F56DD0D-ECF4-49F8-86AC-80F16EDFC601}" name="Column12921"/>
    <tableColumn id="12928" xr3:uid="{59484A40-BB60-4F97-8525-6127A5A1581F}" name="Column12922"/>
    <tableColumn id="12929" xr3:uid="{2E9BC565-C5D0-4826-B561-D22ABEFD848C}" name="Column12923"/>
    <tableColumn id="12930" xr3:uid="{717FAB26-DC91-4AF7-ABA0-5A51CDCA54E2}" name="Column12924"/>
    <tableColumn id="12931" xr3:uid="{4524E189-AE50-4C97-973A-4911F3C85F72}" name="Column12925"/>
    <tableColumn id="12932" xr3:uid="{B28D7965-38DF-4801-901A-C5F8C11A33C8}" name="Column12926"/>
    <tableColumn id="12933" xr3:uid="{C62D63E3-4C47-4324-89C0-95AB0BCD68C9}" name="Column12927"/>
    <tableColumn id="12934" xr3:uid="{2454F02C-FAE3-41A6-8319-CB99A7E18413}" name="Column12928"/>
    <tableColumn id="12935" xr3:uid="{A6ACE4DA-F202-434B-A0F4-4D412CA25F7B}" name="Column12929"/>
    <tableColumn id="12936" xr3:uid="{42FC4484-5335-4881-B97A-CE0D29B9A7A2}" name="Column12930"/>
    <tableColumn id="12937" xr3:uid="{6250AE5D-66AA-4ABD-90C1-160F16D05738}" name="Column12931"/>
    <tableColumn id="12938" xr3:uid="{FB295A0F-B787-489C-9258-E9D77C769AE7}" name="Column12932"/>
    <tableColumn id="12939" xr3:uid="{342BB06D-DA9A-41D5-8177-40D7D01D66B1}" name="Column12933"/>
    <tableColumn id="12940" xr3:uid="{9D74C4D8-1F5C-4D34-811C-02DBD6E7B501}" name="Column12934"/>
    <tableColumn id="12941" xr3:uid="{081C3924-15D3-4963-B424-6B7BB9231BD9}" name="Column12935"/>
    <tableColumn id="12942" xr3:uid="{1BD2ABCB-900A-4866-BA9B-F0869E07A715}" name="Column12936"/>
    <tableColumn id="12943" xr3:uid="{E774132A-E5E3-4CE2-940E-B108D5E0AE62}" name="Column12937"/>
    <tableColumn id="12944" xr3:uid="{6AFC1C79-206B-4302-81E5-31FCA5807F40}" name="Column12938"/>
    <tableColumn id="12945" xr3:uid="{BDCF2A69-4C63-486A-A782-89D1B82D9A19}" name="Column12939"/>
    <tableColumn id="12946" xr3:uid="{FB3053F1-38D2-4D88-9FF7-E60BFD50D1AB}" name="Column12940"/>
    <tableColumn id="12947" xr3:uid="{10821736-E2BD-4FEE-AF83-70A14E1615C3}" name="Column12941"/>
    <tableColumn id="12948" xr3:uid="{45A1E9B3-7E09-4C21-85F9-36BCC5B7C4DB}" name="Column12942"/>
    <tableColumn id="12949" xr3:uid="{6FFFC407-A826-4E0D-A638-4094E9D49AA4}" name="Column12943"/>
    <tableColumn id="12950" xr3:uid="{52740610-64AE-4352-AAD3-3ABD7F6B9A34}" name="Column12944"/>
    <tableColumn id="12951" xr3:uid="{4F7AA00D-08B8-424F-809E-AC34A97A185A}" name="Column12945"/>
    <tableColumn id="12952" xr3:uid="{64B73423-01DD-43EE-879C-279F044BF3C5}" name="Column12946"/>
    <tableColumn id="12953" xr3:uid="{38CAB0F7-08B2-44B0-B0DE-83E3ECCD1908}" name="Column12947"/>
    <tableColumn id="12954" xr3:uid="{1517E946-9C11-40B2-82B8-8314628103C7}" name="Column12948"/>
    <tableColumn id="12955" xr3:uid="{BCE54C09-CD2D-4448-BB57-FBA705BACE6A}" name="Column12949"/>
    <tableColumn id="12956" xr3:uid="{35606B8D-437C-41FE-8C27-B05F86F8AF66}" name="Column12950"/>
    <tableColumn id="12957" xr3:uid="{B636838D-844F-4BC7-AD75-6E1F1C259D2B}" name="Column12951"/>
    <tableColumn id="12958" xr3:uid="{97B901C4-B901-4828-BBB9-35F7C5149C66}" name="Column12952"/>
    <tableColumn id="12959" xr3:uid="{92FCB918-3EE3-464D-85CD-383689022EF2}" name="Column12953"/>
    <tableColumn id="12960" xr3:uid="{BD9AFE04-F0DE-4403-B793-1CA1054CA80F}" name="Column12954"/>
    <tableColumn id="12961" xr3:uid="{2F41C032-9B04-4607-AC4D-093E224F5421}" name="Column12955"/>
    <tableColumn id="12962" xr3:uid="{6DADBE10-674F-4093-99E5-6DAC6E46465A}" name="Column12956"/>
    <tableColumn id="12963" xr3:uid="{8B80137C-C83A-42CD-8585-6727D31FA686}" name="Column12957"/>
    <tableColumn id="12964" xr3:uid="{9F869B93-0A47-42C5-BBC2-B7BD3E87931F}" name="Column12958"/>
    <tableColumn id="12965" xr3:uid="{1A71F287-E927-45C1-8D6B-8E31642006F8}" name="Column12959"/>
    <tableColumn id="12966" xr3:uid="{D0C2B1FA-19E8-4972-854D-860E41F3D5FB}" name="Column12960"/>
    <tableColumn id="12967" xr3:uid="{01997146-C9AC-4E34-AC49-A60F02A5AB10}" name="Column12961"/>
    <tableColumn id="12968" xr3:uid="{CFCDE486-FDAB-4E44-9B2C-971BCBD0887B}" name="Column12962"/>
    <tableColumn id="12969" xr3:uid="{51D03A58-0B96-43C4-BFD8-2360A730EBD8}" name="Column12963"/>
    <tableColumn id="12970" xr3:uid="{18F5E4F6-2217-4116-B13F-72E313509608}" name="Column12964"/>
    <tableColumn id="12971" xr3:uid="{4B4EBFB0-333B-43B3-B40B-74237DF0FE15}" name="Column12965"/>
    <tableColumn id="12972" xr3:uid="{00840349-D9DA-4297-AA8E-0E6521B8E362}" name="Column12966"/>
    <tableColumn id="12973" xr3:uid="{736087E5-F3B3-480E-9F99-8E48105D5B08}" name="Column12967"/>
    <tableColumn id="12974" xr3:uid="{81AE659C-7EE6-4194-A82E-C87EE50CA470}" name="Column12968"/>
    <tableColumn id="12975" xr3:uid="{410D4FD8-752C-4FDA-ABDD-85A805EE7556}" name="Column12969"/>
    <tableColumn id="12976" xr3:uid="{BE6D5C53-3BFA-4920-8746-546BDC496E70}" name="Column12970"/>
    <tableColumn id="12977" xr3:uid="{9F7512F4-6448-47C3-BCD5-9BF24561B2D4}" name="Column12971"/>
    <tableColumn id="12978" xr3:uid="{43DDDF90-E209-4983-A434-977424C1AB01}" name="Column12972"/>
    <tableColumn id="12979" xr3:uid="{69FCF521-C4F5-4102-ABC6-76636EBB49FC}" name="Column12973"/>
    <tableColumn id="12980" xr3:uid="{D469F0F4-CABA-4A0D-B276-1231E2C8FE00}" name="Column12974"/>
    <tableColumn id="12981" xr3:uid="{EDE939FA-7F8C-4CB6-9831-4E10F67718BB}" name="Column12975"/>
    <tableColumn id="12982" xr3:uid="{71916C89-F63E-49D5-B412-8179045BE88A}" name="Column12976"/>
    <tableColumn id="12983" xr3:uid="{CE3509D0-FD6E-4C14-892F-2A102D90578B}" name="Column12977"/>
    <tableColumn id="12984" xr3:uid="{E0156EBD-1C1F-4587-8B40-E449687E65AC}" name="Column12978"/>
    <tableColumn id="12985" xr3:uid="{948FED8B-F573-4353-B798-B83A5C3E1FF4}" name="Column12979"/>
    <tableColumn id="12986" xr3:uid="{712F4238-87D6-4B6A-B731-D4EA37944B4C}" name="Column12980"/>
    <tableColumn id="12987" xr3:uid="{6F65F1B2-F08E-49E1-9C95-787FB2F08E5C}" name="Column12981"/>
    <tableColumn id="12988" xr3:uid="{6E0EA451-C9EC-4F80-BC75-74EF82DD141B}" name="Column12982"/>
    <tableColumn id="12989" xr3:uid="{417E691B-C751-4A15-9113-F9AC8AB65330}" name="Column12983"/>
    <tableColumn id="12990" xr3:uid="{F75FEA35-55B4-40DC-AA36-5922CFE93FA4}" name="Column12984"/>
    <tableColumn id="12991" xr3:uid="{0A0026AA-A336-4FA8-A616-DFA36627113B}" name="Column12985"/>
    <tableColumn id="12992" xr3:uid="{885304E1-D634-4560-B0D4-0CC57C81B5D7}" name="Column12986"/>
    <tableColumn id="12993" xr3:uid="{FFBB15D0-C99B-4212-A3BE-3F977982B98A}" name="Column12987"/>
    <tableColumn id="12994" xr3:uid="{D9F49D2F-0A3A-444C-8792-DDB218115C92}" name="Column12988"/>
    <tableColumn id="12995" xr3:uid="{3FD672AB-24D1-4732-9776-A3AEDDADB5A5}" name="Column12989"/>
    <tableColumn id="12996" xr3:uid="{34E6A094-932E-429C-8084-B1DD68FEABEE}" name="Column12990"/>
    <tableColumn id="12997" xr3:uid="{F5D33EBB-CD04-483E-AB46-40776533E0E8}" name="Column12991"/>
    <tableColumn id="12998" xr3:uid="{97C3E8E9-66DC-4E5C-9C8E-8664D3D83467}" name="Column12992"/>
    <tableColumn id="12999" xr3:uid="{E13D862A-3ABF-4C9F-B772-7DEDE9F60F90}" name="Column12993"/>
    <tableColumn id="13000" xr3:uid="{27747AD0-2984-4AF6-A7E2-CBF391F9C515}" name="Column12994"/>
    <tableColumn id="13001" xr3:uid="{D12CFBA8-707F-4D4C-AB9D-8970BEE3053F}" name="Column12995"/>
    <tableColumn id="13002" xr3:uid="{92EF02D2-1448-4B22-859B-A622FAF5F8E9}" name="Column12996"/>
    <tableColumn id="13003" xr3:uid="{553E3701-C718-4F0D-8559-64CA51EE4CEB}" name="Column12997"/>
    <tableColumn id="13004" xr3:uid="{57979157-73EB-4531-9A55-AE26030AE912}" name="Column12998"/>
    <tableColumn id="13005" xr3:uid="{2CE0D79F-41E0-4EF9-AA31-5173AE49A960}" name="Column12999"/>
    <tableColumn id="13006" xr3:uid="{A6DA4703-ACC9-4194-8B32-BA3D379C12CE}" name="Column13000"/>
    <tableColumn id="13007" xr3:uid="{9221455F-971B-400E-B671-86CFDD457E2B}" name="Column13001"/>
    <tableColumn id="13008" xr3:uid="{9036E643-46C7-473E-AEE4-87C16A8325D7}" name="Column13002"/>
    <tableColumn id="13009" xr3:uid="{72241449-FC83-47F1-87EA-119BDC7586AD}" name="Column13003"/>
    <tableColumn id="13010" xr3:uid="{725032B3-6698-4174-B07B-DE9EE89DCB5B}" name="Column13004"/>
    <tableColumn id="13011" xr3:uid="{C9DF010E-A204-4DBB-8621-CFF388AD8D95}" name="Column13005"/>
    <tableColumn id="13012" xr3:uid="{89C36277-2DC0-4C77-87F1-686772708E61}" name="Column13006"/>
    <tableColumn id="13013" xr3:uid="{9FC0E585-A949-49F2-9A63-D12ACB9B2120}" name="Column13007"/>
    <tableColumn id="13014" xr3:uid="{631CC450-A671-4CB0-9F84-AB0A86BDC84F}" name="Column13008"/>
    <tableColumn id="13015" xr3:uid="{70629DB2-D1B7-4358-AD5B-819D6F0566AD}" name="Column13009"/>
    <tableColumn id="13016" xr3:uid="{78DDD06C-44D1-4EF4-A8F6-CF23907D059B}" name="Column13010"/>
    <tableColumn id="13017" xr3:uid="{356FF488-0770-4BD8-910F-672A3087C10D}" name="Column13011"/>
    <tableColumn id="13018" xr3:uid="{B7471788-597E-4435-996B-3CFDE5448267}" name="Column13012"/>
    <tableColumn id="13019" xr3:uid="{4A753C09-46F7-49FE-BF50-683856FC7245}" name="Column13013"/>
    <tableColumn id="13020" xr3:uid="{A0D093F1-381C-4137-B94D-49BACD4B969A}" name="Column13014"/>
    <tableColumn id="13021" xr3:uid="{25749106-F6DA-42B2-BB09-0B51827A0BD1}" name="Column13015"/>
    <tableColumn id="13022" xr3:uid="{5C0EA973-907B-4683-A132-B265E4E42887}" name="Column13016"/>
    <tableColumn id="13023" xr3:uid="{4212DED6-529D-4648-B5CD-DF2DB72B9711}" name="Column13017"/>
    <tableColumn id="13024" xr3:uid="{5DD4D1E8-FC83-4C34-B724-3BB65B867E2E}" name="Column13018"/>
    <tableColumn id="13025" xr3:uid="{A51D8018-C442-4EA4-B71D-9BA599848FBB}" name="Column13019"/>
    <tableColumn id="13026" xr3:uid="{13EBE4F6-9D14-4DEA-9B1A-3AB65DA53CE6}" name="Column13020"/>
    <tableColumn id="13027" xr3:uid="{3B1DA0B6-6B88-42B6-A012-B62D7B9055B9}" name="Column13021"/>
    <tableColumn id="13028" xr3:uid="{C069AC13-03CB-40CC-B1FE-37A1ACD34333}" name="Column13022"/>
    <tableColumn id="13029" xr3:uid="{838858A6-8170-4280-94F0-21BDD0959D43}" name="Column13023"/>
    <tableColumn id="13030" xr3:uid="{D2E51E57-B04F-4571-A1EF-7D0B5931D689}" name="Column13024"/>
    <tableColumn id="13031" xr3:uid="{37776E15-2E06-4F57-A3FB-7ADB2E4D4059}" name="Column13025"/>
    <tableColumn id="13032" xr3:uid="{9F37892D-D784-4BAF-9834-9E1FAD0B2FE8}" name="Column13026"/>
    <tableColumn id="13033" xr3:uid="{B8FBE49D-5504-476C-91CB-ED1023131CE5}" name="Column13027"/>
    <tableColumn id="13034" xr3:uid="{81F42121-82FE-47C1-8951-B73358F09E5D}" name="Column13028"/>
    <tableColumn id="13035" xr3:uid="{36CC1643-2F07-4851-A114-0D46B4E22203}" name="Column13029"/>
    <tableColumn id="13036" xr3:uid="{82AC4482-5152-4C09-AAEE-5D7036FB9065}" name="Column13030"/>
    <tableColumn id="13037" xr3:uid="{6B747BE9-E895-4F7F-A383-1861000DF0F5}" name="Column13031"/>
    <tableColumn id="13038" xr3:uid="{2BE57F21-2E55-43E0-BBB2-8A82A3B957AA}" name="Column13032"/>
    <tableColumn id="13039" xr3:uid="{02D62FAE-D432-4101-A037-932AE99BF9BB}" name="Column13033"/>
    <tableColumn id="13040" xr3:uid="{F621570C-F4BA-459D-AB62-780299C90A5A}" name="Column13034"/>
    <tableColumn id="13041" xr3:uid="{725CCBEA-38C6-46A0-AC9C-8E43E273BDA3}" name="Column13035"/>
    <tableColumn id="13042" xr3:uid="{FA8748F2-3500-4F35-91DE-034982D6C11B}" name="Column13036"/>
    <tableColumn id="13043" xr3:uid="{2A4F3850-2F34-497A-BC08-AAF6CF31E657}" name="Column13037"/>
    <tableColumn id="13044" xr3:uid="{51E5BB66-FA12-40CA-AAB5-0F8441A9B03D}" name="Column13038"/>
    <tableColumn id="13045" xr3:uid="{ECD9B0DD-4200-47BE-919F-46052D5484F8}" name="Column13039"/>
    <tableColumn id="13046" xr3:uid="{913B85D2-40AA-45C4-B588-936E0CC182FC}" name="Column13040"/>
    <tableColumn id="13047" xr3:uid="{8510D4BC-B417-4EA9-8C8F-8262FB512EBA}" name="Column13041"/>
    <tableColumn id="13048" xr3:uid="{28B98C4E-D434-44A0-BD8C-5FA366791E2D}" name="Column13042"/>
    <tableColumn id="13049" xr3:uid="{36B274E4-06AA-48FA-B065-CA3BECA8F30D}" name="Column13043"/>
    <tableColumn id="13050" xr3:uid="{799F1E26-1768-4D49-8C15-EA3F819BB2B8}" name="Column13044"/>
    <tableColumn id="13051" xr3:uid="{4331BCF7-29C0-4C65-AB4C-56C0B7AC7830}" name="Column13045"/>
    <tableColumn id="13052" xr3:uid="{04368608-E040-4FBB-9CE1-DDECA387F311}" name="Column13046"/>
    <tableColumn id="13053" xr3:uid="{FD36FD12-745C-424D-AAEA-8D1595BA3345}" name="Column13047"/>
    <tableColumn id="13054" xr3:uid="{5892BC1B-6E73-4EE5-AB80-3F5884A2EDFD}" name="Column13048"/>
    <tableColumn id="13055" xr3:uid="{2BB5708F-AD7B-447E-8FD2-ECD5EFB905D3}" name="Column13049"/>
    <tableColumn id="13056" xr3:uid="{A8B9B029-6408-4318-A8D5-254E30281BB3}" name="Column13050"/>
    <tableColumn id="13057" xr3:uid="{5FAC86FF-2175-43A6-BE52-9CFF4307B2F8}" name="Column13051"/>
    <tableColumn id="13058" xr3:uid="{2618293B-8E22-4122-BD02-A855977B25D0}" name="Column13052"/>
    <tableColumn id="13059" xr3:uid="{FA5691A9-C8D4-4746-AB89-3CA8E795BEF1}" name="Column13053"/>
    <tableColumn id="13060" xr3:uid="{C9F592B3-4303-48FB-830B-E71145A41156}" name="Column13054"/>
    <tableColumn id="13061" xr3:uid="{DA350AC8-D6A3-49C7-B309-8A9C76F6BDFB}" name="Column13055"/>
    <tableColumn id="13062" xr3:uid="{79AD1538-1DCA-487D-AD78-E5C14AF873DC}" name="Column13056"/>
    <tableColumn id="13063" xr3:uid="{928DA877-5A9D-4B5D-8F27-03619123F414}" name="Column13057"/>
    <tableColumn id="13064" xr3:uid="{2FE64046-F019-4783-81E5-878897FBB479}" name="Column13058"/>
    <tableColumn id="13065" xr3:uid="{EC76E287-DE98-431C-9859-016C64CFD301}" name="Column13059"/>
    <tableColumn id="13066" xr3:uid="{9A387D65-7B2D-444F-A69C-C79AA446372C}" name="Column13060"/>
    <tableColumn id="13067" xr3:uid="{3114EF34-FAAB-4E60-946B-0ACB90DCCB7A}" name="Column13061"/>
    <tableColumn id="13068" xr3:uid="{6967E004-F354-47B0-87E0-8615CB101D2E}" name="Column13062"/>
    <tableColumn id="13069" xr3:uid="{C48BE42F-5E94-4E41-948F-BFD76923DE89}" name="Column13063"/>
    <tableColumn id="13070" xr3:uid="{459C42F5-55AA-4B6F-B07E-F66C341237E4}" name="Column13064"/>
    <tableColumn id="13071" xr3:uid="{72A21BFD-94D6-45C8-806E-B7D4D56E512B}" name="Column13065"/>
    <tableColumn id="13072" xr3:uid="{53503429-18E2-44C3-B386-F387C1287F2D}" name="Column13066"/>
    <tableColumn id="13073" xr3:uid="{FE7C0FED-63FC-40DF-8F2B-A142ABD3B867}" name="Column13067"/>
    <tableColumn id="13074" xr3:uid="{540A6207-9348-48D9-BBA2-F9DACBF8BCFC}" name="Column13068"/>
    <tableColumn id="13075" xr3:uid="{6FBF11ED-E776-48DB-8D00-FAED29CBB7AB}" name="Column13069"/>
    <tableColumn id="13076" xr3:uid="{20A98DD5-0FF5-4061-964B-EDC2EA0384F5}" name="Column13070"/>
    <tableColumn id="13077" xr3:uid="{AD66CD49-6E03-409A-951B-C3B81AA890B2}" name="Column13071"/>
    <tableColumn id="13078" xr3:uid="{86802139-7934-42F0-ACAF-C573C37D1573}" name="Column13072"/>
    <tableColumn id="13079" xr3:uid="{9467D6E8-2875-46F3-A473-FB95060A6FA1}" name="Column13073"/>
    <tableColumn id="13080" xr3:uid="{CF0ADDCE-DB81-42E9-896A-78DD54D95171}" name="Column13074"/>
    <tableColumn id="13081" xr3:uid="{42B64134-A2EA-4ACA-BAC5-AEE3FA8D37F1}" name="Column13075"/>
    <tableColumn id="13082" xr3:uid="{86D263EA-DB62-44BF-B548-C37D7202864B}" name="Column13076"/>
    <tableColumn id="13083" xr3:uid="{BB759BCB-3099-4EEA-B983-05F071E0457C}" name="Column13077"/>
    <tableColumn id="13084" xr3:uid="{EDED4D6A-A3DE-4159-8B5D-57267B2222E7}" name="Column13078"/>
    <tableColumn id="13085" xr3:uid="{469E40A8-58BD-44D6-BD24-182133CDF855}" name="Column13079"/>
    <tableColumn id="13086" xr3:uid="{C6E5C6FB-D320-4065-9E1A-48EFB00CBF40}" name="Column13080"/>
    <tableColumn id="13087" xr3:uid="{E419C743-9505-48F5-BDCF-60E8B042A127}" name="Column13081"/>
    <tableColumn id="13088" xr3:uid="{E9C0C772-CDBA-4714-85FA-3D9EB16674A0}" name="Column13082"/>
    <tableColumn id="13089" xr3:uid="{6F98CFE7-F4F5-4D47-80E4-7E0369A7D7F1}" name="Column13083"/>
    <tableColumn id="13090" xr3:uid="{FEE32D77-11F8-4410-B272-CC2D6D3EBECC}" name="Column13084"/>
    <tableColumn id="13091" xr3:uid="{2178CE7F-5F3D-4948-8276-23C487C33D9A}" name="Column13085"/>
    <tableColumn id="13092" xr3:uid="{4021E6AE-DDBD-4AA1-AA3E-038127ECB5ED}" name="Column13086"/>
    <tableColumn id="13093" xr3:uid="{65A83765-79D5-4278-9FFC-5BA1A908A724}" name="Column13087"/>
    <tableColumn id="13094" xr3:uid="{D7428DAA-F8BA-4B6D-93DE-28F4A4E11A90}" name="Column13088"/>
    <tableColumn id="13095" xr3:uid="{FF1C9EF5-C2D3-44E4-812B-7364FB674DB2}" name="Column13089"/>
    <tableColumn id="13096" xr3:uid="{A0AFF44C-39A3-4382-9CF5-E2303E419980}" name="Column13090"/>
    <tableColumn id="13097" xr3:uid="{AC8132BC-1588-4E00-B21C-A4B7E7846256}" name="Column13091"/>
    <tableColumn id="13098" xr3:uid="{4C1934B1-1E4B-48F7-8A3F-0BAA7A8BFC75}" name="Column13092"/>
    <tableColumn id="13099" xr3:uid="{875F497C-FF2A-42CB-9077-78E316512AEF}" name="Column13093"/>
    <tableColumn id="13100" xr3:uid="{A819430D-AEB1-4AB4-ABD8-0C6B31340D9C}" name="Column13094"/>
    <tableColumn id="13101" xr3:uid="{6A26D04A-E967-42DC-9606-E38DD6BFDDAD}" name="Column13095"/>
    <tableColumn id="13102" xr3:uid="{8AB3EC16-18BD-4165-872A-CAD5D365C9C4}" name="Column13096"/>
    <tableColumn id="13103" xr3:uid="{DFB782D9-A1E2-4568-AC1A-5B81B4224127}" name="Column13097"/>
    <tableColumn id="13104" xr3:uid="{E076E0C2-B400-4B9F-A083-3156D7836B55}" name="Column13098"/>
    <tableColumn id="13105" xr3:uid="{4CD24392-7C80-41C5-AFF1-A44B9EB14450}" name="Column13099"/>
    <tableColumn id="13106" xr3:uid="{AA797474-6A75-4F13-B3FB-D26783C06AFC}" name="Column13100"/>
    <tableColumn id="13107" xr3:uid="{F26FCD0F-BD09-4C59-A5BA-2DDF644F025B}" name="Column13101"/>
    <tableColumn id="13108" xr3:uid="{D68AB9B7-0F3C-4DEF-AFD4-02360181CE1E}" name="Column13102"/>
    <tableColumn id="13109" xr3:uid="{04557CA3-3E99-4948-B6F5-7FD765902D54}" name="Column13103"/>
    <tableColumn id="13110" xr3:uid="{19094A50-65E6-43D3-8006-3C2ED5E1BFAE}" name="Column13104"/>
    <tableColumn id="13111" xr3:uid="{877416FE-A84C-44C6-BB15-C9593A4376E4}" name="Column13105"/>
    <tableColumn id="13112" xr3:uid="{3D88AD4B-B0AD-4CF6-89A9-80B2CFC290DF}" name="Column13106"/>
    <tableColumn id="13113" xr3:uid="{EE0D3779-B0F2-4C88-B09B-9E7E4F038EC5}" name="Column13107"/>
    <tableColumn id="13114" xr3:uid="{087A2BA2-FD80-48A9-8B78-355BA7472238}" name="Column13108"/>
    <tableColumn id="13115" xr3:uid="{598C698F-EC95-44DF-90DC-6DFA6669B0ED}" name="Column13109"/>
    <tableColumn id="13116" xr3:uid="{05C86705-B9C7-4FF7-8315-F3A8EB40B59D}" name="Column13110"/>
    <tableColumn id="13117" xr3:uid="{8B09BBBC-E2F4-4359-914D-90DD7CD40AF5}" name="Column13111"/>
    <tableColumn id="13118" xr3:uid="{C3E40728-C307-4ED3-B2C2-8574A1975FD6}" name="Column13112"/>
    <tableColumn id="13119" xr3:uid="{E98E12AF-57BC-43B6-A146-BBDEFE8FE498}" name="Column13113"/>
    <tableColumn id="13120" xr3:uid="{191A58A2-AAD4-483C-8220-6DEC52DE7F14}" name="Column13114"/>
    <tableColumn id="13121" xr3:uid="{6D29E64E-CD89-44ED-B625-F949C19DFA8B}" name="Column13115"/>
    <tableColumn id="13122" xr3:uid="{00C5C3FF-7E3A-49ED-BEF6-061E8721C2E7}" name="Column13116"/>
    <tableColumn id="13123" xr3:uid="{92E9D3BD-7329-4D50-AB3F-B876CAF37143}" name="Column13117"/>
    <tableColumn id="13124" xr3:uid="{1337D8F7-FE07-4DE5-A790-1EFC0D681561}" name="Column13118"/>
    <tableColumn id="13125" xr3:uid="{AA381AA9-EE1E-4D6D-B704-82F0A1501CB6}" name="Column13119"/>
    <tableColumn id="13126" xr3:uid="{1B5CDFE9-F338-4758-B6F1-8FA641EFF2A0}" name="Column13120"/>
    <tableColumn id="13127" xr3:uid="{1D7AA682-6427-4992-975C-57D0609E3A75}" name="Column13121"/>
    <tableColumn id="13128" xr3:uid="{73048CF5-34D4-4D1A-A285-2BEB2D6B147B}" name="Column13122"/>
    <tableColumn id="13129" xr3:uid="{F204218B-FA95-4B75-8B73-55C069C76D09}" name="Column13123"/>
    <tableColumn id="13130" xr3:uid="{7B41700B-B0E6-4E3B-B279-76564F36D002}" name="Column13124"/>
    <tableColumn id="13131" xr3:uid="{5CE6A1C8-9285-4C31-AFD4-55F59455EEC8}" name="Column13125"/>
    <tableColumn id="13132" xr3:uid="{2697D9AD-501B-470E-8F5E-757BFCCE5052}" name="Column13126"/>
    <tableColumn id="13133" xr3:uid="{CB677BEE-F8B6-48B6-993C-9F05D19D91FA}" name="Column13127"/>
    <tableColumn id="13134" xr3:uid="{C9214201-8DF8-42D9-B05C-8AE020E30FA6}" name="Column13128"/>
    <tableColumn id="13135" xr3:uid="{FF8A9E2B-0D20-47B7-9111-CC1DAEF48467}" name="Column13129"/>
    <tableColumn id="13136" xr3:uid="{2F5CCE68-63FF-4B84-834C-E71A56FD9256}" name="Column13130"/>
    <tableColumn id="13137" xr3:uid="{4759E81D-1967-4950-B201-76D98C0D7BD3}" name="Column13131"/>
    <tableColumn id="13138" xr3:uid="{98E7242C-1E57-46ED-871B-B76B6013DE2D}" name="Column13132"/>
    <tableColumn id="13139" xr3:uid="{7531F016-3224-4C0D-9E92-F0FB72C918F8}" name="Column13133"/>
    <tableColumn id="13140" xr3:uid="{EDF480C9-D476-4FD2-994B-4BFB224D42C8}" name="Column13134"/>
    <tableColumn id="13141" xr3:uid="{A08F0277-67D3-4386-A2D2-7EAB55257DB8}" name="Column13135"/>
    <tableColumn id="13142" xr3:uid="{531FAB2B-6648-42E8-8D52-3D2D4F5CB13F}" name="Column13136"/>
    <tableColumn id="13143" xr3:uid="{19349A47-056C-4880-9139-3E6DA8FBFB6F}" name="Column13137"/>
    <tableColumn id="13144" xr3:uid="{051E4DE0-80FB-4E82-9648-6B8CD4CB091E}" name="Column13138"/>
    <tableColumn id="13145" xr3:uid="{9346A9D6-A26F-4D65-95D3-542A857B2E39}" name="Column13139"/>
    <tableColumn id="13146" xr3:uid="{76AB44C9-4AC0-4102-B107-55E2507CA328}" name="Column13140"/>
    <tableColumn id="13147" xr3:uid="{A0378284-8A23-4265-9322-3484FC7B2655}" name="Column13141"/>
    <tableColumn id="13148" xr3:uid="{F6578A34-E5D9-47B6-A2B3-BBB08E6CA36B}" name="Column13142"/>
    <tableColumn id="13149" xr3:uid="{EC1D1C63-FDDF-43CB-BAEC-A66899E9297C}" name="Column13143"/>
    <tableColumn id="13150" xr3:uid="{C2DE039A-DEA9-4111-AA12-C89B781240A5}" name="Column13144"/>
    <tableColumn id="13151" xr3:uid="{1C8F0941-178B-430C-9064-DCFB420F8655}" name="Column13145"/>
    <tableColumn id="13152" xr3:uid="{1FCB9F9B-F982-40B1-8B19-179A30E629AF}" name="Column13146"/>
    <tableColumn id="13153" xr3:uid="{03F1749D-B9F9-49C3-A38C-1D88C95A75BE}" name="Column13147"/>
    <tableColumn id="13154" xr3:uid="{F17D50D7-7C56-4EDF-ACC3-98154CBE8AE5}" name="Column13148"/>
    <tableColumn id="13155" xr3:uid="{F7982EDE-4D2E-4E08-9F5E-048D5FCFF981}" name="Column13149"/>
    <tableColumn id="13156" xr3:uid="{85FD9D88-0403-4C87-94CD-9EF62C6B5BF0}" name="Column13150"/>
    <tableColumn id="13157" xr3:uid="{94D9518E-8BD6-4C22-B58D-BC322D76BB33}" name="Column13151"/>
    <tableColumn id="13158" xr3:uid="{5C7C88D7-095D-4D17-B1F8-DB9A46C69A03}" name="Column13152"/>
    <tableColumn id="13159" xr3:uid="{5B7972A6-6CDF-4B63-9A04-42D41ECE1796}" name="Column13153"/>
    <tableColumn id="13160" xr3:uid="{BA6C851A-CA09-4545-B730-1557AD0AE63B}" name="Column13154"/>
    <tableColumn id="13161" xr3:uid="{43E9ED23-FEE2-447E-81B9-058FB847AE55}" name="Column13155"/>
    <tableColumn id="13162" xr3:uid="{A995520A-8A91-4337-B3AF-ADCFFC036E94}" name="Column13156"/>
    <tableColumn id="13163" xr3:uid="{AFCE106E-459E-4552-ACA0-E80189798EB7}" name="Column13157"/>
    <tableColumn id="13164" xr3:uid="{08162F31-4423-4A04-99E1-2BE86FD3B9A1}" name="Column13158"/>
    <tableColumn id="13165" xr3:uid="{1B846E82-0658-4265-A12D-3DC4F8EC3697}" name="Column13159"/>
    <tableColumn id="13166" xr3:uid="{46D0331C-9822-4FAC-A9C7-06ECF95C769A}" name="Column13160"/>
    <tableColumn id="13167" xr3:uid="{84288FE9-5002-41EA-BC6E-67F237CB0DEA}" name="Column13161"/>
    <tableColumn id="13168" xr3:uid="{8466781C-A15F-4B87-8D2C-F446048513D1}" name="Column13162"/>
    <tableColumn id="13169" xr3:uid="{A2E2A9A4-AAD8-4BD9-BF40-8F79865B3FEB}" name="Column13163"/>
    <tableColumn id="13170" xr3:uid="{63881ABF-DA54-4CF6-BF4A-E34725F3524E}" name="Column13164"/>
    <tableColumn id="13171" xr3:uid="{C4E2E4A4-7725-42CF-8EFC-23A67D57F956}" name="Column13165"/>
    <tableColumn id="13172" xr3:uid="{B1077BC1-6BC5-4946-A4E1-928C620DEFF4}" name="Column13166"/>
    <tableColumn id="13173" xr3:uid="{7797A937-EB76-4A5D-ABAB-AC04E97DBB23}" name="Column13167"/>
    <tableColumn id="13174" xr3:uid="{1778AB45-150B-4F5E-BF40-BFCD9FE6EB37}" name="Column13168"/>
    <tableColumn id="13175" xr3:uid="{223CF9B9-0F7B-4BBE-BE6C-706929285C02}" name="Column13169"/>
    <tableColumn id="13176" xr3:uid="{D49E5AC2-7353-48D1-BDF9-7E796D93F2EE}" name="Column13170"/>
    <tableColumn id="13177" xr3:uid="{DB1B2323-C4BB-40F1-91AF-203D57850ED6}" name="Column13171"/>
    <tableColumn id="13178" xr3:uid="{A50A554E-B27F-4DE7-ABFB-9E614356A356}" name="Column13172"/>
    <tableColumn id="13179" xr3:uid="{1EA5752E-E91B-448C-8197-8A3FF891CBD8}" name="Column13173"/>
    <tableColumn id="13180" xr3:uid="{62C6E678-65B9-4349-B77D-0D8E885DAC13}" name="Column13174"/>
    <tableColumn id="13181" xr3:uid="{743A2C8C-E403-45C0-B14B-7B8946A7FA6E}" name="Column13175"/>
    <tableColumn id="13182" xr3:uid="{018BE5E5-F59E-46D0-8524-0E823A2E491C}" name="Column13176"/>
    <tableColumn id="13183" xr3:uid="{A8D37F10-0226-40F9-ADB4-1A90F6185773}" name="Column13177"/>
    <tableColumn id="13184" xr3:uid="{D761F723-38AD-4254-9A96-EB3459A7D04E}" name="Column13178"/>
    <tableColumn id="13185" xr3:uid="{0B3999E8-5797-4701-9B70-187B7DEADC79}" name="Column13179"/>
    <tableColumn id="13186" xr3:uid="{ED596EBC-EBD3-47B7-AC2B-1C321E62F3A0}" name="Column13180"/>
    <tableColumn id="13187" xr3:uid="{58CBEC9B-1847-41D0-A978-5E280867DB48}" name="Column13181"/>
    <tableColumn id="13188" xr3:uid="{796B7548-104B-47FA-A8FD-E6D69355A8ED}" name="Column13182"/>
    <tableColumn id="13189" xr3:uid="{1C1681F4-7721-47F5-A03F-015F3621A738}" name="Column13183"/>
    <tableColumn id="13190" xr3:uid="{00A5AEE0-D051-42CD-B0A7-A850A26A58A3}" name="Column13184"/>
    <tableColumn id="13191" xr3:uid="{45EE07C3-D11A-4E28-BD54-33789E604570}" name="Column13185"/>
    <tableColumn id="13192" xr3:uid="{F960AAF4-9D3D-4B29-A9CF-6DA9BADA2556}" name="Column13186"/>
    <tableColumn id="13193" xr3:uid="{DBA26156-BC90-4E9F-B4E3-F01251A9ED73}" name="Column13187"/>
    <tableColumn id="13194" xr3:uid="{C596578A-7ECA-4B6D-B381-B667E43A813B}" name="Column13188"/>
    <tableColumn id="13195" xr3:uid="{0D47FA19-5311-40E7-BF50-7AABBFD6A823}" name="Column13189"/>
    <tableColumn id="13196" xr3:uid="{E2E5F70B-261C-4BCA-A6DE-CFE4C549EA7C}" name="Column13190"/>
    <tableColumn id="13197" xr3:uid="{B68EF59A-A0B4-48CD-B20F-06AFEAC51C0F}" name="Column13191"/>
    <tableColumn id="13198" xr3:uid="{A93AC772-9C30-4F06-92C2-32D4C407F82B}" name="Column13192"/>
    <tableColumn id="13199" xr3:uid="{A8E99959-7547-4096-83C3-FB9B862DE966}" name="Column13193"/>
    <tableColumn id="13200" xr3:uid="{46C0C833-B4AE-4ACC-8B90-45C1961EE12F}" name="Column13194"/>
    <tableColumn id="13201" xr3:uid="{907D30A7-8F94-460B-B691-200E1BE18B25}" name="Column13195"/>
    <tableColumn id="13202" xr3:uid="{A8E4160B-4386-4D37-9102-1887BA93BAD3}" name="Column13196"/>
    <tableColumn id="13203" xr3:uid="{E885D580-8E1D-4AC5-96C2-A38DB71A1EC8}" name="Column13197"/>
    <tableColumn id="13204" xr3:uid="{D52BE52E-80C4-4037-8A14-60DED46E5BF7}" name="Column13198"/>
    <tableColumn id="13205" xr3:uid="{F75466B5-5B64-4304-853B-3E3DDC82B0E0}" name="Column13199"/>
    <tableColumn id="13206" xr3:uid="{40E55A66-56ED-4B98-8B37-0CBAA3801868}" name="Column13200"/>
    <tableColumn id="13207" xr3:uid="{5A967A11-94CD-458D-8ABD-179FD88E60E7}" name="Column13201"/>
    <tableColumn id="13208" xr3:uid="{AE56EBC4-7AD6-4873-A7C1-6A27ACF2B44D}" name="Column13202"/>
    <tableColumn id="13209" xr3:uid="{8FE44EB0-179E-4450-AC30-5C8156CA8B50}" name="Column13203"/>
    <tableColumn id="13210" xr3:uid="{1ADCDD3C-7BAB-48AD-A038-8B29E4A6D2DA}" name="Column13204"/>
    <tableColumn id="13211" xr3:uid="{8A205A6B-F361-446A-871E-183F69CC74FF}" name="Column13205"/>
    <tableColumn id="13212" xr3:uid="{7E90C6A5-325E-4401-9391-C818361EC130}" name="Column13206"/>
    <tableColumn id="13213" xr3:uid="{1C4A050E-5174-4794-A8DE-4FF7D3B445C3}" name="Column13207"/>
    <tableColumn id="13214" xr3:uid="{44D701A0-5208-40DB-B602-0FCF2C139688}" name="Column13208"/>
    <tableColumn id="13215" xr3:uid="{622D2662-58A9-4C13-8821-D47A0597B13A}" name="Column13209"/>
    <tableColumn id="13216" xr3:uid="{EF876EF2-59A1-46C1-9EAB-1CE0D88FF0F5}" name="Column13210"/>
    <tableColumn id="13217" xr3:uid="{EA9FA8DD-971B-4333-A5D6-401DB7CF6706}" name="Column13211"/>
    <tableColumn id="13218" xr3:uid="{DE63EEEA-111F-4F1E-851E-215146F87B59}" name="Column13212"/>
    <tableColumn id="13219" xr3:uid="{C2E672BD-3867-43DD-8E87-461F9DA6C6A5}" name="Column13213"/>
    <tableColumn id="13220" xr3:uid="{326001CC-3E6B-4350-8031-7CD8FC1BCC5E}" name="Column13214"/>
    <tableColumn id="13221" xr3:uid="{9AF3FAB3-1104-4A1B-AECA-AC51B5DDE4BA}" name="Column13215"/>
    <tableColumn id="13222" xr3:uid="{D58F5489-4D86-46F3-BFED-3B423B53DDED}" name="Column13216"/>
    <tableColumn id="13223" xr3:uid="{FFBF7180-A2FD-4043-97A3-FED3DAE88DBC}" name="Column13217"/>
    <tableColumn id="13224" xr3:uid="{8CB2E914-D07F-45D7-822B-FD11C8202EEF}" name="Column13218"/>
    <tableColumn id="13225" xr3:uid="{5E505480-8F6F-479E-8639-76291CE2CBDF}" name="Column13219"/>
    <tableColumn id="13226" xr3:uid="{BAB97E4E-E8F5-40CA-A88B-A13DE21E8A0D}" name="Column13220"/>
    <tableColumn id="13227" xr3:uid="{A6B4EDC0-FCF9-4188-8FA9-C77682CA2CC2}" name="Column13221"/>
    <tableColumn id="13228" xr3:uid="{A358554D-B273-4580-8CA0-667597161FB5}" name="Column13222"/>
    <tableColumn id="13229" xr3:uid="{5AE76050-FB72-4D90-8F6D-A2A1ECFC96CA}" name="Column13223"/>
    <tableColumn id="13230" xr3:uid="{233B6E2A-273E-4292-B4C8-E3AD2B7AF554}" name="Column13224"/>
    <tableColumn id="13231" xr3:uid="{A25C26D4-807D-408E-AABE-076EBE0D0F23}" name="Column13225"/>
    <tableColumn id="13232" xr3:uid="{EBB39CF0-6F48-46D2-8A64-79622C2EB945}" name="Column13226"/>
    <tableColumn id="13233" xr3:uid="{7B11493C-1319-43A5-88DF-6809613D24C2}" name="Column13227"/>
    <tableColumn id="13234" xr3:uid="{F01CB24C-FF5A-43C3-B9A9-C1BCABEFA907}" name="Column13228"/>
    <tableColumn id="13235" xr3:uid="{E5170281-1AAD-4E69-8BF1-8C72AC86885B}" name="Column13229"/>
    <tableColumn id="13236" xr3:uid="{48CDA250-F588-4135-883F-7E8048000B36}" name="Column13230"/>
    <tableColumn id="13237" xr3:uid="{33FC3D8D-5928-41DF-AD0B-CB0BF7008714}" name="Column13231"/>
    <tableColumn id="13238" xr3:uid="{9D5AB9B4-733E-41C3-9CB8-FEDE4E9EECF5}" name="Column13232"/>
    <tableColumn id="13239" xr3:uid="{07189D1D-9094-4EB1-858F-80D4C9C02E89}" name="Column13233"/>
    <tableColumn id="13240" xr3:uid="{745E49E0-3D1D-4627-8004-D8B230E98046}" name="Column13234"/>
    <tableColumn id="13241" xr3:uid="{540D9B18-BEB7-4882-8484-12805F20770A}" name="Column13235"/>
    <tableColumn id="13242" xr3:uid="{60DC5D8A-B167-48C9-B626-F57177E9C6A7}" name="Column13236"/>
    <tableColumn id="13243" xr3:uid="{86B8F321-467A-44F9-8257-0F86322516A0}" name="Column13237"/>
    <tableColumn id="13244" xr3:uid="{A23D0C0E-9215-44AB-A226-CD7D7E0EC605}" name="Column13238"/>
    <tableColumn id="13245" xr3:uid="{98A49AA5-C71F-4973-B18F-FFDE52DC04B1}" name="Column13239"/>
    <tableColumn id="13246" xr3:uid="{A14C7A14-0E23-44AA-A9F2-79D8AE1F86EF}" name="Column13240"/>
    <tableColumn id="13247" xr3:uid="{85E19239-1D7D-4410-8A36-56640F829FA5}" name="Column13241"/>
    <tableColumn id="13248" xr3:uid="{4777082E-CE22-42F2-8662-0B4CC67EC2BC}" name="Column13242"/>
    <tableColumn id="13249" xr3:uid="{30201A80-3877-4081-B095-878CB1C834C1}" name="Column13243"/>
    <tableColumn id="13250" xr3:uid="{19676935-2329-40B7-B3B1-BBFD472048BC}" name="Column13244"/>
    <tableColumn id="13251" xr3:uid="{12F20D19-6F9B-4BCA-82D2-E0D255384BCD}" name="Column13245"/>
    <tableColumn id="13252" xr3:uid="{6C85E309-C764-4115-B1B4-1238B89E7F3D}" name="Column13246"/>
    <tableColumn id="13253" xr3:uid="{4C896A69-23D0-49E6-8618-EBA440126F90}" name="Column13247"/>
    <tableColumn id="13254" xr3:uid="{186A5B00-6817-4233-8F65-367AB72529AB}" name="Column13248"/>
    <tableColumn id="13255" xr3:uid="{A87D2ADD-ECCA-4380-9308-C1B4273DCEC0}" name="Column13249"/>
    <tableColumn id="13256" xr3:uid="{1E5C0B3F-B1EC-477A-86F0-869DF730153C}" name="Column13250"/>
    <tableColumn id="13257" xr3:uid="{64B46A4A-F164-4F21-9A16-11467122A35B}" name="Column13251"/>
    <tableColumn id="13258" xr3:uid="{A3F60778-F6CB-46A7-9A8E-473FC63AF0A5}" name="Column13252"/>
    <tableColumn id="13259" xr3:uid="{E1D37DAB-9552-41B5-9250-7D5A61ADE6D6}" name="Column13253"/>
    <tableColumn id="13260" xr3:uid="{8353C0D5-0FF9-43B6-969D-D211742D3540}" name="Column13254"/>
    <tableColumn id="13261" xr3:uid="{215A407C-83C4-4BB8-A7C4-8DFCE60071F2}" name="Column13255"/>
    <tableColumn id="13262" xr3:uid="{ADEF0129-243D-45B6-93D1-4A734E032E83}" name="Column13256"/>
    <tableColumn id="13263" xr3:uid="{E4285DD4-9D2B-44F3-A625-0F47E23048F7}" name="Column13257"/>
    <tableColumn id="13264" xr3:uid="{C7B14DF0-2DCA-47F8-87D3-BE997D1AB3C0}" name="Column13258"/>
    <tableColumn id="13265" xr3:uid="{797EA7B3-4B65-43ED-A78D-F4C38D109317}" name="Column13259"/>
    <tableColumn id="13266" xr3:uid="{DF268F11-6BBF-425B-A56C-14D6259FB732}" name="Column13260"/>
    <tableColumn id="13267" xr3:uid="{3ADFD0FA-CB28-482F-BAAD-1E507DE31CB7}" name="Column13261"/>
    <tableColumn id="13268" xr3:uid="{F32B0CE5-81F0-4AEE-A86C-34A422CBFC65}" name="Column13262"/>
    <tableColumn id="13269" xr3:uid="{3500BC09-1A85-4016-AE88-7DDF3C3ADC6E}" name="Column13263"/>
    <tableColumn id="13270" xr3:uid="{CC57739E-53DA-4A6D-AAFD-0FA36044B515}" name="Column13264"/>
    <tableColumn id="13271" xr3:uid="{FD8F8B2D-9301-45DB-BEC8-9185A89B2AE5}" name="Column13265"/>
    <tableColumn id="13272" xr3:uid="{454EF973-FB82-401F-8194-BB3F0E9ED490}" name="Column13266"/>
    <tableColumn id="13273" xr3:uid="{07E8F398-1FE4-47F4-958C-82CBB727DB63}" name="Column13267"/>
    <tableColumn id="13274" xr3:uid="{ACFAB613-71B9-4362-8D3B-1FD5E64EC6A3}" name="Column13268"/>
    <tableColumn id="13275" xr3:uid="{69B2579F-4F0B-4F34-83D2-830D2D1F9FBB}" name="Column13269"/>
    <tableColumn id="13276" xr3:uid="{25062BFB-5022-46C9-BFBC-7E5EAF50AAC3}" name="Column13270"/>
    <tableColumn id="13277" xr3:uid="{BBFED836-F00E-43CE-AA65-170995EFCAE3}" name="Column13271"/>
    <tableColumn id="13278" xr3:uid="{87291D0C-D212-4BD5-AD9B-2D5BD9181C0B}" name="Column13272"/>
    <tableColumn id="13279" xr3:uid="{6B37CABF-38CF-425F-AF76-5CEC64658843}" name="Column13273"/>
    <tableColumn id="13280" xr3:uid="{FFB63637-81AF-425C-B6FB-689333ED7669}" name="Column13274"/>
    <tableColumn id="13281" xr3:uid="{C40824E4-5B93-416E-A697-B77440DB1B8B}" name="Column13275"/>
    <tableColumn id="13282" xr3:uid="{E0CD40A0-1B03-4AFE-B0FF-A5CD0ACF2167}" name="Column13276"/>
    <tableColumn id="13283" xr3:uid="{D1E1C3AE-CEE4-464A-9F0A-855F43CC3BF3}" name="Column13277"/>
    <tableColumn id="13284" xr3:uid="{70F5EE3F-C5FB-451E-A5F0-FFB6F473CB56}" name="Column13278"/>
    <tableColumn id="13285" xr3:uid="{86CEE835-F6E2-4074-BF84-2B5BD0C20771}" name="Column13279"/>
    <tableColumn id="13286" xr3:uid="{BBD57E6E-ED19-45AE-ACA0-19246033155A}" name="Column13280"/>
    <tableColumn id="13287" xr3:uid="{812E28FE-A839-4E75-912F-34C7E1030299}" name="Column13281"/>
    <tableColumn id="13288" xr3:uid="{5975F258-026E-439D-AB50-F61387538BFF}" name="Column13282"/>
    <tableColumn id="13289" xr3:uid="{4260307B-FCEA-42C9-B272-252798231F9C}" name="Column13283"/>
    <tableColumn id="13290" xr3:uid="{35E73FA9-6721-4EA0-9DD5-94C1B5932897}" name="Column13284"/>
    <tableColumn id="13291" xr3:uid="{B62BFF22-3B8E-4992-AECB-8F0537D1F3CE}" name="Column13285"/>
    <tableColumn id="13292" xr3:uid="{3043FA61-F160-4E0E-ABF3-D013E2EBC1B8}" name="Column13286"/>
    <tableColumn id="13293" xr3:uid="{C79F289D-1A49-4C06-825D-C6D401170A2A}" name="Column13287"/>
    <tableColumn id="13294" xr3:uid="{23B2C5F1-F371-426B-AF41-9D7C4808EC7B}" name="Column13288"/>
    <tableColumn id="13295" xr3:uid="{7959C66E-B067-4238-ACA5-8124E36653EC}" name="Column13289"/>
    <tableColumn id="13296" xr3:uid="{54C92481-9112-4B22-B0D1-801DD6338DF6}" name="Column13290"/>
    <tableColumn id="13297" xr3:uid="{2F39874C-6454-4162-967C-2CD7BB75879D}" name="Column13291"/>
    <tableColumn id="13298" xr3:uid="{9214F550-A657-427A-92D0-EDA8CE37789B}" name="Column13292"/>
    <tableColumn id="13299" xr3:uid="{149F54BF-52E4-4357-B4DF-5DEFB8DB402A}" name="Column13293"/>
    <tableColumn id="13300" xr3:uid="{065D78A3-C670-4090-8765-DD3F2903B8FB}" name="Column13294"/>
    <tableColumn id="13301" xr3:uid="{85A6739D-47B1-47C0-8799-AB4D612138C1}" name="Column13295"/>
    <tableColumn id="13302" xr3:uid="{6933FF06-F09E-4DA1-8F99-532959F4352D}" name="Column13296"/>
    <tableColumn id="13303" xr3:uid="{DA8D4026-0FBC-41CC-978D-8D820B01F652}" name="Column13297"/>
    <tableColumn id="13304" xr3:uid="{93A6463A-B5DF-43E4-BB98-FAAEF2B0AE98}" name="Column13298"/>
    <tableColumn id="13305" xr3:uid="{FBDF016D-BD49-4C36-9FA1-4958F8BCABC1}" name="Column13299"/>
    <tableColumn id="13306" xr3:uid="{9568EB8C-F857-4EE7-9455-606EEEBBF084}" name="Column13300"/>
    <tableColumn id="13307" xr3:uid="{89E4F3D8-1899-40F4-9FA2-E556AAF96692}" name="Column13301"/>
    <tableColumn id="13308" xr3:uid="{27485B8F-271F-4072-BE69-EF38A49D5F99}" name="Column13302"/>
    <tableColumn id="13309" xr3:uid="{5CD068CF-F56E-44BF-A449-A1EEF4457668}" name="Column13303"/>
    <tableColumn id="13310" xr3:uid="{13750BD4-E17C-4167-834A-25CED48333FE}" name="Column13304"/>
    <tableColumn id="13311" xr3:uid="{1E55CAEC-BAF0-45E1-AC37-C0046DFB2CE8}" name="Column13305"/>
    <tableColumn id="13312" xr3:uid="{8341E61F-E694-48B8-ACFC-E5972D39AC61}" name="Column13306"/>
    <tableColumn id="13313" xr3:uid="{80620CE6-1888-4FD7-92CF-1E8F03B5DE2A}" name="Column13307"/>
    <tableColumn id="13314" xr3:uid="{3DAA1EA3-62F2-4B96-95E0-597ED7159593}" name="Column13308"/>
    <tableColumn id="13315" xr3:uid="{D6148EEA-7F8B-4CF9-8373-CDCA262102E0}" name="Column13309"/>
    <tableColumn id="13316" xr3:uid="{66C79F4B-24A7-4214-930D-A9A0934C8177}" name="Column13310"/>
    <tableColumn id="13317" xr3:uid="{A41B8853-24CC-4A29-A5E9-EB831F3F14A5}" name="Column13311"/>
    <tableColumn id="13318" xr3:uid="{D1F6313D-5B9A-4E9F-B784-1A0CDADD0E03}" name="Column13312"/>
    <tableColumn id="13319" xr3:uid="{AF128738-675F-4EE4-AA58-D62D35E8F62D}" name="Column13313"/>
    <tableColumn id="13320" xr3:uid="{EB13B991-DB46-4CD9-916E-EF6B33CD178C}" name="Column13314"/>
    <tableColumn id="13321" xr3:uid="{FCE74D82-E718-4BA6-A338-AA70BFFAC835}" name="Column13315"/>
    <tableColumn id="13322" xr3:uid="{564B21D3-AD24-458C-9D0F-75B4BEE89207}" name="Column13316"/>
    <tableColumn id="13323" xr3:uid="{7918CC9E-3CC6-4828-8A33-7C37314EB687}" name="Column13317"/>
    <tableColumn id="13324" xr3:uid="{C24E1F2E-D649-4941-93B7-6F2AD73E02B4}" name="Column13318"/>
    <tableColumn id="13325" xr3:uid="{7475F74C-B73A-47D0-AAEC-AD673C4E39C5}" name="Column13319"/>
    <tableColumn id="13326" xr3:uid="{793B44FC-2E11-45C4-A86E-B1A6D77BBEB5}" name="Column13320"/>
    <tableColumn id="13327" xr3:uid="{3CBEC21D-9B59-49B3-BC85-E2D7357A0570}" name="Column13321"/>
    <tableColumn id="13328" xr3:uid="{CAF430C9-4769-484B-A32F-C1E8C4351D77}" name="Column13322"/>
    <tableColumn id="13329" xr3:uid="{C4AB44FB-45E6-411F-B73F-A41905EE7CAA}" name="Column13323"/>
    <tableColumn id="13330" xr3:uid="{7F95B1A6-D9AC-4A99-AD01-D66BCD6283FE}" name="Column13324"/>
    <tableColumn id="13331" xr3:uid="{7052134A-B90C-4CEB-A59E-983CD5C57D7E}" name="Column13325"/>
    <tableColumn id="13332" xr3:uid="{B665169C-F514-438E-BE91-3ACEBE8BC4F0}" name="Column13326"/>
    <tableColumn id="13333" xr3:uid="{2FC1D065-61C4-4869-AB78-E6C03CE10F58}" name="Column13327"/>
    <tableColumn id="13334" xr3:uid="{ECB6EEE3-BC2B-4AA1-920A-E687B8F5A365}" name="Column13328"/>
    <tableColumn id="13335" xr3:uid="{B475BB25-9E2E-44DB-80B1-030A2FDB77E4}" name="Column13329"/>
    <tableColumn id="13336" xr3:uid="{130FAA94-1ABC-4B10-9172-15ED1686C484}" name="Column13330"/>
    <tableColumn id="13337" xr3:uid="{00866F8B-142D-4873-A310-7B93A6D33572}" name="Column13331"/>
    <tableColumn id="13338" xr3:uid="{C19747A0-DAA8-4BC3-ABD8-C0200DB21A2A}" name="Column13332"/>
    <tableColumn id="13339" xr3:uid="{827E5FB9-02EA-4DE9-B532-A7C173A93AC4}" name="Column13333"/>
    <tableColumn id="13340" xr3:uid="{08BCB08B-979D-4436-A792-10AFE0530C43}" name="Column13334"/>
    <tableColumn id="13341" xr3:uid="{7FEFE210-1D1F-4B0F-B068-E7498B57ADB7}" name="Column13335"/>
    <tableColumn id="13342" xr3:uid="{19FA0CB6-4984-457C-96C8-B945D38B5F23}" name="Column13336"/>
    <tableColumn id="13343" xr3:uid="{E324A55E-A531-4E56-A09D-9EA3432A7183}" name="Column13337"/>
    <tableColumn id="13344" xr3:uid="{5D98228A-0FC1-4230-9FC5-850499839207}" name="Column13338"/>
    <tableColumn id="13345" xr3:uid="{65D81F7D-4D7A-4F3A-B1C4-095A46C157A4}" name="Column13339"/>
    <tableColumn id="13346" xr3:uid="{B5851297-9F58-4E57-B570-F96231E723CC}" name="Column13340"/>
    <tableColumn id="13347" xr3:uid="{B63D5BF7-9A9E-4B02-A3C3-DF8073788A6F}" name="Column13341"/>
    <tableColumn id="13348" xr3:uid="{28C5AC05-DC69-4851-9CFF-3383AC9852CC}" name="Column13342"/>
    <tableColumn id="13349" xr3:uid="{71942C3D-76A2-44F4-82F0-D936B23BD5BF}" name="Column13343"/>
    <tableColumn id="13350" xr3:uid="{B5AF629D-1F5A-4220-BE19-8CCD674CB0D0}" name="Column13344"/>
    <tableColumn id="13351" xr3:uid="{2DE59290-3173-4865-B525-FAF7E579D02A}" name="Column13345"/>
    <tableColumn id="13352" xr3:uid="{5CCF5754-DE4B-4ACE-9935-D063B16EC4E0}" name="Column13346"/>
    <tableColumn id="13353" xr3:uid="{F1CDA5EC-20D3-4D64-83D5-DAAA4C7613CA}" name="Column13347"/>
    <tableColumn id="13354" xr3:uid="{8708BD78-5253-40B0-B329-588FBE2AD217}" name="Column13348"/>
    <tableColumn id="13355" xr3:uid="{E50E7E2B-05BC-4362-ABAC-FEB986B4A1E8}" name="Column13349"/>
    <tableColumn id="13356" xr3:uid="{227BF6CC-4D39-4E84-8875-A8806EB3E187}" name="Column13350"/>
    <tableColumn id="13357" xr3:uid="{D92B9E54-0D88-481C-8916-6F36A25F8171}" name="Column13351"/>
    <tableColumn id="13358" xr3:uid="{D0FF4FAF-9232-422F-B414-57FCD6BBA8B1}" name="Column13352"/>
    <tableColumn id="13359" xr3:uid="{91F90E82-CDD1-4C0E-86D7-005AC84196DD}" name="Column13353"/>
    <tableColumn id="13360" xr3:uid="{8ED42545-0635-4168-BD69-5054E9F0A445}" name="Column13354"/>
    <tableColumn id="13361" xr3:uid="{2E8EC0A1-5F08-484D-865B-55B32520F149}" name="Column13355"/>
    <tableColumn id="13362" xr3:uid="{D1BEC247-0C26-46AA-A071-5C696798311D}" name="Column13356"/>
    <tableColumn id="13363" xr3:uid="{C9CDC238-C1E4-48F9-81BE-FF8BEB862BA4}" name="Column13357"/>
    <tableColumn id="13364" xr3:uid="{E4B3E64B-B55C-4063-AA18-68894FF4407B}" name="Column13358"/>
    <tableColumn id="13365" xr3:uid="{102CFEE6-E664-4C15-A645-F20521929ECE}" name="Column13359"/>
    <tableColumn id="13366" xr3:uid="{2D452AEF-B94F-4DE0-9E7A-D968DF05FD7D}" name="Column13360"/>
    <tableColumn id="13367" xr3:uid="{CB4A361C-2DC9-4DDC-A151-DBE620A74A30}" name="Column13361"/>
    <tableColumn id="13368" xr3:uid="{DA7B00FF-A68B-4F57-9851-6C79F6674731}" name="Column13362"/>
    <tableColumn id="13369" xr3:uid="{64A5F297-66F2-4EB9-B10D-2B902BA67EA3}" name="Column13363"/>
    <tableColumn id="13370" xr3:uid="{C6527B4A-9915-4F70-B391-3E53709EA21E}" name="Column13364"/>
    <tableColumn id="13371" xr3:uid="{F8A33412-7C50-4F8B-8B0C-AF8B18C4FB3C}" name="Column13365"/>
    <tableColumn id="13372" xr3:uid="{40203358-9076-4193-B68A-1745D06E2551}" name="Column13366"/>
    <tableColumn id="13373" xr3:uid="{74575092-0647-4E04-B93E-42A271E08AE0}" name="Column13367"/>
    <tableColumn id="13374" xr3:uid="{09C4CFA1-773F-417F-8FCA-4F46F9BBF5B4}" name="Column13368"/>
    <tableColumn id="13375" xr3:uid="{2F48327B-6F81-426F-A22E-4401D8AE7F77}" name="Column13369"/>
    <tableColumn id="13376" xr3:uid="{CBABDD9D-8FEA-4FB3-AAC8-1099D2C1B1DE}" name="Column13370"/>
    <tableColumn id="13377" xr3:uid="{F53E82D7-69A4-42EC-BB75-303F6B337FA2}" name="Column13371"/>
    <tableColumn id="13378" xr3:uid="{192B62BB-1904-42EF-8617-6DE6A854B468}" name="Column13372"/>
    <tableColumn id="13379" xr3:uid="{FE0E6A63-89A1-442D-8BB6-5BC3060E513D}" name="Column13373"/>
    <tableColumn id="13380" xr3:uid="{E0051265-66C8-4890-8EB6-E796D9F565F9}" name="Column13374"/>
    <tableColumn id="13381" xr3:uid="{AADC6C50-E774-4A70-B86E-8DC448B07A79}" name="Column13375"/>
    <tableColumn id="13382" xr3:uid="{FD3C9AAE-22EF-4BB2-8332-A587EAAA6F6E}" name="Column13376"/>
    <tableColumn id="13383" xr3:uid="{83C2EE30-0B1A-4D3E-994F-E68A3371D953}" name="Column13377"/>
    <tableColumn id="13384" xr3:uid="{42D09147-F9DC-4910-9C98-EE745EAFA75D}" name="Column13378"/>
    <tableColumn id="13385" xr3:uid="{F10102A0-29A6-4071-8BB8-FC177557206B}" name="Column13379"/>
    <tableColumn id="13386" xr3:uid="{592FED4C-56A3-48F0-8EAC-ABF51BE430EC}" name="Column13380"/>
    <tableColumn id="13387" xr3:uid="{FA6F2EEF-51B4-49CF-83DF-75F53C1E992C}" name="Column13381"/>
    <tableColumn id="13388" xr3:uid="{99BA0DD1-5B46-4996-8C85-CD02890E1A08}" name="Column13382"/>
    <tableColumn id="13389" xr3:uid="{209B08A6-8EB9-48B8-8243-351920003E2D}" name="Column13383"/>
    <tableColumn id="13390" xr3:uid="{137DA469-90B1-4251-982A-FF42D48851DF}" name="Column13384"/>
    <tableColumn id="13391" xr3:uid="{078A1020-9058-47F0-9FD2-FA1CF3D66FD9}" name="Column13385"/>
    <tableColumn id="13392" xr3:uid="{EBF44225-98C3-47B6-8B4C-C285F628D5A0}" name="Column13386"/>
    <tableColumn id="13393" xr3:uid="{80AD80C8-F450-48E1-85D8-401AEC95ADB1}" name="Column13387"/>
    <tableColumn id="13394" xr3:uid="{5B171D96-1B3B-4FC0-B2B8-57F31478FEDA}" name="Column13388"/>
    <tableColumn id="13395" xr3:uid="{D0812294-F8AB-41F7-A8B8-BB87CB8D9822}" name="Column13389"/>
    <tableColumn id="13396" xr3:uid="{A7CD6756-CADB-4A88-8463-3817E77E80B5}" name="Column13390"/>
    <tableColumn id="13397" xr3:uid="{BB78468C-8571-41BA-8A92-77C646EA8A80}" name="Column13391"/>
    <tableColumn id="13398" xr3:uid="{DA0E1033-752A-4D3B-94B4-D8CBF749B6F7}" name="Column13392"/>
    <tableColumn id="13399" xr3:uid="{D21E6FE2-0DA3-4088-9220-31F5F76E3603}" name="Column13393"/>
    <tableColumn id="13400" xr3:uid="{B8C32C4A-C310-4039-BED8-C36D66A78137}" name="Column13394"/>
    <tableColumn id="13401" xr3:uid="{B9AEFB94-55A7-4C5B-96A4-F0C4970BEE29}" name="Column13395"/>
    <tableColumn id="13402" xr3:uid="{89287E87-F550-4D18-B148-E3EF9F0A9401}" name="Column13396"/>
    <tableColumn id="13403" xr3:uid="{E5D56FA8-B2B4-4F3B-A914-90B5E6DA0520}" name="Column13397"/>
    <tableColumn id="13404" xr3:uid="{6B86883F-36EC-4852-A164-1C68D6ACC759}" name="Column13398"/>
    <tableColumn id="13405" xr3:uid="{34F6701B-1EDF-440F-A235-EA9844262B40}" name="Column13399"/>
    <tableColumn id="13406" xr3:uid="{568BCF21-F1B6-4F01-8562-2D92B838BC2A}" name="Column13400"/>
    <tableColumn id="13407" xr3:uid="{F65592E5-CB78-471D-AB15-306E6827F22B}" name="Column13401"/>
    <tableColumn id="13408" xr3:uid="{234793AB-844A-469D-B72B-57241DED43B7}" name="Column13402"/>
    <tableColumn id="13409" xr3:uid="{FC33F2E8-A963-485B-9DF3-606B93970626}" name="Column13403"/>
    <tableColumn id="13410" xr3:uid="{BBDAD902-7313-4EDD-9D00-04BC4B6FE0FC}" name="Column13404"/>
    <tableColumn id="13411" xr3:uid="{8EB272CE-F9C3-4134-A03D-2D83D1A9DFF4}" name="Column13405"/>
    <tableColumn id="13412" xr3:uid="{65158BE3-1F27-44F3-8C5E-7290585E058B}" name="Column13406"/>
    <tableColumn id="13413" xr3:uid="{D328E901-98E7-479A-B37F-D7CB1518D8E6}" name="Column13407"/>
    <tableColumn id="13414" xr3:uid="{3D67F0A0-15B0-4D20-AF71-3D9A0FE5C9BC}" name="Column13408"/>
    <tableColumn id="13415" xr3:uid="{FC7D01F7-B301-429C-A3D6-2416DD3C6284}" name="Column13409"/>
    <tableColumn id="13416" xr3:uid="{F7E20C5C-20CE-4783-A05D-251DFA074216}" name="Column13410"/>
    <tableColumn id="13417" xr3:uid="{4DA4CA41-4427-4FD0-9EE0-8752CA9A41DE}" name="Column13411"/>
    <tableColumn id="13418" xr3:uid="{05EAEAB3-24BA-4715-A4F8-4C2C8ABF2FFD}" name="Column13412"/>
    <tableColumn id="13419" xr3:uid="{1F13F4F8-AB1E-4B0F-A142-CD323CDFC462}" name="Column13413"/>
    <tableColumn id="13420" xr3:uid="{55E7B5DE-DE36-435F-BECA-11393A845943}" name="Column13414"/>
    <tableColumn id="13421" xr3:uid="{CA0DAA10-25A7-4CBC-AB92-2D40F04E82A2}" name="Column13415"/>
    <tableColumn id="13422" xr3:uid="{447A486D-A747-4844-AE5A-51980665843C}" name="Column13416"/>
    <tableColumn id="13423" xr3:uid="{CD26E018-E255-428C-8392-4991165C8AB1}" name="Column13417"/>
    <tableColumn id="13424" xr3:uid="{5EBA6095-DADF-4E90-AFB8-2B29002A588E}" name="Column13418"/>
    <tableColumn id="13425" xr3:uid="{6ADAFD41-4665-4C58-BF5B-773C55C1F9FD}" name="Column13419"/>
    <tableColumn id="13426" xr3:uid="{B34EA587-1A08-4890-AD62-DD84A8FEC174}" name="Column13420"/>
    <tableColumn id="13427" xr3:uid="{FBA9A3D9-62ED-4A91-9464-FF365C3DE087}" name="Column13421"/>
    <tableColumn id="13428" xr3:uid="{8B32214F-F5E5-42DA-A150-128FA8295F59}" name="Column13422"/>
    <tableColumn id="13429" xr3:uid="{48A40CFC-ED7C-43C2-865F-A365EDB81513}" name="Column13423"/>
    <tableColumn id="13430" xr3:uid="{A29C9AB6-C258-477B-9788-278E883F65C2}" name="Column13424"/>
    <tableColumn id="13431" xr3:uid="{9355F500-5C5D-42A9-8C52-162DEC0C4089}" name="Column13425"/>
    <tableColumn id="13432" xr3:uid="{A91AE778-2532-4994-B39F-4ED55B8ADD0F}" name="Column13426"/>
    <tableColumn id="13433" xr3:uid="{A1D6CA17-C855-4D05-9DC1-960CF55D6527}" name="Column13427"/>
    <tableColumn id="13434" xr3:uid="{BF1B90C6-F9D6-4423-B1D4-CCD9FEC3F196}" name="Column13428"/>
    <tableColumn id="13435" xr3:uid="{9433E07B-5457-4244-A9B2-38CAD5326F29}" name="Column13429"/>
    <tableColumn id="13436" xr3:uid="{AD52A00C-31C7-4F83-9E9A-ACB53D9476CC}" name="Column13430"/>
    <tableColumn id="13437" xr3:uid="{A9CAF5B9-F718-465F-B20D-840B4550F26A}" name="Column13431"/>
    <tableColumn id="13438" xr3:uid="{310AEA2C-95AF-4CBC-AEAE-9FB3317E6A14}" name="Column13432"/>
    <tableColumn id="13439" xr3:uid="{946BC916-4DD4-429C-8FB7-FD514081522B}" name="Column13433"/>
    <tableColumn id="13440" xr3:uid="{C22E0FDB-0246-47D1-949C-F22C268766D1}" name="Column13434"/>
    <tableColumn id="13441" xr3:uid="{7306D2A4-A985-4463-8528-2FDF1BCC210D}" name="Column13435"/>
    <tableColumn id="13442" xr3:uid="{C58B63CB-E810-466F-84D6-314E5F77323F}" name="Column13436"/>
    <tableColumn id="13443" xr3:uid="{2B00762B-875F-4919-BE92-13917E01B15B}" name="Column13437"/>
    <tableColumn id="13444" xr3:uid="{083DF14B-EEA1-48EC-AD47-55C02F71D42C}" name="Column13438"/>
    <tableColumn id="13445" xr3:uid="{47086139-62EA-4059-B8E4-2B5F57DA7EFC}" name="Column13439"/>
    <tableColumn id="13446" xr3:uid="{03EB1E73-6C6E-4023-B4BA-11AB7410EF82}" name="Column13440"/>
    <tableColumn id="13447" xr3:uid="{43B82F7F-DD0E-41E1-9923-E4AA6DC1E6F8}" name="Column13441"/>
    <tableColumn id="13448" xr3:uid="{0C047A58-8EEE-4ED0-9DFC-AB102453838D}" name="Column13442"/>
    <tableColumn id="13449" xr3:uid="{7086470B-AADF-44CB-AEC9-E0C4F7406EB5}" name="Column13443"/>
    <tableColumn id="13450" xr3:uid="{D1F833A3-72EE-4956-8ED9-DB7733CA43CB}" name="Column13444"/>
    <tableColumn id="13451" xr3:uid="{9BE2E274-A209-4FD8-8D8E-F23A12D5E4A5}" name="Column13445"/>
    <tableColumn id="13452" xr3:uid="{D44F6685-8CCA-4107-BB15-CE2C1C455A3A}" name="Column13446"/>
    <tableColumn id="13453" xr3:uid="{BEBEB88B-CF9A-475E-B384-D05384BCEFAA}" name="Column13447"/>
    <tableColumn id="13454" xr3:uid="{CE7C7782-9ECD-44BD-BBE2-0CD63B2761FD}" name="Column13448"/>
    <tableColumn id="13455" xr3:uid="{44DFC9FB-E5B2-41E4-A460-629BDF8ECC9B}" name="Column13449"/>
    <tableColumn id="13456" xr3:uid="{34521998-323B-474B-A921-EA8FDBB3EAB7}" name="Column13450"/>
    <tableColumn id="13457" xr3:uid="{E72F3440-DCDC-4AF0-9E2C-F9E5846D8A7F}" name="Column13451"/>
    <tableColumn id="13458" xr3:uid="{DBE84D79-4918-4168-9174-1BA32B6A9AEE}" name="Column13452"/>
    <tableColumn id="13459" xr3:uid="{BAD57A0F-A3D1-46A3-8A6F-D3819C1FE6E7}" name="Column13453"/>
    <tableColumn id="13460" xr3:uid="{061A096F-D8ED-40C7-B061-87293EB306E9}" name="Column13454"/>
    <tableColumn id="13461" xr3:uid="{05519646-B3A6-4264-A81B-BDF868DDE2B7}" name="Column13455"/>
    <tableColumn id="13462" xr3:uid="{BDE65F12-C6FF-479F-9B1E-84AEFBF052D3}" name="Column13456"/>
    <tableColumn id="13463" xr3:uid="{84088DAB-8842-4E2A-B262-F88835CC55A5}" name="Column13457"/>
    <tableColumn id="13464" xr3:uid="{D09EBB1E-54C0-49C3-B785-62E721D934C8}" name="Column13458"/>
    <tableColumn id="13465" xr3:uid="{AA91D231-1238-46F7-89EA-ED0528ED766C}" name="Column13459"/>
    <tableColumn id="13466" xr3:uid="{8F378B08-9D2B-44F2-9DD8-41C63BCCFF3C}" name="Column13460"/>
    <tableColumn id="13467" xr3:uid="{3C5F80E4-272D-46A7-8A50-43B5ABA4C81F}" name="Column13461"/>
    <tableColumn id="13468" xr3:uid="{E215EEBA-D57F-4CBA-8DE3-9E7C73FEC957}" name="Column13462"/>
    <tableColumn id="13469" xr3:uid="{FD32E3B6-D22C-4087-959F-EC76DC54CA3F}" name="Column13463"/>
    <tableColumn id="13470" xr3:uid="{0967AE60-80BF-4723-A618-A900F8E53E42}" name="Column13464"/>
    <tableColumn id="13471" xr3:uid="{45FA15CE-DD61-4388-9E4D-011BF41F69CE}" name="Column13465"/>
    <tableColumn id="13472" xr3:uid="{9203A4B5-4070-4D4E-AB07-611E456E6817}" name="Column13466"/>
    <tableColumn id="13473" xr3:uid="{DEDCDE15-2A5E-4756-87E9-7445BD1B3B01}" name="Column13467"/>
    <tableColumn id="13474" xr3:uid="{D84C89C6-4CEC-4909-B762-C54DD1EC5F20}" name="Column13468"/>
    <tableColumn id="13475" xr3:uid="{CB9AC5F0-2AE7-402A-A80F-5B2913508520}" name="Column13469"/>
    <tableColumn id="13476" xr3:uid="{2E8DC6A1-4D9E-413E-89C3-C219F5FBF4D3}" name="Column13470"/>
    <tableColumn id="13477" xr3:uid="{748F3895-EB27-4F06-BFB6-24E8F2A05D1B}" name="Column13471"/>
    <tableColumn id="13478" xr3:uid="{86DB9500-E3BD-4D43-BAF3-50A5138617C0}" name="Column13472"/>
    <tableColumn id="13479" xr3:uid="{10B56F64-E0E2-4539-BADB-23BCEAE8A272}" name="Column13473"/>
    <tableColumn id="13480" xr3:uid="{5D5BA7FA-2AD3-4BB2-8DEE-9917789D5EC0}" name="Column13474"/>
    <tableColumn id="13481" xr3:uid="{B3DC1B52-AEE9-40AE-84AC-C13793951A8D}" name="Column13475"/>
    <tableColumn id="13482" xr3:uid="{D0897462-3302-4207-92D0-AB517CF22319}" name="Column13476"/>
    <tableColumn id="13483" xr3:uid="{C7BA0E82-92C5-43BE-9D07-D600149513D0}" name="Column13477"/>
    <tableColumn id="13484" xr3:uid="{95F5FE6A-2DCF-4617-9B20-85ED42169331}" name="Column13478"/>
    <tableColumn id="13485" xr3:uid="{2549E1B5-13B2-4D16-A9C6-0B717E2ACADA}" name="Column13479"/>
    <tableColumn id="13486" xr3:uid="{680A4A4A-0AC4-4DC0-8CA4-F266372B3B89}" name="Column13480"/>
    <tableColumn id="13487" xr3:uid="{796B70ED-9611-4C44-973B-8FD2F30715E7}" name="Column13481"/>
    <tableColumn id="13488" xr3:uid="{0A893CD9-C305-45F9-AA0D-FFFB1B287F64}" name="Column13482"/>
    <tableColumn id="13489" xr3:uid="{837E06C1-9A40-4239-A0E2-5BB9EEC6E05C}" name="Column13483"/>
    <tableColumn id="13490" xr3:uid="{1013C8EE-986D-4499-BB24-D677C4DE8F37}" name="Column13484"/>
    <tableColumn id="13491" xr3:uid="{DA5F5D52-AAE9-4ECF-ADC9-C886B4BE9ECC}" name="Column13485"/>
    <tableColumn id="13492" xr3:uid="{367D66DA-2B57-44D6-8967-B8847C5D8649}" name="Column13486"/>
    <tableColumn id="13493" xr3:uid="{E8E4B72A-5E1D-4846-BA1E-E4DF1B711F70}" name="Column13487"/>
    <tableColumn id="13494" xr3:uid="{618CEADF-C69F-48EA-A4F0-F5E7A5201B88}" name="Column13488"/>
    <tableColumn id="13495" xr3:uid="{31A1211D-11FB-4746-9F5B-52C95EC4CD6E}" name="Column13489"/>
    <tableColumn id="13496" xr3:uid="{F31FBB9F-7B39-4734-96D8-DBFC3A15EA9E}" name="Column13490"/>
    <tableColumn id="13497" xr3:uid="{4E405406-918F-48FE-8977-D36F27510A92}" name="Column13491"/>
    <tableColumn id="13498" xr3:uid="{6A5B9B28-3124-4B35-9629-D9F5EAA1D546}" name="Column13492"/>
    <tableColumn id="13499" xr3:uid="{CBB04829-070B-436E-A31F-2505C6E2FC90}" name="Column13493"/>
    <tableColumn id="13500" xr3:uid="{EC4ED7C0-A90C-46E2-B6CA-4AA92CBC03BF}" name="Column13494"/>
    <tableColumn id="13501" xr3:uid="{AE5E670D-EE50-4779-93D5-33FED407C157}" name="Column13495"/>
    <tableColumn id="13502" xr3:uid="{3004317C-FC1F-48C1-83E8-5087DF9D2BEB}" name="Column13496"/>
    <tableColumn id="13503" xr3:uid="{5FB3EA0A-A0D9-41F5-9B2F-4909A22AA3B4}" name="Column13497"/>
    <tableColumn id="13504" xr3:uid="{73569DF7-9A81-4EA2-93E8-304151DA3587}" name="Column13498"/>
    <tableColumn id="13505" xr3:uid="{40130D73-E43D-4D23-B920-AD1622991C04}" name="Column13499"/>
    <tableColumn id="13506" xr3:uid="{83F8534D-13A2-4C4A-BCA9-F07F87589BFC}" name="Column13500"/>
    <tableColumn id="13507" xr3:uid="{3954C561-D32A-4F50-8EF4-7BD278757517}" name="Column13501"/>
    <tableColumn id="13508" xr3:uid="{296B8D52-C217-4C33-8ED6-70838D6E5D7A}" name="Column13502"/>
    <tableColumn id="13509" xr3:uid="{5275CFCC-8132-43BC-BE2F-8476B37F5706}" name="Column13503"/>
    <tableColumn id="13510" xr3:uid="{75BBA735-F02D-4355-BB83-74B4057C405B}" name="Column13504"/>
    <tableColumn id="13511" xr3:uid="{09AE5527-16FB-4657-BE3F-FDD07E062F25}" name="Column13505"/>
    <tableColumn id="13512" xr3:uid="{C42A4640-8676-48E3-A489-449706D68B14}" name="Column13506"/>
    <tableColumn id="13513" xr3:uid="{D6390A2A-DB92-40D1-BFB4-BE012A7D0950}" name="Column13507"/>
    <tableColumn id="13514" xr3:uid="{3883DF78-180E-4B9D-8D52-BFEB5BEADE2F}" name="Column13508"/>
    <tableColumn id="13515" xr3:uid="{5AF2FF7E-19A1-489C-A472-5A725E671429}" name="Column13509"/>
    <tableColumn id="13516" xr3:uid="{6F6BB970-6057-4383-8711-2DBF539291B8}" name="Column13510"/>
    <tableColumn id="13517" xr3:uid="{4577C74C-A5DE-4EF8-BB94-8DC7BB18C4DB}" name="Column13511"/>
    <tableColumn id="13518" xr3:uid="{733BAE9D-F7CA-456D-8AB1-52DE31570405}" name="Column13512"/>
    <tableColumn id="13519" xr3:uid="{0537263C-8E32-44AA-9A6B-1A3A3D0007E6}" name="Column13513"/>
    <tableColumn id="13520" xr3:uid="{58EBABD6-5AC2-412F-8C9E-4A419D30E402}" name="Column13514"/>
    <tableColumn id="13521" xr3:uid="{553FF64C-2804-420E-AB55-F98BDB2B0DF8}" name="Column13515"/>
    <tableColumn id="13522" xr3:uid="{7CBCC153-9A31-43EE-823A-D9B0C4F729D7}" name="Column13516"/>
    <tableColumn id="13523" xr3:uid="{D81ABAF2-BDD8-4E39-B8EE-B21B967A0CBE}" name="Column13517"/>
    <tableColumn id="13524" xr3:uid="{574C1E08-D135-427B-B5A1-DBD7DC28C9D6}" name="Column13518"/>
    <tableColumn id="13525" xr3:uid="{B6331511-7CD9-416C-A4FD-22EF079ECEC2}" name="Column13519"/>
    <tableColumn id="13526" xr3:uid="{EEBD2299-F9DC-4FBB-8510-ABF14FFFAA6C}" name="Column13520"/>
    <tableColumn id="13527" xr3:uid="{B4B5A9F2-E65A-44A3-B8FF-EDF387ADA906}" name="Column13521"/>
    <tableColumn id="13528" xr3:uid="{7CC75D58-435D-43A9-89E4-DC0FDE9F8011}" name="Column13522"/>
    <tableColumn id="13529" xr3:uid="{D5CEC4E3-6C91-4655-9AFF-88259ECB0D60}" name="Column13523"/>
    <tableColumn id="13530" xr3:uid="{ED66B667-A4A8-4A71-A030-F19181E95DF2}" name="Column13524"/>
    <tableColumn id="13531" xr3:uid="{E99C858C-4E55-4F24-B26A-97ED67D2687C}" name="Column13525"/>
    <tableColumn id="13532" xr3:uid="{6C55B6CB-B16E-48E1-B25C-95FCD9980F73}" name="Column13526"/>
    <tableColumn id="13533" xr3:uid="{840920DB-43A2-4B34-98C7-038AE197155D}" name="Column13527"/>
    <tableColumn id="13534" xr3:uid="{AF288901-6A0C-4194-8005-4D253156E948}" name="Column13528"/>
    <tableColumn id="13535" xr3:uid="{3E16325B-047C-4552-94A7-075BE93E4BE3}" name="Column13529"/>
    <tableColumn id="13536" xr3:uid="{131505E7-320C-4B00-9AFD-20C81443EFF2}" name="Column13530"/>
    <tableColumn id="13537" xr3:uid="{014364F6-5F37-4DB0-9A6A-BFD98460DC9B}" name="Column13531"/>
    <tableColumn id="13538" xr3:uid="{2A5FA9F2-4333-4B29-A49D-8122C182E7D3}" name="Column13532"/>
    <tableColumn id="13539" xr3:uid="{8F3C9D9E-E6CA-422A-8506-9D7F0DE46D7D}" name="Column13533"/>
    <tableColumn id="13540" xr3:uid="{475E8943-CE05-4E09-9B42-12B51C1A87D7}" name="Column13534"/>
    <tableColumn id="13541" xr3:uid="{C961DA8E-5189-4CB4-A663-E3B0F755B1CB}" name="Column13535"/>
    <tableColumn id="13542" xr3:uid="{5FD7B291-63D5-4FC6-A2EF-3B72ACC3A077}" name="Column13536"/>
    <tableColumn id="13543" xr3:uid="{3ED9B03B-02F2-4146-BDD2-4CB5493B470D}" name="Column13537"/>
    <tableColumn id="13544" xr3:uid="{DA619349-C10D-4565-8F0E-F6B44C4F1D88}" name="Column13538"/>
    <tableColumn id="13545" xr3:uid="{657960AB-150B-4536-A522-3DFB4421C05F}" name="Column13539"/>
    <tableColumn id="13546" xr3:uid="{F9E8CC59-CF27-49DD-8A28-5CABAD7C3C81}" name="Column13540"/>
    <tableColumn id="13547" xr3:uid="{A8B08BDF-558E-43C0-97A3-53C7A2479B0E}" name="Column13541"/>
    <tableColumn id="13548" xr3:uid="{2737B89F-A8F8-43DE-BB55-4C1F52A21125}" name="Column13542"/>
    <tableColumn id="13549" xr3:uid="{D79D01C5-F3D4-4100-A31D-5A965DBA4C02}" name="Column13543"/>
    <tableColumn id="13550" xr3:uid="{0994BE1B-85EC-4724-B32B-40221C8E1A16}" name="Column13544"/>
    <tableColumn id="13551" xr3:uid="{614EE61A-672C-464E-B578-D2F59242D2E5}" name="Column13545"/>
    <tableColumn id="13552" xr3:uid="{776FD4C3-263E-4ED8-9388-F30CC2551751}" name="Column13546"/>
    <tableColumn id="13553" xr3:uid="{348BC79F-3177-4010-BAC7-96D923BFBB0C}" name="Column13547"/>
    <tableColumn id="13554" xr3:uid="{FA6690B6-7859-4500-828F-4F2A666366D2}" name="Column13548"/>
    <tableColumn id="13555" xr3:uid="{3B898607-C610-47F7-A998-C9E39977B771}" name="Column13549"/>
    <tableColumn id="13556" xr3:uid="{92BEFD97-648E-4B16-81E1-6207B26E1821}" name="Column13550"/>
    <tableColumn id="13557" xr3:uid="{2862D9FD-13CF-4235-9D9A-76D179B00354}" name="Column13551"/>
    <tableColumn id="13558" xr3:uid="{BE75DB92-ED0B-47B8-B6F0-47202BAE6086}" name="Column13552"/>
    <tableColumn id="13559" xr3:uid="{E5F04B5D-C3D8-4202-8ECC-8AE6E2D537AB}" name="Column13553"/>
    <tableColumn id="13560" xr3:uid="{374A347C-FFCB-427E-9E91-465311F76A25}" name="Column13554"/>
    <tableColumn id="13561" xr3:uid="{58175862-5D1F-4134-AFC3-DAFF3BB00ACA}" name="Column13555"/>
    <tableColumn id="13562" xr3:uid="{3322E3DE-952E-406A-87F5-7E228F2850F6}" name="Column13556"/>
    <tableColumn id="13563" xr3:uid="{B2726133-E94A-4CBD-90F0-44CCAAF66B6F}" name="Column13557"/>
    <tableColumn id="13564" xr3:uid="{E708C7F7-0487-44CC-B580-845F7D39F85E}" name="Column13558"/>
    <tableColumn id="13565" xr3:uid="{6A9FDA0B-BB50-488A-8FD3-86564E644964}" name="Column13559"/>
    <tableColumn id="13566" xr3:uid="{33ED92C3-FEAD-4DF0-9D5C-5C4341B6A938}" name="Column13560"/>
    <tableColumn id="13567" xr3:uid="{552337C6-030C-4C99-A16D-50903779A70B}" name="Column13561"/>
    <tableColumn id="13568" xr3:uid="{16A43FE5-B4D8-4C72-BC3E-7EAC27EF90FD}" name="Column13562"/>
    <tableColumn id="13569" xr3:uid="{A93202F9-9DFD-49C2-8F20-F8BEBC8B3E29}" name="Column13563"/>
    <tableColumn id="13570" xr3:uid="{97B76DC1-C809-4897-944B-AC2EF03DC4A6}" name="Column13564"/>
    <tableColumn id="13571" xr3:uid="{A0E83243-52E4-497D-8A1C-8445A0FBF6E4}" name="Column13565"/>
    <tableColumn id="13572" xr3:uid="{F1B17BA7-91DA-47B5-8A9E-84D47CC80712}" name="Column13566"/>
    <tableColumn id="13573" xr3:uid="{B0AC6C82-1EC4-4816-9D98-C43D33B264FF}" name="Column13567"/>
    <tableColumn id="13574" xr3:uid="{C9FC9D5D-D1F1-4DFF-B433-A91A1D297D0F}" name="Column13568"/>
    <tableColumn id="13575" xr3:uid="{E984E8B3-69FB-43A2-B592-1C8E7FB908C1}" name="Column13569"/>
    <tableColumn id="13576" xr3:uid="{7DD2E02C-251D-4E12-896F-119E35A512DB}" name="Column13570"/>
    <tableColumn id="13577" xr3:uid="{AADBB855-EFDF-4AD6-AFA7-83DD0E673F56}" name="Column13571"/>
    <tableColumn id="13578" xr3:uid="{E62D35AB-4D6D-4783-9A2B-20C87234341D}" name="Column13572"/>
    <tableColumn id="13579" xr3:uid="{BD730146-D245-47CF-AF3B-BFEB47DA45BA}" name="Column13573"/>
    <tableColumn id="13580" xr3:uid="{259DA54A-6172-4F9A-AFF9-0D4403BD29FB}" name="Column13574"/>
    <tableColumn id="13581" xr3:uid="{40364FD6-99ED-4223-86E2-E79E07F32EDE}" name="Column13575"/>
    <tableColumn id="13582" xr3:uid="{69673A8D-E55A-4A87-AE9A-CE1D10D9157D}" name="Column13576"/>
    <tableColumn id="13583" xr3:uid="{F66B6037-78BB-4EA2-95D8-675759E456F8}" name="Column13577"/>
    <tableColumn id="13584" xr3:uid="{B7CC130B-DBB3-40C8-8888-8078C9FE7A80}" name="Column13578"/>
    <tableColumn id="13585" xr3:uid="{24EC933A-C4AE-4695-8D2B-55F8A4CB99FA}" name="Column13579"/>
    <tableColumn id="13586" xr3:uid="{D4CFB502-7A20-4B6D-9838-CFB0512DE066}" name="Column13580"/>
    <tableColumn id="13587" xr3:uid="{BFB252B9-CD51-43D0-8B16-BB7B50E093D6}" name="Column13581"/>
    <tableColumn id="13588" xr3:uid="{A0D46191-3E6D-41FE-88E3-C3812FD2A314}" name="Column13582"/>
    <tableColumn id="13589" xr3:uid="{2F6EEDAB-B9E7-4102-BC93-D9D891824323}" name="Column13583"/>
    <tableColumn id="13590" xr3:uid="{FA1346CC-A7BD-4FB8-B8D8-0B2C62FA86F9}" name="Column13584"/>
    <tableColumn id="13591" xr3:uid="{450A25A4-81FC-4A8C-9A45-033DF44A4D05}" name="Column13585"/>
    <tableColumn id="13592" xr3:uid="{E9C08014-C0FC-41BF-82A2-24C22BDB262D}" name="Column13586"/>
    <tableColumn id="13593" xr3:uid="{9060F694-9373-4930-9D4F-FA39B1828B21}" name="Column13587"/>
    <tableColumn id="13594" xr3:uid="{D84FE52F-259D-49B0-8650-D36E4860D4F8}" name="Column13588"/>
    <tableColumn id="13595" xr3:uid="{139ECCB6-058C-41DC-8DA8-AA42017CCFED}" name="Column13589"/>
    <tableColumn id="13596" xr3:uid="{0F586E37-BE33-4DFB-A02D-1AC3F92B9545}" name="Column13590"/>
    <tableColumn id="13597" xr3:uid="{DE1363C4-E478-4826-BE90-C22CFA87E7C7}" name="Column13591"/>
    <tableColumn id="13598" xr3:uid="{B79E4AA7-0D13-48E6-A6AF-00C617DAF8DD}" name="Column13592"/>
    <tableColumn id="13599" xr3:uid="{A35DFDCB-3FA9-49BC-8684-3B82D9B6C101}" name="Column13593"/>
    <tableColumn id="13600" xr3:uid="{5EB61769-3E6E-47A8-A169-42DF93ABDA57}" name="Column13594"/>
    <tableColumn id="13601" xr3:uid="{4C44B7A6-9641-4C25-8C38-18BE2C7D8EF5}" name="Column13595"/>
    <tableColumn id="13602" xr3:uid="{F1C7692D-CFDF-41F1-B893-0D6A9FBEE783}" name="Column13596"/>
    <tableColumn id="13603" xr3:uid="{5217FF65-56CD-47F8-B92B-36618FF80BAC}" name="Column13597"/>
    <tableColumn id="13604" xr3:uid="{17526935-9515-41AE-B586-EEEA05D1BCB4}" name="Column13598"/>
    <tableColumn id="13605" xr3:uid="{D1BDF87B-24A3-4C04-91E2-C47F0406C72E}" name="Column13599"/>
    <tableColumn id="13606" xr3:uid="{BAF4C867-7ACE-4FED-9221-7075A49EF2CC}" name="Column13600"/>
    <tableColumn id="13607" xr3:uid="{099A09EB-BF2A-4CAB-9AC9-66418D41D0CD}" name="Column13601"/>
    <tableColumn id="13608" xr3:uid="{1133F608-10CB-4B5B-92D1-B081D17F3EB9}" name="Column13602"/>
    <tableColumn id="13609" xr3:uid="{F4504BAF-50F2-4C17-8216-4B22C5D0D5FB}" name="Column13603"/>
    <tableColumn id="13610" xr3:uid="{A5A4CEE0-E87E-4A2C-BA91-EB279AF953B7}" name="Column13604"/>
    <tableColumn id="13611" xr3:uid="{B8B96C06-F6E7-4CD9-8F47-036559188904}" name="Column13605"/>
    <tableColumn id="13612" xr3:uid="{51F4B9B7-69C9-4CE9-8CFE-B7128BE78060}" name="Column13606"/>
    <tableColumn id="13613" xr3:uid="{3464DD40-E0B2-4CF7-B087-F9DEBFE6331C}" name="Column13607"/>
    <tableColumn id="13614" xr3:uid="{0D7A3C3D-679B-4AF9-8DAE-EB1F35114326}" name="Column13608"/>
    <tableColumn id="13615" xr3:uid="{71E805C8-58BE-444F-B843-022D38391521}" name="Column13609"/>
    <tableColumn id="13616" xr3:uid="{5E359A34-1F51-47F4-8BDF-EC052F3F412E}" name="Column13610"/>
    <tableColumn id="13617" xr3:uid="{98375387-16F8-4738-A4CF-5D2CAADADDC3}" name="Column13611"/>
    <tableColumn id="13618" xr3:uid="{394D886F-8CFC-44A7-8270-7166D8492456}" name="Column13612"/>
    <tableColumn id="13619" xr3:uid="{BEA5F48E-129D-4160-95DC-7B34AF0EB2DE}" name="Column13613"/>
    <tableColumn id="13620" xr3:uid="{01B33360-0B42-437D-8A3E-4CDAE1AA8D92}" name="Column13614"/>
    <tableColumn id="13621" xr3:uid="{CE51F36C-8910-4308-930F-050EE3473C08}" name="Column13615"/>
    <tableColumn id="13622" xr3:uid="{197D9BA1-03D2-4DA0-B6AF-EA6104CCD257}" name="Column13616"/>
    <tableColumn id="13623" xr3:uid="{5CD79DF4-766A-4541-883D-54FAE2C32BA6}" name="Column13617"/>
    <tableColumn id="13624" xr3:uid="{3181767D-E248-4621-9B10-23F451E6F3F1}" name="Column13618"/>
    <tableColumn id="13625" xr3:uid="{97A7BA74-5F0D-442B-BDB7-5E69ED4F2F10}" name="Column13619"/>
    <tableColumn id="13626" xr3:uid="{021DCD59-2958-4539-A6C0-9D6D9A1A6D9B}" name="Column13620"/>
    <tableColumn id="13627" xr3:uid="{D99327C5-73F9-4FD3-A24E-0FF569FD4E3B}" name="Column13621"/>
    <tableColumn id="13628" xr3:uid="{C5D76017-B4DA-43C6-92C0-7CB240C03ACA}" name="Column13622"/>
    <tableColumn id="13629" xr3:uid="{4CFAC14B-167D-46A9-8EB0-734569507FAE}" name="Column13623"/>
    <tableColumn id="13630" xr3:uid="{351CD8BF-8193-4BB9-A6F5-CDA7259D4B92}" name="Column13624"/>
    <tableColumn id="13631" xr3:uid="{0F4A6C9E-14B6-4FA5-8FDC-C649B69C1FFF}" name="Column13625"/>
    <tableColumn id="13632" xr3:uid="{4CFCC8CC-F23B-4A90-BB84-384C11FBD003}" name="Column13626"/>
    <tableColumn id="13633" xr3:uid="{1EA7311A-808F-4CBA-A921-ECFCFD8D8C83}" name="Column13627"/>
    <tableColumn id="13634" xr3:uid="{1912ACFF-138F-45D9-B1B7-590048C7C4BF}" name="Column13628"/>
    <tableColumn id="13635" xr3:uid="{D0E4E430-84BE-4DF5-8A91-655C15A22D28}" name="Column13629"/>
    <tableColumn id="13636" xr3:uid="{AE6DEEFA-A140-4329-A5EC-2850CFA12AB8}" name="Column13630"/>
    <tableColumn id="13637" xr3:uid="{28397CDC-1A9F-45AF-9626-AEA3363EBD0C}" name="Column13631"/>
    <tableColumn id="13638" xr3:uid="{E32FD310-D257-492C-BF0E-8E620A9960A8}" name="Column13632"/>
    <tableColumn id="13639" xr3:uid="{0B7AF09D-EFC1-4942-972E-0E9B96416220}" name="Column13633"/>
    <tableColumn id="13640" xr3:uid="{8DFB5C10-EBFB-4877-AA5C-3007014B6E02}" name="Column13634"/>
    <tableColumn id="13641" xr3:uid="{E86D8974-84B2-4A6F-BBB3-3A1080931E85}" name="Column13635"/>
    <tableColumn id="13642" xr3:uid="{0F22801F-EF54-4246-80D1-B0035AE5F764}" name="Column13636"/>
    <tableColumn id="13643" xr3:uid="{15F547BD-6E84-47D4-B08E-B47369EB4219}" name="Column13637"/>
    <tableColumn id="13644" xr3:uid="{AB87020E-04D4-4429-A6B1-867C5D4030F8}" name="Column13638"/>
    <tableColumn id="13645" xr3:uid="{D34BB0B0-B3AC-4075-9172-409564FF2F6E}" name="Column13639"/>
    <tableColumn id="13646" xr3:uid="{5A5C8CF1-4B11-43FC-8F81-5D3AB9F42936}" name="Column13640"/>
    <tableColumn id="13647" xr3:uid="{660B2FBB-B313-4EBA-9AB9-9A319148999E}" name="Column13641"/>
    <tableColumn id="13648" xr3:uid="{BA7070C6-0C66-4743-B861-67DD2588AB46}" name="Column13642"/>
    <tableColumn id="13649" xr3:uid="{A0C510A8-A249-4F43-9855-A1F59C92D9FB}" name="Column13643"/>
    <tableColumn id="13650" xr3:uid="{D59D5672-C29D-4365-A11D-778163D3471F}" name="Column13644"/>
    <tableColumn id="13651" xr3:uid="{8C898A50-876E-4321-90B8-EB25C1026B8A}" name="Column13645"/>
    <tableColumn id="13652" xr3:uid="{6891B4FF-29DC-4FE5-80CF-9C20241BB99E}" name="Column13646"/>
    <tableColumn id="13653" xr3:uid="{8C0E770F-467F-4507-8AD2-9E4F66033ED3}" name="Column13647"/>
    <tableColumn id="13654" xr3:uid="{F0258A88-054F-4BDE-9887-548289C6AA75}" name="Column13648"/>
    <tableColumn id="13655" xr3:uid="{1D896297-9929-4465-8CDF-3CF61BDB6746}" name="Column13649"/>
    <tableColumn id="13656" xr3:uid="{59426C44-21B8-4A9F-85BC-2F944354F5FE}" name="Column13650"/>
    <tableColumn id="13657" xr3:uid="{1E221F12-9B36-45E5-B5BB-327DC55D82B6}" name="Column13651"/>
    <tableColumn id="13658" xr3:uid="{7129AD47-E5F5-47B7-BDD0-813AF369F826}" name="Column13652"/>
    <tableColumn id="13659" xr3:uid="{E18CD711-B768-43C1-B941-9567F9684971}" name="Column13653"/>
    <tableColumn id="13660" xr3:uid="{DF001805-ED6F-4311-A7B4-7D8C208B7378}" name="Column13654"/>
    <tableColumn id="13661" xr3:uid="{7FF865C8-A3B9-4BB4-86A9-D3C4EE9C22EE}" name="Column13655"/>
    <tableColumn id="13662" xr3:uid="{74A8E44B-57C8-4D87-8252-EF613BA2600B}" name="Column13656"/>
    <tableColumn id="13663" xr3:uid="{018F9225-8DA5-46DF-A74F-B1E8D708C82D}" name="Column13657"/>
    <tableColumn id="13664" xr3:uid="{D79EF2E6-86C4-48B6-83B9-5D752630BACA}" name="Column13658"/>
    <tableColumn id="13665" xr3:uid="{7C246EB1-73D9-43D3-9006-8C74F6B9013C}" name="Column13659"/>
    <tableColumn id="13666" xr3:uid="{0D68EBD4-85C2-47AD-94D4-F7BE579006F1}" name="Column13660"/>
    <tableColumn id="13667" xr3:uid="{D09F9B9A-2BFA-4729-89CA-4A72BC2AA2FC}" name="Column13661"/>
    <tableColumn id="13668" xr3:uid="{382E1CD6-D0F1-4352-A952-3D7F3ED82CBD}" name="Column13662"/>
    <tableColumn id="13669" xr3:uid="{2A90441F-E2E2-436A-B0A1-3C84CD3AE089}" name="Column13663"/>
    <tableColumn id="13670" xr3:uid="{255E957E-261F-4F79-ACFB-4639249E7BFB}" name="Column13664"/>
    <tableColumn id="13671" xr3:uid="{2DF05EC9-8058-4BDE-B220-A3C82F5B3324}" name="Column13665"/>
    <tableColumn id="13672" xr3:uid="{56326FB2-C8E4-4FAB-849F-48D86023BC93}" name="Column13666"/>
    <tableColumn id="13673" xr3:uid="{5B62C699-DBEF-4543-B3DA-8F0C801EFBD3}" name="Column13667"/>
    <tableColumn id="13674" xr3:uid="{EB344A58-E6B7-4B17-AD72-D518161E48D8}" name="Column13668"/>
    <tableColumn id="13675" xr3:uid="{F13DF13E-CBF1-4FD3-8AAA-9F234A21E68E}" name="Column13669"/>
    <tableColumn id="13676" xr3:uid="{F55E1493-806E-40B0-BDD7-67A09FE5DEC7}" name="Column13670"/>
    <tableColumn id="13677" xr3:uid="{39F884EC-A785-4BC7-928F-DAADE7607691}" name="Column13671"/>
    <tableColumn id="13678" xr3:uid="{B4F38A83-A5A3-4567-B1A6-FF26D8E92210}" name="Column13672"/>
    <tableColumn id="13679" xr3:uid="{CA18851E-7B43-4F7E-8CF4-A9E9FF443F67}" name="Column13673"/>
    <tableColumn id="13680" xr3:uid="{F875D950-2DDD-4B14-BC40-DC080A529F39}" name="Column13674"/>
    <tableColumn id="13681" xr3:uid="{57528DFF-C571-4E95-BB89-018C49C55072}" name="Column13675"/>
    <tableColumn id="13682" xr3:uid="{180DA4DB-03E9-40EB-AC9D-4FE5E9568819}" name="Column13676"/>
    <tableColumn id="13683" xr3:uid="{A359A2E9-8877-441F-B76E-63A7D0327AA7}" name="Column13677"/>
    <tableColumn id="13684" xr3:uid="{26D8AE2A-F5A4-4B3F-B135-ACBE06DB5A63}" name="Column13678"/>
    <tableColumn id="13685" xr3:uid="{B773701F-C251-4133-B539-B670C67398A9}" name="Column13679"/>
    <tableColumn id="13686" xr3:uid="{417FEB7A-690D-467F-9CC3-49DBE4C78F09}" name="Column13680"/>
    <tableColumn id="13687" xr3:uid="{F322D414-BAE0-46C2-B0D7-79F1C380B611}" name="Column13681"/>
    <tableColumn id="13688" xr3:uid="{D1ED8AEC-3518-41B9-85AB-79B0E4CB5883}" name="Column13682"/>
    <tableColumn id="13689" xr3:uid="{F037F18F-B72F-423F-BFD6-6EF78F931168}" name="Column13683"/>
    <tableColumn id="13690" xr3:uid="{7D0FFCD2-0B03-4472-833A-F886AF7482E0}" name="Column13684"/>
    <tableColumn id="13691" xr3:uid="{23FD3BE5-9C05-4812-AD5C-1E92B65EA7AF}" name="Column13685"/>
    <tableColumn id="13692" xr3:uid="{9BD4C326-4E8E-428F-8C15-64A3F09DB8BF}" name="Column13686"/>
    <tableColumn id="13693" xr3:uid="{13FC3B77-E3D8-4B81-8502-E07F45E70EA3}" name="Column13687"/>
    <tableColumn id="13694" xr3:uid="{340EC3A0-AEB5-46D2-BD74-1FCB90209D77}" name="Column13688"/>
    <tableColumn id="13695" xr3:uid="{04D8CB99-7AD9-461D-9BD2-136A0E7FBB8C}" name="Column13689"/>
    <tableColumn id="13696" xr3:uid="{F013D96C-B6EA-48D7-B9E7-C1EBBB3AB714}" name="Column13690"/>
    <tableColumn id="13697" xr3:uid="{0B731ED3-8D29-4B7B-B7EA-40FA835A3D9B}" name="Column13691"/>
    <tableColumn id="13698" xr3:uid="{1734D662-0B6A-47D1-A8C6-79D615D00B4D}" name="Column13692"/>
    <tableColumn id="13699" xr3:uid="{20848C22-F870-4A37-A322-ACA2663DE75C}" name="Column13693"/>
    <tableColumn id="13700" xr3:uid="{FE4B1DA5-082D-4C5B-8F76-8E062E480E8D}" name="Column13694"/>
    <tableColumn id="13701" xr3:uid="{ECF2D3EB-A884-4EB4-8A2F-D20CEF509EE1}" name="Column13695"/>
    <tableColumn id="13702" xr3:uid="{59E65A8D-A33F-40E8-B4B7-60C954C43FFD}" name="Column13696"/>
    <tableColumn id="13703" xr3:uid="{6F44F74A-50AB-4335-A713-EB8B6AEF915D}" name="Column13697"/>
    <tableColumn id="13704" xr3:uid="{404414D9-D366-4896-843F-9FE5CE7DB473}" name="Column13698"/>
    <tableColumn id="13705" xr3:uid="{40BDB044-58CF-42AA-B29F-24054DB3A3F4}" name="Column13699"/>
    <tableColumn id="13706" xr3:uid="{D906D911-96CC-447D-8B0E-273B4EFD34D1}" name="Column13700"/>
    <tableColumn id="13707" xr3:uid="{DA4B1DC4-33CB-413B-B7EC-74D84FDA36CE}" name="Column13701"/>
    <tableColumn id="13708" xr3:uid="{299E746F-C827-426C-8878-20E3F56B9E42}" name="Column13702"/>
    <tableColumn id="13709" xr3:uid="{C130D315-9667-4FFE-8907-16F18763A0F1}" name="Column13703"/>
    <tableColumn id="13710" xr3:uid="{CAD8F38D-F04C-4772-B6EF-714128542174}" name="Column13704"/>
    <tableColumn id="13711" xr3:uid="{79DEDA8D-D50C-41AC-B06E-745E78869488}" name="Column13705"/>
    <tableColumn id="13712" xr3:uid="{AB62C7A0-AEDD-469E-9EF2-97EFDC86FEC1}" name="Column13706"/>
    <tableColumn id="13713" xr3:uid="{EED5B576-FFDB-4879-9F51-76298DA4FAAE}" name="Column13707"/>
    <tableColumn id="13714" xr3:uid="{5163B08F-F839-47FF-B5AB-06CDE5DA3006}" name="Column13708"/>
    <tableColumn id="13715" xr3:uid="{474BE13C-BC84-4C1C-8750-05DD0C0D7E42}" name="Column13709"/>
    <tableColumn id="13716" xr3:uid="{AD29C0FD-C45C-46E6-AC70-72957B18A29A}" name="Column13710"/>
    <tableColumn id="13717" xr3:uid="{F49798DF-0190-4015-97B7-0C8A1F54F9D0}" name="Column13711"/>
    <tableColumn id="13718" xr3:uid="{961F4E92-7DC6-46C4-A06E-F884C4263375}" name="Column13712"/>
    <tableColumn id="13719" xr3:uid="{D935135F-7576-4B83-B5A2-63666AAF4EAF}" name="Column13713"/>
    <tableColumn id="13720" xr3:uid="{1DFB2FBE-CF06-480A-B919-3390CA49F0BA}" name="Column13714"/>
    <tableColumn id="13721" xr3:uid="{50F61537-A60C-447A-BA94-D07E91C0B3F7}" name="Column13715"/>
    <tableColumn id="13722" xr3:uid="{105B70D0-23BE-45F6-8817-352BC0B09331}" name="Column13716"/>
    <tableColumn id="13723" xr3:uid="{7FC402DF-514A-4FF4-A074-BC7519379F16}" name="Column13717"/>
    <tableColumn id="13724" xr3:uid="{47AF37B3-BCA2-4751-A9AF-A4944A60083A}" name="Column13718"/>
    <tableColumn id="13725" xr3:uid="{E5834C8B-8F1C-4EA6-9BFF-3B8B705A5C47}" name="Column13719"/>
    <tableColumn id="13726" xr3:uid="{82C2ECC0-8C63-43B6-9C81-E417C9242762}" name="Column13720"/>
    <tableColumn id="13727" xr3:uid="{61C2DFE2-36D3-4F78-A008-845046BBE34D}" name="Column13721"/>
    <tableColumn id="13728" xr3:uid="{250A2175-BE0E-4FC7-90E2-60D6C54EFE54}" name="Column13722"/>
    <tableColumn id="13729" xr3:uid="{648999A7-F228-468B-A429-E6962B043B48}" name="Column13723"/>
    <tableColumn id="13730" xr3:uid="{1D0C308C-F22D-4205-9DA5-FDA1F5D937D1}" name="Column13724"/>
    <tableColumn id="13731" xr3:uid="{88313D24-DC09-42C5-B431-A16E7B68D7C4}" name="Column13725"/>
    <tableColumn id="13732" xr3:uid="{79CEB335-8E67-4329-AE4A-8D4CBE6A6729}" name="Column13726"/>
    <tableColumn id="13733" xr3:uid="{6FFDAE4E-9CCF-44E2-97EC-B4BE2B4BFF86}" name="Column13727"/>
    <tableColumn id="13734" xr3:uid="{55F34402-017E-4C92-8C0A-4C993BD479B1}" name="Column13728"/>
    <tableColumn id="13735" xr3:uid="{EDA81CA0-CB9D-4508-9B8C-8E59D582F379}" name="Column13729"/>
    <tableColumn id="13736" xr3:uid="{6A7735AF-DEA1-41C1-8BF9-B2261CE7E469}" name="Column13730"/>
    <tableColumn id="13737" xr3:uid="{A45FAE10-C90F-402D-A15E-D480B4C9B1E1}" name="Column13731"/>
    <tableColumn id="13738" xr3:uid="{540C30B2-AB48-40F7-9DB5-941FA897DBFE}" name="Column13732"/>
    <tableColumn id="13739" xr3:uid="{933D8DD6-3FAC-4C00-BC10-2C86A442B574}" name="Column13733"/>
    <tableColumn id="13740" xr3:uid="{CDD6E300-65F0-4402-AA45-DB620382E6D9}" name="Column13734"/>
    <tableColumn id="13741" xr3:uid="{96C27E87-E7A7-432A-8B46-83AC2C97BDA7}" name="Column13735"/>
    <tableColumn id="13742" xr3:uid="{440346D8-689B-4753-A9CC-110EBEA25D77}" name="Column13736"/>
    <tableColumn id="13743" xr3:uid="{DD2365EF-F5B7-4825-839A-4051BBE91E17}" name="Column13737"/>
    <tableColumn id="13744" xr3:uid="{D88DA0ED-7732-4AFF-AF8C-B3F8C462981B}" name="Column13738"/>
    <tableColumn id="13745" xr3:uid="{30AE4C45-BB02-414E-BCE7-F77CEF73775B}" name="Column13739"/>
    <tableColumn id="13746" xr3:uid="{C4599992-3CBC-4D22-97DA-2FAABBFC5A60}" name="Column13740"/>
    <tableColumn id="13747" xr3:uid="{DF4D4424-1E2E-488A-9EFD-57911E1A6757}" name="Column13741"/>
    <tableColumn id="13748" xr3:uid="{9A8D0822-7360-4977-86C1-46768BB4260A}" name="Column13742"/>
    <tableColumn id="13749" xr3:uid="{784F4A2C-5252-4612-AC69-D4E5794135C2}" name="Column13743"/>
    <tableColumn id="13750" xr3:uid="{D262C061-640A-4A74-9035-1E4E3DEBF8EA}" name="Column13744"/>
    <tableColumn id="13751" xr3:uid="{F2C41C08-721E-4DDF-9266-2D7D78255996}" name="Column13745"/>
    <tableColumn id="13752" xr3:uid="{FD58246C-EFB2-44B7-9761-5C688293FB67}" name="Column13746"/>
    <tableColumn id="13753" xr3:uid="{A77609B2-D808-4667-BFFF-C5A49DA0F18E}" name="Column13747"/>
    <tableColumn id="13754" xr3:uid="{FDFE7B6F-8D28-4D0A-B351-9C990B1F53F8}" name="Column13748"/>
    <tableColumn id="13755" xr3:uid="{8607E2C6-05CD-4876-92C0-6B663A1C72BB}" name="Column13749"/>
    <tableColumn id="13756" xr3:uid="{E5EB01E2-5434-485D-B3A4-C1ABD0FD6554}" name="Column13750"/>
    <tableColumn id="13757" xr3:uid="{7934D75F-EBCF-4C85-87D2-ED799068AB71}" name="Column13751"/>
    <tableColumn id="13758" xr3:uid="{1347664F-F265-42E6-9753-117F57363970}" name="Column13752"/>
    <tableColumn id="13759" xr3:uid="{6FEC7E75-A37B-4531-ADBA-7190676AC14E}" name="Column13753"/>
    <tableColumn id="13760" xr3:uid="{E9F303AB-7281-4443-8DAC-E2857BC98EA7}" name="Column13754"/>
    <tableColumn id="13761" xr3:uid="{09E5969F-4913-4F09-A2B6-88B7FE556A71}" name="Column13755"/>
    <tableColumn id="13762" xr3:uid="{A43DACE5-426A-4E2D-A583-94C57B8B28FA}" name="Column13756"/>
    <tableColumn id="13763" xr3:uid="{DD63514A-014C-407C-B291-30740868EA44}" name="Column13757"/>
    <tableColumn id="13764" xr3:uid="{AAA7CA15-C49B-45B9-9D45-8685D643330B}" name="Column13758"/>
    <tableColumn id="13765" xr3:uid="{9B556364-90DF-4930-9144-B8094104C92A}" name="Column13759"/>
    <tableColumn id="13766" xr3:uid="{0053069F-7FF3-4026-B137-3237725C7D34}" name="Column13760"/>
    <tableColumn id="13767" xr3:uid="{E2C36AC3-5F4C-4858-BDD2-147100B1848C}" name="Column13761"/>
    <tableColumn id="13768" xr3:uid="{F3F20DDF-3530-4A6D-B12F-320BA33198DB}" name="Column13762"/>
    <tableColumn id="13769" xr3:uid="{4894B862-EA95-48F6-843E-337CB1498839}" name="Column13763"/>
    <tableColumn id="13770" xr3:uid="{F20B5CA6-EC6C-464C-B0F2-706090B3DB31}" name="Column13764"/>
    <tableColumn id="13771" xr3:uid="{5349FFAE-EAF1-4D7F-B2D8-926D94A46CA7}" name="Column13765"/>
    <tableColumn id="13772" xr3:uid="{FEAC8AF5-985E-4B8F-8878-5F2A1F71F2CC}" name="Column13766"/>
    <tableColumn id="13773" xr3:uid="{9E61335F-77E5-4068-B00B-45FD28812DCD}" name="Column13767"/>
    <tableColumn id="13774" xr3:uid="{9AC2FE76-C857-4930-8191-70166FE439A3}" name="Column13768"/>
    <tableColumn id="13775" xr3:uid="{E389C09D-FF38-4F47-B4F4-E9FD12C71BFA}" name="Column13769"/>
    <tableColumn id="13776" xr3:uid="{CDBAB322-99C4-4012-A85D-974B0A78686F}" name="Column13770"/>
    <tableColumn id="13777" xr3:uid="{742744D0-38AE-462D-B08C-BDD87278356F}" name="Column13771"/>
    <tableColumn id="13778" xr3:uid="{8932373B-884B-4781-9734-5E14521C6671}" name="Column13772"/>
    <tableColumn id="13779" xr3:uid="{1F5DEC23-994E-40C0-8D3A-E46DC116A1B5}" name="Column13773"/>
    <tableColumn id="13780" xr3:uid="{11AD7A67-A8FB-496B-ADC3-52C40A4D8CA9}" name="Column13774"/>
    <tableColumn id="13781" xr3:uid="{8AE781F3-A81E-4C37-B129-8ACE610111CC}" name="Column13775"/>
    <tableColumn id="13782" xr3:uid="{002D4CE4-728F-4576-B628-F3B8AD9F08E7}" name="Column13776"/>
    <tableColumn id="13783" xr3:uid="{86D82EB3-EC9C-4645-AC7D-7A1A3E17577C}" name="Column13777"/>
    <tableColumn id="13784" xr3:uid="{B266B642-B852-4624-9E75-CDBDECFF6F36}" name="Column13778"/>
    <tableColumn id="13785" xr3:uid="{BAA2159E-FD69-4F95-9A32-18CCB44713CB}" name="Column13779"/>
    <tableColumn id="13786" xr3:uid="{F685F191-4357-433B-94F0-833E8B3BEEED}" name="Column13780"/>
    <tableColumn id="13787" xr3:uid="{0F276F08-9428-4BB1-8303-687E8806D36E}" name="Column13781"/>
    <tableColumn id="13788" xr3:uid="{2DEF5AC0-F552-4DA8-A051-D40DB8F40F46}" name="Column13782"/>
    <tableColumn id="13789" xr3:uid="{EF1F9022-FC69-4B40-8D28-C2138E9F1A6C}" name="Column13783"/>
    <tableColumn id="13790" xr3:uid="{D2DA75CF-2C5B-4A97-99E4-E4CB38205745}" name="Column13784"/>
    <tableColumn id="13791" xr3:uid="{4A712068-37CB-4F28-9225-C9BBF8C03DC2}" name="Column13785"/>
    <tableColumn id="13792" xr3:uid="{417910AF-888D-4022-993A-B17A089B6722}" name="Column13786"/>
    <tableColumn id="13793" xr3:uid="{2CDA1743-B383-4DC2-836D-91F317BC9934}" name="Column13787"/>
    <tableColumn id="13794" xr3:uid="{0D32B41C-0D04-4ACB-8F21-4BC19689F065}" name="Column13788"/>
    <tableColumn id="13795" xr3:uid="{F7462CF6-8F25-4687-BFDA-483A865786A6}" name="Column13789"/>
    <tableColumn id="13796" xr3:uid="{99B75DEA-A2A4-4A75-8F5C-DD861671A7B8}" name="Column13790"/>
    <tableColumn id="13797" xr3:uid="{BD4F4B9B-F4C4-4EFA-B89C-22B87E942917}" name="Column13791"/>
    <tableColumn id="13798" xr3:uid="{9AD05668-EDB6-48E7-A360-4432BFEA4F68}" name="Column13792"/>
    <tableColumn id="13799" xr3:uid="{6ECD2A3E-BBA0-4789-83F9-9E238E621F2A}" name="Column13793"/>
    <tableColumn id="13800" xr3:uid="{1925812F-EECC-440E-9FE7-BCB4B531BB6E}" name="Column13794"/>
    <tableColumn id="13801" xr3:uid="{9DBD2E28-EB6A-44B1-AC98-A353820DECFB}" name="Column13795"/>
    <tableColumn id="13802" xr3:uid="{652ED9EE-F977-47D8-8EC7-593DDF2BCE8C}" name="Column13796"/>
    <tableColumn id="13803" xr3:uid="{BBDE1440-E70A-4F76-A56D-4E00435137CE}" name="Column13797"/>
    <tableColumn id="13804" xr3:uid="{470EC8F9-4D94-47BB-AAC9-250D2A31C76F}" name="Column13798"/>
    <tableColumn id="13805" xr3:uid="{2553E621-557F-4489-A776-B30530F53039}" name="Column13799"/>
    <tableColumn id="13806" xr3:uid="{74302DEC-A494-42AA-AB25-07EE8F59A43B}" name="Column13800"/>
    <tableColumn id="13807" xr3:uid="{D3A41F18-3B58-4D7F-BEAB-DCBC8CD3BAFF}" name="Column13801"/>
    <tableColumn id="13808" xr3:uid="{809A53E5-D914-47B7-8B53-6324BCFEB20F}" name="Column13802"/>
    <tableColumn id="13809" xr3:uid="{F4C45BEA-D656-45F2-B457-9781CEC9B88C}" name="Column13803"/>
    <tableColumn id="13810" xr3:uid="{28A01E8D-E2F2-46CF-94C0-071FED8CFE86}" name="Column13804"/>
    <tableColumn id="13811" xr3:uid="{24A676DF-051C-4FFC-8080-7B4C2AA4701C}" name="Column13805"/>
    <tableColumn id="13812" xr3:uid="{F6FF0C43-CEDD-4560-A3E5-53C9EA01D956}" name="Column13806"/>
    <tableColumn id="13813" xr3:uid="{000DA0CE-5745-4481-A634-B1E2976A6D51}" name="Column13807"/>
    <tableColumn id="13814" xr3:uid="{AD589130-29C6-4EAD-82A1-2C639A59ED62}" name="Column13808"/>
    <tableColumn id="13815" xr3:uid="{FCCC5A84-9102-41A6-A279-C0FEF27DC015}" name="Column13809"/>
    <tableColumn id="13816" xr3:uid="{66B28DB4-0751-46A5-BF8E-A01F11320E21}" name="Column13810"/>
    <tableColumn id="13817" xr3:uid="{978195C4-A4D8-4A62-8C8D-15DA46457497}" name="Column13811"/>
    <tableColumn id="13818" xr3:uid="{D09FF5B5-770A-40A6-9ECE-A8E3A1130062}" name="Column13812"/>
    <tableColumn id="13819" xr3:uid="{1C47B1EA-9818-4502-B72D-9543EDE288A6}" name="Column13813"/>
    <tableColumn id="13820" xr3:uid="{806BF303-3E2A-4CA6-AA35-ACC66C2E298D}" name="Column13814"/>
    <tableColumn id="13821" xr3:uid="{7FA940C5-BC08-497E-8D65-3EF139B75E58}" name="Column13815"/>
    <tableColumn id="13822" xr3:uid="{8D054E11-E073-4140-B5C6-D50AE3DE90D7}" name="Column13816"/>
    <tableColumn id="13823" xr3:uid="{C94CC42A-9252-4F6C-A91C-3C0D7E6A5F98}" name="Column13817"/>
    <tableColumn id="13824" xr3:uid="{89EED371-BCEE-4712-8ACF-E66C836EFB8A}" name="Column13818"/>
    <tableColumn id="13825" xr3:uid="{26A71C61-7152-47CB-943F-376C548EDE60}" name="Column13819"/>
    <tableColumn id="13826" xr3:uid="{D2F5792F-03C9-4120-A307-2B08528E8775}" name="Column13820"/>
    <tableColumn id="13827" xr3:uid="{0F86055E-260E-4EF8-923A-1B342CAB877F}" name="Column13821"/>
    <tableColumn id="13828" xr3:uid="{AC925589-5C06-4861-90C7-B2B0CE58BCF6}" name="Column13822"/>
    <tableColumn id="13829" xr3:uid="{B0383DF3-8A88-43DE-8A14-9D58D54BDA88}" name="Column13823"/>
    <tableColumn id="13830" xr3:uid="{8EEFD10B-B166-4F30-9920-69E83D5B29F4}" name="Column13824"/>
    <tableColumn id="13831" xr3:uid="{4B2CD5AE-A926-4AD0-8C7E-31D36CF722CE}" name="Column13825"/>
    <tableColumn id="13832" xr3:uid="{EEBBCB4E-25D3-4F52-B9AE-295F82C7FBB0}" name="Column13826"/>
    <tableColumn id="13833" xr3:uid="{91C6C248-91A5-4FF8-BB23-2941AED05008}" name="Column13827"/>
    <tableColumn id="13834" xr3:uid="{0E18F506-9C0E-4974-B59D-C3A2C709E8E0}" name="Column13828"/>
    <tableColumn id="13835" xr3:uid="{2CB4D8FB-63AF-4D52-A693-B72B6ED17FA9}" name="Column13829"/>
    <tableColumn id="13836" xr3:uid="{7B0B9D0D-C80A-468C-BAB9-37DC6D2424CB}" name="Column13830"/>
    <tableColumn id="13837" xr3:uid="{6A27E4A0-536B-45E3-BC44-B17A36EA0DA7}" name="Column13831"/>
    <tableColumn id="13838" xr3:uid="{23358C12-3243-4564-A090-EE33E51AC4FF}" name="Column13832"/>
    <tableColumn id="13839" xr3:uid="{95AF190F-9F55-488D-BEC7-A0060CBA360F}" name="Column13833"/>
    <tableColumn id="13840" xr3:uid="{175E34A9-09E9-4D67-BC42-B7F59E1A15F9}" name="Column13834"/>
    <tableColumn id="13841" xr3:uid="{1798B30B-3731-4AD9-90CE-9E7DEBE4A0DB}" name="Column13835"/>
    <tableColumn id="13842" xr3:uid="{7F3119D0-A4DF-4C69-8FF1-0B390EAF7922}" name="Column13836"/>
    <tableColumn id="13843" xr3:uid="{F54309CD-0483-4B87-A8CE-2CD4E4F8181A}" name="Column13837"/>
    <tableColumn id="13844" xr3:uid="{C355EAA2-B138-4C08-88D0-770AC0A2088E}" name="Column13838"/>
    <tableColumn id="13845" xr3:uid="{A49F9D13-FB33-4840-9B48-3A081E531EDE}" name="Column13839"/>
    <tableColumn id="13846" xr3:uid="{235F6C22-8804-4286-82A5-09175E5BCD5B}" name="Column13840"/>
    <tableColumn id="13847" xr3:uid="{1DC92915-3BB0-49FE-8FFB-4781EB9DF358}" name="Column13841"/>
    <tableColumn id="13848" xr3:uid="{5152D50E-D299-4C4C-90E7-3EEB5D7AAD79}" name="Column13842"/>
    <tableColumn id="13849" xr3:uid="{08B0E340-8EC0-4A60-BC80-362E7717598D}" name="Column13843"/>
    <tableColumn id="13850" xr3:uid="{CECC16C0-A929-405D-A119-BBFA8941DAF5}" name="Column13844"/>
    <tableColumn id="13851" xr3:uid="{216EED60-7AE2-4DCD-9995-C95DD9CA5B8E}" name="Column13845"/>
    <tableColumn id="13852" xr3:uid="{4252317E-321D-43D6-A6D5-EBFB05917914}" name="Column13846"/>
    <tableColumn id="13853" xr3:uid="{E3E18298-68F7-4482-86AF-82896EB4DA02}" name="Column13847"/>
    <tableColumn id="13854" xr3:uid="{5329F7AE-3AB3-4635-915A-341EC1AC0311}" name="Column13848"/>
    <tableColumn id="13855" xr3:uid="{A23D5277-0B6E-46F4-8C8E-443FDDDEE7F8}" name="Column13849"/>
    <tableColumn id="13856" xr3:uid="{88FAC610-2799-451C-AE6F-D32ECEE37A5D}" name="Column13850"/>
    <tableColumn id="13857" xr3:uid="{07E03865-2F9E-4847-9167-F9A7C567BC69}" name="Column13851"/>
    <tableColumn id="13858" xr3:uid="{FBC92130-8353-403A-AF85-A00BFBAB44D8}" name="Column13852"/>
    <tableColumn id="13859" xr3:uid="{6DF00B5C-AE89-4FAE-9964-E9A0AFF4B297}" name="Column13853"/>
    <tableColumn id="13860" xr3:uid="{14D32070-7C3C-41AA-9111-55724E6B4437}" name="Column13854"/>
    <tableColumn id="13861" xr3:uid="{6773183D-B050-4DAC-AD6B-EA5B1AC96CFC}" name="Column13855"/>
    <tableColumn id="13862" xr3:uid="{745DEE5D-E172-44CC-A91D-00FD792882B4}" name="Column13856"/>
    <tableColumn id="13863" xr3:uid="{0DF30119-D68A-4D8C-A86C-B49E4B556EAE}" name="Column13857"/>
    <tableColumn id="13864" xr3:uid="{09FD3178-9278-4686-9A63-BCCF30FD1C0D}" name="Column13858"/>
    <tableColumn id="13865" xr3:uid="{72E853E7-8C3E-476D-A491-E8BDFB0387D3}" name="Column13859"/>
    <tableColumn id="13866" xr3:uid="{10E05826-DCAC-4B50-AF3A-694067544C0F}" name="Column13860"/>
    <tableColumn id="13867" xr3:uid="{C7643255-4B3A-49B3-BF4E-57DA625B5194}" name="Column13861"/>
    <tableColumn id="13868" xr3:uid="{8B8A0AA8-9007-4F31-9E9A-34A59DBD9A4E}" name="Column13862"/>
    <tableColumn id="13869" xr3:uid="{2B061C5E-3C9E-479B-9276-F16037B2A4C8}" name="Column13863"/>
    <tableColumn id="13870" xr3:uid="{34833581-4980-444F-8F47-23BCCFAF459D}" name="Column13864"/>
    <tableColumn id="13871" xr3:uid="{0ED303B8-F941-4C8F-9509-8713DB736EF6}" name="Column13865"/>
    <tableColumn id="13872" xr3:uid="{A3F26718-A54E-4056-B82B-A10E99B76A6B}" name="Column13866"/>
    <tableColumn id="13873" xr3:uid="{CFBD2DF7-0A68-4301-BABA-45DCF1CAA889}" name="Column13867"/>
    <tableColumn id="13874" xr3:uid="{F3AA914A-4879-4019-8825-ED9D29A5AEED}" name="Column13868"/>
    <tableColumn id="13875" xr3:uid="{42680825-348E-4235-B4FD-1A7A1A6050BC}" name="Column13869"/>
    <tableColumn id="13876" xr3:uid="{74BAC64B-BAB6-4D96-8BD4-261A0A2EA937}" name="Column13870"/>
    <tableColumn id="13877" xr3:uid="{14F6B17C-0E99-445D-989F-CF32D43E6DBB}" name="Column13871"/>
    <tableColumn id="13878" xr3:uid="{FC5859C7-6719-4247-AA90-577CDC241EA4}" name="Column13872"/>
    <tableColumn id="13879" xr3:uid="{E86C01C2-10DA-47AD-B9D3-81C51651B606}" name="Column13873"/>
    <tableColumn id="13880" xr3:uid="{37A94CE8-EA16-4C57-B16E-283E2BF5BF41}" name="Column13874"/>
    <tableColumn id="13881" xr3:uid="{E692BFB0-7021-4707-8FCC-86C2FEF1F27C}" name="Column13875"/>
    <tableColumn id="13882" xr3:uid="{32CAE003-C5C9-477D-AEB2-D49C2E86049E}" name="Column13876"/>
    <tableColumn id="13883" xr3:uid="{3528E84B-81D6-4837-AFBD-728A8D9E25EE}" name="Column13877"/>
    <tableColumn id="13884" xr3:uid="{058B1AEA-DF71-4C61-A706-90922A9625E8}" name="Column13878"/>
    <tableColumn id="13885" xr3:uid="{4861E5C1-1B1C-4DC8-995D-375AB90DB7C7}" name="Column13879"/>
    <tableColumn id="13886" xr3:uid="{BEBFB754-8734-4E18-824C-60B92B3A04A9}" name="Column13880"/>
    <tableColumn id="13887" xr3:uid="{3E9DC5B0-9241-4163-BE43-6AF7DD5FA63E}" name="Column13881"/>
    <tableColumn id="13888" xr3:uid="{BAA702E9-5461-4F0F-B245-78ED2B51F336}" name="Column13882"/>
    <tableColumn id="13889" xr3:uid="{526EEA5B-BD0F-4D96-A564-273C0C84D152}" name="Column13883"/>
    <tableColumn id="13890" xr3:uid="{6475C73B-A031-406F-BB2B-E01019355FFC}" name="Column13884"/>
    <tableColumn id="13891" xr3:uid="{1460FAF9-E561-4677-96E4-4EEAA4C2F8EE}" name="Column13885"/>
    <tableColumn id="13892" xr3:uid="{A28D1A12-AAFF-41A1-86DD-6894FDBBDB1E}" name="Column13886"/>
    <tableColumn id="13893" xr3:uid="{E8F1FC0C-364B-4CF9-942F-2240A8363C1A}" name="Column13887"/>
    <tableColumn id="13894" xr3:uid="{6395D1AE-9AC9-4423-81DF-4FD7491DD938}" name="Column13888"/>
    <tableColumn id="13895" xr3:uid="{B29048DA-354E-4CB5-97D1-150A8BDC52C9}" name="Column13889"/>
    <tableColumn id="13896" xr3:uid="{1E579C12-18EF-4E77-9370-00B62DCA8DE1}" name="Column13890"/>
    <tableColumn id="13897" xr3:uid="{84F321AE-5972-478F-A76E-E344BD8F423C}" name="Column13891"/>
    <tableColumn id="13898" xr3:uid="{42B240EF-B4EB-4A0B-8CAC-D3197F549BAC}" name="Column13892"/>
    <tableColumn id="13899" xr3:uid="{51EC9C48-B1F7-4379-87AF-5DDFC64E99F9}" name="Column13893"/>
    <tableColumn id="13900" xr3:uid="{B4B61558-F7E1-4521-812F-D001611442EC}" name="Column13894"/>
    <tableColumn id="13901" xr3:uid="{777F518B-C2F2-4380-A80B-958791C5726C}" name="Column13895"/>
    <tableColumn id="13902" xr3:uid="{673A3DDB-9B5E-4D56-B814-C0B69E7493C4}" name="Column13896"/>
    <tableColumn id="13903" xr3:uid="{A81E9582-CD7D-4242-A008-460BDA084A30}" name="Column13897"/>
    <tableColumn id="13904" xr3:uid="{2E39133D-F292-4156-A3AD-2A507BB84DA9}" name="Column13898"/>
    <tableColumn id="13905" xr3:uid="{0600B477-DACD-417E-91D0-B085490F749E}" name="Column13899"/>
    <tableColumn id="13906" xr3:uid="{82A56C79-D7CB-466F-A482-01FA91B5A0A3}" name="Column13900"/>
    <tableColumn id="13907" xr3:uid="{2B3CA83E-8731-4874-8BC1-0B7E0F23A5F4}" name="Column13901"/>
    <tableColumn id="13908" xr3:uid="{CA3D05B0-7046-4D44-8B88-1FCD1AC6D4C0}" name="Column13902"/>
    <tableColumn id="13909" xr3:uid="{E06F9C40-8C36-44A3-9BBE-4FDA90C59602}" name="Column13903"/>
    <tableColumn id="13910" xr3:uid="{2837494D-8F84-402F-B9E5-C8876A8DAA5C}" name="Column13904"/>
    <tableColumn id="13911" xr3:uid="{8B0D97E8-12DC-4B7F-88B0-BB49EBD7EA89}" name="Column13905"/>
    <tableColumn id="13912" xr3:uid="{D122D0F2-30D0-437C-8E6A-D68E8974DB48}" name="Column13906"/>
    <tableColumn id="13913" xr3:uid="{E3A3E305-ACD3-474A-BAA5-08D58C9EB092}" name="Column13907"/>
    <tableColumn id="13914" xr3:uid="{A10D40B7-1F3A-49C9-A49B-79E9E00E35BD}" name="Column13908"/>
    <tableColumn id="13915" xr3:uid="{E81EE137-F5F5-4F4E-8157-19BCE7353C60}" name="Column13909"/>
    <tableColumn id="13916" xr3:uid="{44D3A834-6A32-45EC-90A7-A000DA63EEFE}" name="Column13910"/>
    <tableColumn id="13917" xr3:uid="{5D8613C1-C1F1-4365-841A-A517F235E891}" name="Column13911"/>
    <tableColumn id="13918" xr3:uid="{3350B029-10BE-4028-8BA9-EF12C0864F4F}" name="Column13912"/>
    <tableColumn id="13919" xr3:uid="{6D4F3389-D5FE-4054-8852-DFA6DC43A6C1}" name="Column13913"/>
    <tableColumn id="13920" xr3:uid="{B019A099-96F7-48B8-BC68-18C9F5A4B108}" name="Column13914"/>
    <tableColumn id="13921" xr3:uid="{DB1D0E85-442D-4AE3-BA66-CA998C7889DD}" name="Column13915"/>
    <tableColumn id="13922" xr3:uid="{22001976-036F-406A-B844-0D516045FA43}" name="Column13916"/>
    <tableColumn id="13923" xr3:uid="{0465AFAC-E685-4052-A884-6FDCDCBCFBB6}" name="Column13917"/>
    <tableColumn id="13924" xr3:uid="{40AB1290-8E70-4FCF-ADA5-12A3915F3BD2}" name="Column13918"/>
    <tableColumn id="13925" xr3:uid="{77587CD6-90C7-488B-BA14-6FD01412CDA3}" name="Column13919"/>
    <tableColumn id="13926" xr3:uid="{DD79CE53-3A6C-4174-A16C-5FC31B4D1390}" name="Column13920"/>
    <tableColumn id="13927" xr3:uid="{CE018B44-2A89-420B-9097-A6AA1349A76B}" name="Column13921"/>
    <tableColumn id="13928" xr3:uid="{4E9346B9-4338-4656-BD15-113F998B61AE}" name="Column13922"/>
    <tableColumn id="13929" xr3:uid="{BE4D1D2E-9636-4F32-A992-2C6DA6DDD992}" name="Column13923"/>
    <tableColumn id="13930" xr3:uid="{B8376EE1-68C0-4CD0-89A7-DB9CFE4414F9}" name="Column13924"/>
    <tableColumn id="13931" xr3:uid="{88BE5FF9-32BB-4676-A6C4-6B3A5B84A246}" name="Column13925"/>
    <tableColumn id="13932" xr3:uid="{716CF205-EE22-4579-AA57-449B7E4DFBB7}" name="Column13926"/>
    <tableColumn id="13933" xr3:uid="{A01F3ACE-6340-4A37-A2F4-F5AB64BA678D}" name="Column13927"/>
    <tableColumn id="13934" xr3:uid="{2142AD88-5773-4C83-BA33-C53F6383E506}" name="Column13928"/>
    <tableColumn id="13935" xr3:uid="{2D84BA00-D784-43BE-B825-32C0DB91769F}" name="Column13929"/>
    <tableColumn id="13936" xr3:uid="{07604CF2-DC97-4BCA-9DD6-FEE765003B4F}" name="Column13930"/>
    <tableColumn id="13937" xr3:uid="{B98F0392-B614-441E-8EB3-0C4164E3E635}" name="Column13931"/>
    <tableColumn id="13938" xr3:uid="{70AAA9C7-4B71-4AA0-852E-06CCB3A3B402}" name="Column13932"/>
    <tableColumn id="13939" xr3:uid="{8873E879-74A6-4E8A-B0D2-3604FF999906}" name="Column13933"/>
    <tableColumn id="13940" xr3:uid="{E375EC5D-5CD0-443D-BA1C-AFD1666762A2}" name="Column13934"/>
    <tableColumn id="13941" xr3:uid="{BD50B2D9-7C7A-44E5-9422-C47B23C85722}" name="Column13935"/>
    <tableColumn id="13942" xr3:uid="{8F757A7F-026D-481C-9E08-998C93771F48}" name="Column13936"/>
    <tableColumn id="13943" xr3:uid="{211F651E-4640-4822-AC55-EDCA46D5103F}" name="Column13937"/>
    <tableColumn id="13944" xr3:uid="{5606D39F-5800-4073-A938-2037337FC1F1}" name="Column13938"/>
    <tableColumn id="13945" xr3:uid="{D013F955-18DA-456A-A0D3-37978BE4D94A}" name="Column13939"/>
    <tableColumn id="13946" xr3:uid="{5230CF8F-6B9A-4105-B572-BA19BF440DAB}" name="Column13940"/>
    <tableColumn id="13947" xr3:uid="{9CDEFC01-EEBD-4F00-BA5E-2CEBFA09A609}" name="Column13941"/>
    <tableColumn id="13948" xr3:uid="{C26E7822-74EA-481E-B7BF-FCF2D4787EC3}" name="Column13942"/>
    <tableColumn id="13949" xr3:uid="{6B94808D-D915-486E-82A8-FC8E76578656}" name="Column13943"/>
    <tableColumn id="13950" xr3:uid="{0AAF7F82-9170-4D4D-BF85-68BF53F947B0}" name="Column13944"/>
    <tableColumn id="13951" xr3:uid="{1ECBACAE-3449-4D2F-AEE0-7D7C5153AF6F}" name="Column13945"/>
    <tableColumn id="13952" xr3:uid="{9E866BCF-AB2A-420B-94FD-78D9A8332CCE}" name="Column13946"/>
    <tableColumn id="13953" xr3:uid="{BEDBA543-53B1-4875-A2E5-BB4C96659EFA}" name="Column13947"/>
    <tableColumn id="13954" xr3:uid="{08468DEA-AC49-46DE-9863-C66F7C1B90E1}" name="Column13948"/>
    <tableColumn id="13955" xr3:uid="{1E06D6A1-B048-4546-91BF-571463B38023}" name="Column13949"/>
    <tableColumn id="13956" xr3:uid="{25F926AE-3C63-4B38-9520-557C2C7DF728}" name="Column13950"/>
    <tableColumn id="13957" xr3:uid="{C5B502F1-1B1C-4E48-8E9B-A652B1822004}" name="Column13951"/>
    <tableColumn id="13958" xr3:uid="{5C8B05A8-BDA0-4097-827C-B8637BFF67E2}" name="Column13952"/>
    <tableColumn id="13959" xr3:uid="{6262AB64-4181-4D4E-B537-76EE7A594C3A}" name="Column13953"/>
    <tableColumn id="13960" xr3:uid="{E7A5A2EC-928D-485C-977A-4E8764C13F42}" name="Column13954"/>
    <tableColumn id="13961" xr3:uid="{0077AA1A-1940-4AF2-9466-6109B6259ABE}" name="Column13955"/>
    <tableColumn id="13962" xr3:uid="{BBC9EBBA-0B1F-4543-86E3-7B91936B796E}" name="Column13956"/>
    <tableColumn id="13963" xr3:uid="{80858FBA-6297-451F-9236-1836932C339C}" name="Column13957"/>
    <tableColumn id="13964" xr3:uid="{E411CF53-212A-4FDD-8B28-B444F9FCBD35}" name="Column13958"/>
    <tableColumn id="13965" xr3:uid="{C2EBF2B5-B554-4BC2-8169-D15C9628DAFE}" name="Column13959"/>
    <tableColumn id="13966" xr3:uid="{A442DD96-D1BA-45E4-99DC-D6059EE7BA9B}" name="Column13960"/>
    <tableColumn id="13967" xr3:uid="{064400BC-2ECA-4567-8EC6-72C57FD43239}" name="Column13961"/>
    <tableColumn id="13968" xr3:uid="{7A740538-F53C-418C-935B-7E3764848B77}" name="Column13962"/>
    <tableColumn id="13969" xr3:uid="{AF8601E6-BC68-4343-A1E4-35BF8FF0BF59}" name="Column13963"/>
    <tableColumn id="13970" xr3:uid="{B7CE744F-BDF8-4554-B87C-80441AB7ACA8}" name="Column13964"/>
    <tableColumn id="13971" xr3:uid="{43AECD03-7DC7-4100-B1F4-95ECCDCB8612}" name="Column13965"/>
    <tableColumn id="13972" xr3:uid="{37275A27-F27F-487D-8450-D0C3EE7262F0}" name="Column13966"/>
    <tableColumn id="13973" xr3:uid="{EB73B12C-8E41-4673-9A3F-E5CFCBCF1E2D}" name="Column13967"/>
    <tableColumn id="13974" xr3:uid="{1DDE19A4-1159-4CD2-8935-8AB0B963A5BC}" name="Column13968"/>
    <tableColumn id="13975" xr3:uid="{35178F3C-1E5C-4CD5-953C-0CA82E1DD37B}" name="Column13969"/>
    <tableColumn id="13976" xr3:uid="{94F666A4-6F2B-4D52-83A2-E26914A3FD5D}" name="Column13970"/>
    <tableColumn id="13977" xr3:uid="{5B13DBA2-404B-4AD4-9FE7-27C839619B2E}" name="Column13971"/>
    <tableColumn id="13978" xr3:uid="{5998E2FD-3CE9-4D6E-9203-CACF682C51D0}" name="Column13972"/>
    <tableColumn id="13979" xr3:uid="{AC8984EB-A9B6-40D3-B050-488729CEE5B6}" name="Column13973"/>
    <tableColumn id="13980" xr3:uid="{E3F19C4E-C066-48AE-88F9-71FAB79F88BD}" name="Column13974"/>
    <tableColumn id="13981" xr3:uid="{76070C5A-FD01-45C2-8451-B4EAA8596D15}" name="Column13975"/>
    <tableColumn id="13982" xr3:uid="{14C92CE8-CBE6-4AE1-8DA4-5EF59A4D55DD}" name="Column13976"/>
    <tableColumn id="13983" xr3:uid="{CEBFEFD6-2390-432B-BA9D-2AA994289808}" name="Column13977"/>
    <tableColumn id="13984" xr3:uid="{2CC3D650-428E-42F1-8546-E8A49A5CD30D}" name="Column13978"/>
    <tableColumn id="13985" xr3:uid="{944C1706-808A-43A2-97BA-9CA22173A5B8}" name="Column13979"/>
    <tableColumn id="13986" xr3:uid="{72BBE91F-86B9-417C-99EF-6D9FBBADF4D6}" name="Column13980"/>
    <tableColumn id="13987" xr3:uid="{E9845847-BEBC-4A40-874D-49B275FFD1FD}" name="Column13981"/>
    <tableColumn id="13988" xr3:uid="{4ACD1020-DC7E-4778-9EC6-746C67B4CBA2}" name="Column13982"/>
    <tableColumn id="13989" xr3:uid="{DE4A1077-4D83-4B70-B53D-A3A1E0562C8F}" name="Column13983"/>
    <tableColumn id="13990" xr3:uid="{2AD2E51F-E627-4164-9C91-7E99B45B4EDF}" name="Column13984"/>
    <tableColumn id="13991" xr3:uid="{64021735-4300-482D-BB4A-A4EA18FB0BE4}" name="Column13985"/>
    <tableColumn id="13992" xr3:uid="{4FEA9308-808A-445E-809D-BFE66F635039}" name="Column13986"/>
    <tableColumn id="13993" xr3:uid="{BFFF99E8-E157-4150-A47F-3AF69B96372D}" name="Column13987"/>
    <tableColumn id="13994" xr3:uid="{D4E5841C-FDD1-4494-B172-62F41F46E850}" name="Column13988"/>
    <tableColumn id="13995" xr3:uid="{1667AC18-A08F-47C1-9C00-80C15A01258B}" name="Column13989"/>
    <tableColumn id="13996" xr3:uid="{14A9DB3A-B7C6-4570-B9C2-15D0E9DE48D2}" name="Column13990"/>
    <tableColumn id="13997" xr3:uid="{3CF39279-ECEB-4541-9C48-54E31E294A97}" name="Column13991"/>
    <tableColumn id="13998" xr3:uid="{04CA7FD3-691B-4581-AE9D-00F01D758C26}" name="Column13992"/>
    <tableColumn id="13999" xr3:uid="{D9814254-C91F-405C-A400-D7E2A60E349D}" name="Column13993"/>
    <tableColumn id="14000" xr3:uid="{F9B1CD29-8090-4AB2-90E7-17D55F3E6633}" name="Column13994"/>
    <tableColumn id="14001" xr3:uid="{16569EF8-15E1-41F1-9A05-3A25668439C5}" name="Column13995"/>
    <tableColumn id="14002" xr3:uid="{216F229D-04AD-42E9-BC80-6D4B20B1A7C5}" name="Column13996"/>
    <tableColumn id="14003" xr3:uid="{0F714B07-FE33-41B8-BB02-E139895C87E0}" name="Column13997"/>
    <tableColumn id="14004" xr3:uid="{C8B948E7-D538-4527-B412-CE1289BF6E2A}" name="Column13998"/>
    <tableColumn id="14005" xr3:uid="{61D3BB66-064D-4583-A81E-F9FC6744C3BF}" name="Column13999"/>
    <tableColumn id="14006" xr3:uid="{ADC54621-AF74-436B-948A-1730EC04930C}" name="Column14000"/>
    <tableColumn id="14007" xr3:uid="{419E3B16-EA35-4A92-9BF7-4DFA60391A24}" name="Column14001"/>
    <tableColumn id="14008" xr3:uid="{D82EC986-F1FC-4C23-88CE-0EAA2B15FC71}" name="Column14002"/>
    <tableColumn id="14009" xr3:uid="{4949E87F-AA6D-4EC3-9C68-9EC4F99CF931}" name="Column14003"/>
    <tableColumn id="14010" xr3:uid="{92393ADE-AA4C-4D10-B942-6F552BA432E3}" name="Column14004"/>
    <tableColumn id="14011" xr3:uid="{2DAC6601-1859-451F-9149-E6963AD1C1FF}" name="Column14005"/>
    <tableColumn id="14012" xr3:uid="{7882CDC6-1C05-449E-A146-A505DF1B83A7}" name="Column14006"/>
    <tableColumn id="14013" xr3:uid="{93FFC7E7-CEAA-4F06-9523-1407563727D3}" name="Column14007"/>
    <tableColumn id="14014" xr3:uid="{164EA620-3C86-4EF3-AC05-D0CDBF613684}" name="Column14008"/>
    <tableColumn id="14015" xr3:uid="{5892FCAA-5929-471B-8BE5-44D2AE08910F}" name="Column14009"/>
    <tableColumn id="14016" xr3:uid="{551BDD77-E328-42A3-B215-2015FF3CACE1}" name="Column14010"/>
    <tableColumn id="14017" xr3:uid="{55546095-EAA3-40B8-A42C-C532AA0EEDF3}" name="Column14011"/>
    <tableColumn id="14018" xr3:uid="{C007F5B5-EC86-4765-BDD7-2A9B48624F90}" name="Column14012"/>
    <tableColumn id="14019" xr3:uid="{9F923259-3749-4ACD-8F67-2F1F37C47039}" name="Column14013"/>
    <tableColumn id="14020" xr3:uid="{16047EE4-C798-4B10-9188-03A103DCB745}" name="Column14014"/>
    <tableColumn id="14021" xr3:uid="{D291396F-898C-4D37-B45C-A3B23530A1B7}" name="Column14015"/>
    <tableColumn id="14022" xr3:uid="{ED44DE63-9861-4B63-84EF-E69274E49DC6}" name="Column14016"/>
    <tableColumn id="14023" xr3:uid="{920055A0-1B4E-4C70-AD89-6F8727B10B23}" name="Column14017"/>
    <tableColumn id="14024" xr3:uid="{28FDDCA4-EC87-4268-B273-922F1133EC0C}" name="Column14018"/>
    <tableColumn id="14025" xr3:uid="{8C76AAE8-D7A9-4996-B1BB-D919279C2280}" name="Column14019"/>
    <tableColumn id="14026" xr3:uid="{61F8BB06-7CBC-4A00-B301-9A30383613C8}" name="Column14020"/>
    <tableColumn id="14027" xr3:uid="{29DFFDAB-0C4A-4AAB-A680-0958A7B12FF3}" name="Column14021"/>
    <tableColumn id="14028" xr3:uid="{117B97E1-3252-43CE-A8C3-684393198A02}" name="Column14022"/>
    <tableColumn id="14029" xr3:uid="{62E16F09-CD9B-4F1B-8693-13B24DF464BB}" name="Column14023"/>
    <tableColumn id="14030" xr3:uid="{2B303F14-A7B7-47AD-AFF6-20EFB6D0BDEF}" name="Column14024"/>
    <tableColumn id="14031" xr3:uid="{4D13DF5C-F3E0-43B5-AD0F-5533D72069A5}" name="Column14025"/>
    <tableColumn id="14032" xr3:uid="{5D57602B-953E-4FD6-BD4C-24E997B830A4}" name="Column14026"/>
    <tableColumn id="14033" xr3:uid="{943CB8F3-4A8C-4555-AD3F-9B9ED7E17D38}" name="Column14027"/>
    <tableColumn id="14034" xr3:uid="{F210035A-38C6-4D1C-A222-10FCDE7CA64A}" name="Column14028"/>
    <tableColumn id="14035" xr3:uid="{C872C7C0-96D2-4406-874A-4083D1578F51}" name="Column14029"/>
    <tableColumn id="14036" xr3:uid="{5B27DB20-BA3D-458C-A9A1-0FB6F3B4BCB1}" name="Column14030"/>
    <tableColumn id="14037" xr3:uid="{5CEA57FB-AF20-45F9-8840-F6DB6ED19A4E}" name="Column14031"/>
    <tableColumn id="14038" xr3:uid="{3F140B20-CD1A-41AA-B37B-70CE00F16B3D}" name="Column14032"/>
    <tableColumn id="14039" xr3:uid="{B44FC78A-A884-43AC-AAE5-4023A76F0A9C}" name="Column14033"/>
    <tableColumn id="14040" xr3:uid="{661657DD-AB70-4036-B351-72AA1CDB2749}" name="Column14034"/>
    <tableColumn id="14041" xr3:uid="{F6D5190C-D42A-4197-B06F-EDA731941645}" name="Column14035"/>
    <tableColumn id="14042" xr3:uid="{DCB5714C-4AD0-4FCB-ACCF-F53E5D7AF33B}" name="Column14036"/>
    <tableColumn id="14043" xr3:uid="{106E1988-CA23-407E-A542-CDFF3AF2B851}" name="Column14037"/>
    <tableColumn id="14044" xr3:uid="{52404885-E4FB-4B2E-BCD7-B56C080698EA}" name="Column14038"/>
    <tableColumn id="14045" xr3:uid="{3F629137-7319-424E-B002-6AC0A042FCC2}" name="Column14039"/>
    <tableColumn id="14046" xr3:uid="{6814D488-8AE4-4861-A08C-47DA246CB5A8}" name="Column14040"/>
    <tableColumn id="14047" xr3:uid="{0A96740C-06D3-4BFE-886B-278E7B80E9B8}" name="Column14041"/>
    <tableColumn id="14048" xr3:uid="{3B8AA4E1-1192-4A03-8D35-7E61093AA759}" name="Column14042"/>
    <tableColumn id="14049" xr3:uid="{6207F343-0FAF-4A7F-A0A8-62B1EE881131}" name="Column14043"/>
    <tableColumn id="14050" xr3:uid="{240F7377-3FB7-48F5-A764-9802B4BEF1CD}" name="Column14044"/>
    <tableColumn id="14051" xr3:uid="{62A4A553-13E5-4DB2-8D1E-608371F63F72}" name="Column14045"/>
    <tableColumn id="14052" xr3:uid="{1685B84A-B7ED-48B9-B2AD-46F688D797CE}" name="Column14046"/>
    <tableColumn id="14053" xr3:uid="{99363A28-45AE-4F45-BC5F-8DDABFF1CB33}" name="Column14047"/>
    <tableColumn id="14054" xr3:uid="{DC8333DD-DE61-4A5C-AF03-6F4736E28564}" name="Column14048"/>
    <tableColumn id="14055" xr3:uid="{08FAEFF0-8CA1-437B-B087-99336A10191B}" name="Column14049"/>
    <tableColumn id="14056" xr3:uid="{78D05F4E-D3CF-4929-B10B-A2EAE0718E16}" name="Column14050"/>
    <tableColumn id="14057" xr3:uid="{BD430CAF-0EC9-4AE6-8E50-96554CC65D79}" name="Column14051"/>
    <tableColumn id="14058" xr3:uid="{0CA12500-7451-49DC-95C0-0CC8A85CF04A}" name="Column14052"/>
    <tableColumn id="14059" xr3:uid="{105A2098-0B0A-4E9F-BC3A-65D7C6349D34}" name="Column14053"/>
    <tableColumn id="14060" xr3:uid="{6B0F27F6-3DB9-4760-B530-D9D0D0F1ADC5}" name="Column14054"/>
    <tableColumn id="14061" xr3:uid="{0D0545B1-1866-4400-925C-189CE0B680EA}" name="Column14055"/>
    <tableColumn id="14062" xr3:uid="{3CD949CE-A76F-47D2-AFE5-67E540924063}" name="Column14056"/>
    <tableColumn id="14063" xr3:uid="{30AFC035-E618-4335-8E77-9D485E4AFF76}" name="Column14057"/>
    <tableColumn id="14064" xr3:uid="{4D71E81E-D3F4-4B80-AB43-D2A485598D7E}" name="Column14058"/>
    <tableColumn id="14065" xr3:uid="{525491EF-F79C-47F2-9DF9-740DDE47628F}" name="Column14059"/>
    <tableColumn id="14066" xr3:uid="{905FBB66-3437-4CC0-8B11-0950DBFD0B1E}" name="Column14060"/>
    <tableColumn id="14067" xr3:uid="{8E54D0D2-FB70-4A02-B98E-34E9B8FAA973}" name="Column14061"/>
    <tableColumn id="14068" xr3:uid="{A024231F-3471-4FFC-AB92-1D0ECE156CC4}" name="Column14062"/>
    <tableColumn id="14069" xr3:uid="{12E7B47C-F980-482C-A214-1885FD9C604C}" name="Column14063"/>
    <tableColumn id="14070" xr3:uid="{FBF1658F-1125-4D3B-AEE7-0D6DB9DB7567}" name="Column14064"/>
    <tableColumn id="14071" xr3:uid="{874A581E-6D6A-4CE2-B774-3910D10EB31B}" name="Column14065"/>
    <tableColumn id="14072" xr3:uid="{CBF0EC9C-E5C5-49FB-8773-2C104D401CF5}" name="Column14066"/>
    <tableColumn id="14073" xr3:uid="{7DAE8468-1953-4058-AFC3-44946F0628D7}" name="Column14067"/>
    <tableColumn id="14074" xr3:uid="{7581B6AE-F1A2-46F9-86B4-0F239BB5E6F5}" name="Column14068"/>
    <tableColumn id="14075" xr3:uid="{586AC496-AD40-498B-B397-13F6CF84E8B9}" name="Column14069"/>
    <tableColumn id="14076" xr3:uid="{A5A53AF6-2BC8-48E5-A7FF-A6DA99242436}" name="Column14070"/>
    <tableColumn id="14077" xr3:uid="{8D70F018-3BB6-4A41-826F-D4803BBA798C}" name="Column14071"/>
    <tableColumn id="14078" xr3:uid="{562708FC-342E-41AC-90D5-B48C652DD482}" name="Column14072"/>
    <tableColumn id="14079" xr3:uid="{EDB3BEC4-2444-4BEC-9A24-EF66C1AF2E0F}" name="Column14073"/>
    <tableColumn id="14080" xr3:uid="{EFAFB869-5FB6-4F88-A110-A8F1764E6746}" name="Column14074"/>
    <tableColumn id="14081" xr3:uid="{40676DE0-CC38-486B-AF48-106D0F98C669}" name="Column14075"/>
    <tableColumn id="14082" xr3:uid="{A2CE37EA-B7A8-437C-B4BD-C0B7AB64F2B1}" name="Column14076"/>
    <tableColumn id="14083" xr3:uid="{36E3ED0D-2B2E-4948-9ED7-E60EE75829E5}" name="Column14077"/>
    <tableColumn id="14084" xr3:uid="{425F005D-8A4C-4FB0-9A5B-E397F1EE904F}" name="Column14078"/>
    <tableColumn id="14085" xr3:uid="{DD87980A-4907-4E53-94F8-A18A9193D815}" name="Column14079"/>
    <tableColumn id="14086" xr3:uid="{7FAABC53-16F7-492F-B3C0-31138B59A405}" name="Column14080"/>
    <tableColumn id="14087" xr3:uid="{0415C9EF-42DE-42C3-B43F-FEA6DDF050D3}" name="Column14081"/>
    <tableColumn id="14088" xr3:uid="{3A91FAFD-1D36-4FA5-BB75-19A01478AAFD}" name="Column14082"/>
    <tableColumn id="14089" xr3:uid="{32B5E28F-DA55-4D6F-B085-28B2470E9A4A}" name="Column14083"/>
    <tableColumn id="14090" xr3:uid="{9A110F2F-7E52-42F1-93CC-D69EABA44770}" name="Column14084"/>
    <tableColumn id="14091" xr3:uid="{4EDB6EF3-4A0C-472E-8EB8-FAA721DAE469}" name="Column14085"/>
    <tableColumn id="14092" xr3:uid="{0B1B33F3-2C22-4CFD-A585-E47CBAA7E741}" name="Column14086"/>
    <tableColumn id="14093" xr3:uid="{D170F757-5FE6-4BAE-BCF2-C00F693CE8D8}" name="Column14087"/>
    <tableColumn id="14094" xr3:uid="{FAA1273E-ACF0-4AFD-8191-38DB64769478}" name="Column14088"/>
    <tableColumn id="14095" xr3:uid="{B390E90E-81E2-45E4-A2CA-D38D00EAEB59}" name="Column14089"/>
    <tableColumn id="14096" xr3:uid="{22A394B5-C46D-4AC9-A157-54003565A079}" name="Column14090"/>
    <tableColumn id="14097" xr3:uid="{CC89CB78-4D20-40D1-A1F6-32A006AC1118}" name="Column14091"/>
    <tableColumn id="14098" xr3:uid="{AB588C94-321E-4637-8C92-CC1544EB1720}" name="Column14092"/>
    <tableColumn id="14099" xr3:uid="{658B1207-86DB-4A4D-B2FB-1D7E112CA52B}" name="Column14093"/>
    <tableColumn id="14100" xr3:uid="{CF132843-63A1-4823-A3F0-B162576F5D0A}" name="Column14094"/>
    <tableColumn id="14101" xr3:uid="{19BE79E2-CF47-4A63-8403-69ACF4E3C74D}" name="Column14095"/>
    <tableColumn id="14102" xr3:uid="{B30D7EC8-9972-4F01-B7F4-0A5B2546C164}" name="Column14096"/>
    <tableColumn id="14103" xr3:uid="{8EB39B6A-9A46-4954-A043-56967480B0E2}" name="Column14097"/>
    <tableColumn id="14104" xr3:uid="{2F7F2BC2-D22C-4E02-8530-B150B409C6F1}" name="Column14098"/>
    <tableColumn id="14105" xr3:uid="{89930C98-AF81-457B-9DB9-9B9FE10EDF3E}" name="Column14099"/>
    <tableColumn id="14106" xr3:uid="{AD6F136C-E3DD-4F90-A1C8-FCA68AE04046}" name="Column14100"/>
    <tableColumn id="14107" xr3:uid="{A533BFD7-759A-499E-9C24-A909A88728FF}" name="Column14101"/>
    <tableColumn id="14108" xr3:uid="{B7DB3AEF-780C-4A08-B2E9-37389CA3EA8D}" name="Column14102"/>
    <tableColumn id="14109" xr3:uid="{4A5FC8C9-FA60-49A4-ADFA-DA8C6B5A74A9}" name="Column14103"/>
    <tableColumn id="14110" xr3:uid="{9D4DBFBE-5458-4907-89BB-1CBD5A0EEF09}" name="Column14104"/>
    <tableColumn id="14111" xr3:uid="{13D41F13-26BE-41E5-9300-CACD81D271C6}" name="Column14105"/>
    <tableColumn id="14112" xr3:uid="{44045398-0DF4-4B59-B576-8515EED611A0}" name="Column14106"/>
    <tableColumn id="14113" xr3:uid="{E4673185-B39F-4A2C-8F97-13840A7572BA}" name="Column14107"/>
    <tableColumn id="14114" xr3:uid="{A8E56FDB-01A5-4152-8859-951074620F10}" name="Column14108"/>
    <tableColumn id="14115" xr3:uid="{A20B1909-5A45-4B6C-AECB-5F5FD7CA1B7C}" name="Column14109"/>
    <tableColumn id="14116" xr3:uid="{5E784B5F-2607-4447-A0D0-79E60B90224B}" name="Column14110"/>
    <tableColumn id="14117" xr3:uid="{D9A1939B-2B95-4134-A195-B18CE2B1ACF9}" name="Column14111"/>
    <tableColumn id="14118" xr3:uid="{5176C2B5-2893-47C5-A6BB-3E4C0611536B}" name="Column14112"/>
    <tableColumn id="14119" xr3:uid="{16F7A280-2353-4D90-B448-6EB748F5F895}" name="Column14113"/>
    <tableColumn id="14120" xr3:uid="{06BCD411-C718-476D-B734-567E3CB02D67}" name="Column14114"/>
    <tableColumn id="14121" xr3:uid="{E1A01B42-D96F-4BD7-9183-69EC094F542D}" name="Column14115"/>
    <tableColumn id="14122" xr3:uid="{3A977FCB-3900-439D-A0CD-4C2923A7D921}" name="Column14116"/>
    <tableColumn id="14123" xr3:uid="{4DAAC83A-5B50-4AC8-967B-0241D813B258}" name="Column14117"/>
    <tableColumn id="14124" xr3:uid="{CAC2F80C-73AC-4FB1-8978-28F64B46653B}" name="Column14118"/>
    <tableColumn id="14125" xr3:uid="{D63C03A8-DF60-4B79-B2AE-7263D7F57D00}" name="Column14119"/>
    <tableColumn id="14126" xr3:uid="{23B0CAA6-DE06-4EDE-99E1-30D4B7DA1655}" name="Column14120"/>
    <tableColumn id="14127" xr3:uid="{0DE0C255-D15F-452B-AD5A-33B16A1248FA}" name="Column14121"/>
    <tableColumn id="14128" xr3:uid="{D3E75490-C17C-4160-AADB-D62752AA5409}" name="Column14122"/>
    <tableColumn id="14129" xr3:uid="{CD57FFDB-4E64-4F72-936D-C62A8E1470B8}" name="Column14123"/>
    <tableColumn id="14130" xr3:uid="{556AA48A-70FC-44B1-A389-B0196D2A1FD7}" name="Column14124"/>
    <tableColumn id="14131" xr3:uid="{ADF59E39-76AB-452B-9DF8-0A647DB92510}" name="Column14125"/>
    <tableColumn id="14132" xr3:uid="{A240DAF6-6145-49B9-99D3-2B033619251F}" name="Column14126"/>
    <tableColumn id="14133" xr3:uid="{AA659138-4D5A-406E-BEC4-0268D32E392F}" name="Column14127"/>
    <tableColumn id="14134" xr3:uid="{5451BED7-9FBA-46F7-A6B3-B4A466BF56CF}" name="Column14128"/>
    <tableColumn id="14135" xr3:uid="{B0646D5D-6583-4A10-90B5-AFE200B1450B}" name="Column14129"/>
    <tableColumn id="14136" xr3:uid="{A78059BF-D6FF-43E2-92BE-E843ECF259D7}" name="Column14130"/>
    <tableColumn id="14137" xr3:uid="{00CE14AC-6DCA-4BD9-8F47-89C2C5B9E113}" name="Column14131"/>
    <tableColumn id="14138" xr3:uid="{2EAF4507-A44E-4ED0-81C6-A136D195FEE7}" name="Column14132"/>
    <tableColumn id="14139" xr3:uid="{EEC13B7E-D51D-43ED-AA44-92C9F018239D}" name="Column14133"/>
    <tableColumn id="14140" xr3:uid="{145DE0DF-8377-4118-9334-6EEDC0490C19}" name="Column14134"/>
    <tableColumn id="14141" xr3:uid="{392B7188-8E45-4673-8A22-65D2C236EFBB}" name="Column14135"/>
    <tableColumn id="14142" xr3:uid="{C01A49D5-AFAA-41C9-A4BD-4287822FACCE}" name="Column14136"/>
    <tableColumn id="14143" xr3:uid="{9CF0D60E-E154-4E84-AE00-E7023C237CD4}" name="Column14137"/>
    <tableColumn id="14144" xr3:uid="{4C8F9608-C317-4E01-9FE2-E73DA616246B}" name="Column14138"/>
    <tableColumn id="14145" xr3:uid="{5B78E2A1-F355-4CD7-A63C-7B3CBE67825D}" name="Column14139"/>
    <tableColumn id="14146" xr3:uid="{B8779CC2-A035-4DD7-998E-4EE8420F90F4}" name="Column14140"/>
    <tableColumn id="14147" xr3:uid="{B60A68D7-D6B7-4B26-B623-1E6B4A706F85}" name="Column14141"/>
    <tableColumn id="14148" xr3:uid="{2D03E238-1503-45BE-A74B-2A8DE3C0CF3B}" name="Column14142"/>
    <tableColumn id="14149" xr3:uid="{8BFFF7F4-0C06-4D83-89FB-C2CF0D9EE021}" name="Column14143"/>
    <tableColumn id="14150" xr3:uid="{2087254C-9E63-4AF0-A83F-E8C215A66886}" name="Column14144"/>
    <tableColumn id="14151" xr3:uid="{5FA0FBF3-B24F-4C09-8C5C-3F520E060182}" name="Column14145"/>
    <tableColumn id="14152" xr3:uid="{4CC470AE-67FE-4DBE-B0C0-257448423C9C}" name="Column14146"/>
    <tableColumn id="14153" xr3:uid="{5F9652AB-FE13-4719-986B-57F456E6F1F2}" name="Column14147"/>
    <tableColumn id="14154" xr3:uid="{F4315025-4FFE-4AFF-8F80-651DAFE2080D}" name="Column14148"/>
    <tableColumn id="14155" xr3:uid="{69ADE03E-DD16-4AEC-954E-932BD08EC06B}" name="Column14149"/>
    <tableColumn id="14156" xr3:uid="{52A91730-707B-44B8-B827-ACE0ABC68854}" name="Column14150"/>
    <tableColumn id="14157" xr3:uid="{24643DBC-7AC5-4DD2-9679-F9BCE5D4EC5A}" name="Column14151"/>
    <tableColumn id="14158" xr3:uid="{835635AB-CFF1-4EA5-AC56-15BF791120BA}" name="Column14152"/>
    <tableColumn id="14159" xr3:uid="{4EAD6039-62F3-4FB6-A154-310941914D65}" name="Column14153"/>
    <tableColumn id="14160" xr3:uid="{4BEA3840-7497-4FE5-8629-71F156CEA38D}" name="Column14154"/>
    <tableColumn id="14161" xr3:uid="{4986B1CD-9A79-4B21-904D-68EB109C09C3}" name="Column14155"/>
    <tableColumn id="14162" xr3:uid="{AB4FAC32-CDCA-447D-9F64-F060F301E015}" name="Column14156"/>
    <tableColumn id="14163" xr3:uid="{8A392A3C-E047-4244-B0B1-977FF1E8BFFE}" name="Column14157"/>
    <tableColumn id="14164" xr3:uid="{2004ED90-D586-4011-A864-8DF501C3593A}" name="Column14158"/>
    <tableColumn id="14165" xr3:uid="{702E4712-5093-450A-8B0D-445EEF81BACC}" name="Column14159"/>
    <tableColumn id="14166" xr3:uid="{FE36C6C8-DC97-4388-B4A4-5457EF69DE96}" name="Column14160"/>
    <tableColumn id="14167" xr3:uid="{10DFB206-E2CF-4107-AA46-76D75E107F51}" name="Column14161"/>
    <tableColumn id="14168" xr3:uid="{D8035C50-B386-4E85-A017-4B1E323C73AF}" name="Column14162"/>
    <tableColumn id="14169" xr3:uid="{264105B7-1717-45F3-B838-5199EEB2FAB8}" name="Column14163"/>
    <tableColumn id="14170" xr3:uid="{4CC5D7E9-8ACC-4BD6-8CDE-1E83EA82EB1C}" name="Column14164"/>
    <tableColumn id="14171" xr3:uid="{DF9C0DB5-9C54-4785-B29F-4BA76C1E78D0}" name="Column14165"/>
    <tableColumn id="14172" xr3:uid="{31860963-1DED-4CC9-9F54-F418CE2024EB}" name="Column14166"/>
    <tableColumn id="14173" xr3:uid="{77C007FE-3E69-4F4A-939F-CF0408378873}" name="Column14167"/>
    <tableColumn id="14174" xr3:uid="{BA1BCDB0-C16C-402C-A444-C2A978C5B416}" name="Column14168"/>
    <tableColumn id="14175" xr3:uid="{982E4D7E-358B-40D6-BE88-D82A72CDDD1A}" name="Column14169"/>
    <tableColumn id="14176" xr3:uid="{60E3960C-5665-4DA4-8E7C-B98DB0D7AAD0}" name="Column14170"/>
    <tableColumn id="14177" xr3:uid="{C86D57F6-237E-44B5-929A-D9D70A9682B1}" name="Column14171"/>
    <tableColumn id="14178" xr3:uid="{41C01C0E-676C-4A49-A33B-6E25CF05F91F}" name="Column14172"/>
    <tableColumn id="14179" xr3:uid="{DFB85096-D449-4AC5-8BC7-E1C77A699E48}" name="Column14173"/>
    <tableColumn id="14180" xr3:uid="{3E063B69-1B4D-4F7E-A1C4-FC812E35D327}" name="Column14174"/>
    <tableColumn id="14181" xr3:uid="{D10A8CC4-8893-4265-BDF8-CEDE1F38E992}" name="Column14175"/>
    <tableColumn id="14182" xr3:uid="{0CC1316B-5F9E-40E5-B45E-D6BE73487FB4}" name="Column14176"/>
    <tableColumn id="14183" xr3:uid="{9D90265C-563E-4DC9-B14D-9B6D082CA65A}" name="Column14177"/>
    <tableColumn id="14184" xr3:uid="{10ED6FFC-D104-4A70-8619-27E7F86F2C0B}" name="Column14178"/>
    <tableColumn id="14185" xr3:uid="{19699762-5D5B-465F-951D-C84D28A5E47B}" name="Column14179"/>
    <tableColumn id="14186" xr3:uid="{DF49621A-E402-4747-B62D-F64033022BC1}" name="Column14180"/>
    <tableColumn id="14187" xr3:uid="{33AF8379-C155-43FC-A155-054B0F2CF524}" name="Column14181"/>
    <tableColumn id="14188" xr3:uid="{4A8C68F3-D1C4-46AA-8784-31DF500129F6}" name="Column14182"/>
    <tableColumn id="14189" xr3:uid="{82990852-E7F0-45D6-8757-BDE3728727B6}" name="Column14183"/>
    <tableColumn id="14190" xr3:uid="{95412190-3E39-4349-8160-6CC423A759B1}" name="Column14184"/>
    <tableColumn id="14191" xr3:uid="{6627C2B3-32FC-48AC-B446-B19D0B4EB080}" name="Column14185"/>
    <tableColumn id="14192" xr3:uid="{E2A856C7-C57D-48C2-B284-CDCC7CE0ADC1}" name="Column14186"/>
    <tableColumn id="14193" xr3:uid="{B4C7226F-1699-4E43-868B-3F73447B01CB}" name="Column14187"/>
    <tableColumn id="14194" xr3:uid="{3C236954-9736-416C-AA56-0E929C44D05B}" name="Column14188"/>
    <tableColumn id="14195" xr3:uid="{665896A0-33E1-4BDE-8953-503FA68753F7}" name="Column14189"/>
    <tableColumn id="14196" xr3:uid="{1C3CF9E8-7893-49E6-9476-FDE6AEE2716D}" name="Column14190"/>
    <tableColumn id="14197" xr3:uid="{3836723A-63A9-4614-A77F-969ABA9CBC01}" name="Column14191"/>
    <tableColumn id="14198" xr3:uid="{C84E3F9B-406F-4223-8B85-0BC4BAD51FEC}" name="Column14192"/>
    <tableColumn id="14199" xr3:uid="{DDC21BB5-B595-475C-84C5-B7B537ADB5C2}" name="Column14193"/>
    <tableColumn id="14200" xr3:uid="{16093FF7-1B79-4342-867E-787117795650}" name="Column14194"/>
    <tableColumn id="14201" xr3:uid="{6707F0A9-D8DB-4E1A-A5AE-EAD2B82D7921}" name="Column14195"/>
    <tableColumn id="14202" xr3:uid="{37D81020-B141-4DF5-BDE7-0E0E78E7E292}" name="Column14196"/>
    <tableColumn id="14203" xr3:uid="{7387469E-AB01-4CCD-803A-00F77906D061}" name="Column14197"/>
    <tableColumn id="14204" xr3:uid="{38B771F3-3E67-46EB-AD69-9A210FF28C78}" name="Column14198"/>
    <tableColumn id="14205" xr3:uid="{CC8F62FF-9173-47CE-BD93-8CE4395C1D48}" name="Column14199"/>
    <tableColumn id="14206" xr3:uid="{C1B53E85-CB40-458E-B989-0B647665A4DD}" name="Column14200"/>
    <tableColumn id="14207" xr3:uid="{459C3AD0-9AA4-4599-834E-7B01FFDDDABC}" name="Column14201"/>
    <tableColumn id="14208" xr3:uid="{3B7A3722-D260-4A40-81D3-CF61832708AB}" name="Column14202"/>
    <tableColumn id="14209" xr3:uid="{6CFD0B6F-03EC-4A42-B881-A40B1664D95B}" name="Column14203"/>
    <tableColumn id="14210" xr3:uid="{2EE4B1A0-2372-4E95-9246-C842412CE72B}" name="Column14204"/>
    <tableColumn id="14211" xr3:uid="{56960E48-5E7B-46C7-A87F-7E61265527FF}" name="Column14205"/>
    <tableColumn id="14212" xr3:uid="{D6BF751A-107E-4EC6-92C2-B3C3567D2D62}" name="Column14206"/>
    <tableColumn id="14213" xr3:uid="{90B2743F-56F0-403A-81AA-95954110993E}" name="Column14207"/>
    <tableColumn id="14214" xr3:uid="{CD727DF0-B290-43E4-843E-81E845043F13}" name="Column14208"/>
    <tableColumn id="14215" xr3:uid="{842BC3B3-45AD-40E6-A7D0-249050251C5E}" name="Column14209"/>
    <tableColumn id="14216" xr3:uid="{743B9787-AD50-49B3-9590-714A73406821}" name="Column14210"/>
    <tableColumn id="14217" xr3:uid="{431B94E9-A544-4D3F-ABDE-F7F5FD6FEFE8}" name="Column14211"/>
    <tableColumn id="14218" xr3:uid="{2650E412-8B6C-4780-8D87-8E8E29730627}" name="Column14212"/>
    <tableColumn id="14219" xr3:uid="{951EA2FB-0775-47BC-BBA1-8281123BD6F1}" name="Column14213"/>
    <tableColumn id="14220" xr3:uid="{319A7E35-ADC2-47A1-99BB-C0D02D757B2F}" name="Column14214"/>
    <tableColumn id="14221" xr3:uid="{199457C2-6665-4A44-A318-AE390B3F4A7F}" name="Column14215"/>
    <tableColumn id="14222" xr3:uid="{BC0F9072-6FE0-45B0-BDCD-C266715AADD3}" name="Column14216"/>
    <tableColumn id="14223" xr3:uid="{6410817A-8025-4C95-92BC-46FADBF2475B}" name="Column14217"/>
    <tableColumn id="14224" xr3:uid="{3C166DC9-8CFD-4787-AC53-DB0DC21D8A56}" name="Column14218"/>
    <tableColumn id="14225" xr3:uid="{AA0B5985-FF30-44AE-A4E8-132BE44A525A}" name="Column14219"/>
    <tableColumn id="14226" xr3:uid="{2A28F8FA-4C81-489A-9865-09026E3E39E7}" name="Column14220"/>
    <tableColumn id="14227" xr3:uid="{2F502ACA-9A11-49AE-92F0-4A029338F5C8}" name="Column14221"/>
    <tableColumn id="14228" xr3:uid="{FB7D0844-C838-4DCB-9D74-3A2BE91DB8C9}" name="Column14222"/>
    <tableColumn id="14229" xr3:uid="{4322D7F7-33BB-4D2C-BE94-A1BD0C029126}" name="Column14223"/>
    <tableColumn id="14230" xr3:uid="{28CC69EE-594D-4C4B-9B4E-A5F687EB040C}" name="Column14224"/>
    <tableColumn id="14231" xr3:uid="{DA36DD48-1C4B-4C07-902B-B96A11723C81}" name="Column14225"/>
    <tableColumn id="14232" xr3:uid="{A332BA7B-CB5E-4A0E-9815-BD9AD35C3BAD}" name="Column14226"/>
    <tableColumn id="14233" xr3:uid="{F04F5E2D-BBB2-4691-88C0-90A263A52B2A}" name="Column14227"/>
    <tableColumn id="14234" xr3:uid="{5D9B63D5-6EE9-4B08-AF44-3F68E62C3C9B}" name="Column14228"/>
    <tableColumn id="14235" xr3:uid="{F097A174-45EF-47CB-BD5A-BC28AD261A5F}" name="Column14229"/>
    <tableColumn id="14236" xr3:uid="{CC51E834-3B55-483C-8C82-D896CD664CBE}" name="Column14230"/>
    <tableColumn id="14237" xr3:uid="{30A4E234-8C78-4457-B6ED-FDCBD13097AC}" name="Column14231"/>
    <tableColumn id="14238" xr3:uid="{4CB3A19C-AB7E-4C5A-A292-E2262D3356D6}" name="Column14232"/>
    <tableColumn id="14239" xr3:uid="{ED77096E-C5F1-415B-9795-FFE1D6B530F1}" name="Column14233"/>
    <tableColumn id="14240" xr3:uid="{23AA8AD7-765B-4FDE-A162-0D7E33FE51BD}" name="Column14234"/>
    <tableColumn id="14241" xr3:uid="{6E0D65F7-43D7-40F6-9E7E-062642EE8C73}" name="Column14235"/>
    <tableColumn id="14242" xr3:uid="{071C1B57-22B8-4CC0-ADD7-79518C454939}" name="Column14236"/>
    <tableColumn id="14243" xr3:uid="{BF50ECC6-C31D-403B-920D-9165534AA28B}" name="Column14237"/>
    <tableColumn id="14244" xr3:uid="{D828500C-5EB4-4425-9EA6-18F0F3F311D5}" name="Column14238"/>
    <tableColumn id="14245" xr3:uid="{73233B96-F70B-4758-BB60-038827D7C972}" name="Column14239"/>
    <tableColumn id="14246" xr3:uid="{005DA619-38D5-4E96-8E74-BE571B7077A3}" name="Column14240"/>
    <tableColumn id="14247" xr3:uid="{CE401FDF-3B1E-4F02-94FA-540B8BC84F8E}" name="Column14241"/>
    <tableColumn id="14248" xr3:uid="{78DA1C30-0524-41B3-A369-CD9DA7931788}" name="Column14242"/>
    <tableColumn id="14249" xr3:uid="{2CBA7B6E-245B-4C5A-BDEE-B2D3D2D2E3F1}" name="Column14243"/>
    <tableColumn id="14250" xr3:uid="{369DEB15-D8C6-4625-A5B2-FD370142E559}" name="Column14244"/>
    <tableColumn id="14251" xr3:uid="{0383A6E5-FA69-4C3D-9B44-00F9C288F53F}" name="Column14245"/>
    <tableColumn id="14252" xr3:uid="{06E873B0-2673-416C-B9F6-F30ED4E712A7}" name="Column14246"/>
    <tableColumn id="14253" xr3:uid="{F64947D6-C49A-4DD2-BBD6-C8427A2E550A}" name="Column14247"/>
    <tableColumn id="14254" xr3:uid="{6DFFF61D-15EA-4A9C-9C09-060FBF4D6978}" name="Column14248"/>
    <tableColumn id="14255" xr3:uid="{44BEF412-E358-4398-874D-23E59DB798F0}" name="Column14249"/>
    <tableColumn id="14256" xr3:uid="{CE5ECD35-EE47-4737-AA82-27E31A8B87A2}" name="Column14250"/>
    <tableColumn id="14257" xr3:uid="{0B060836-1FCF-492F-92DC-9D9C36EA769D}" name="Column14251"/>
    <tableColumn id="14258" xr3:uid="{43B3126A-2135-4FA6-8D02-CA1F2D9E81FB}" name="Column14252"/>
    <tableColumn id="14259" xr3:uid="{0D600828-B728-46E7-B48D-99265B2D46A4}" name="Column14253"/>
    <tableColumn id="14260" xr3:uid="{4D4B47E0-D703-48C3-B5D0-90F5B70F125F}" name="Column14254"/>
    <tableColumn id="14261" xr3:uid="{6AE93188-6EFC-4A91-A6EE-59C127B9AAA1}" name="Column14255"/>
    <tableColumn id="14262" xr3:uid="{E39D0F5A-4466-428E-A825-E23DDC6BCD0B}" name="Column14256"/>
    <tableColumn id="14263" xr3:uid="{7CB5C7D5-FD65-45FF-B7DE-A557C341A167}" name="Column14257"/>
    <tableColumn id="14264" xr3:uid="{67DE29A6-7DE9-4290-AAF6-66E9FB820B39}" name="Column14258"/>
    <tableColumn id="14265" xr3:uid="{9C35AC2E-B94A-4242-B1B4-516ACDD73194}" name="Column14259"/>
    <tableColumn id="14266" xr3:uid="{E3ADB46E-B762-41AA-B33B-16FB16954596}" name="Column14260"/>
    <tableColumn id="14267" xr3:uid="{019AD662-0AC6-456E-AFCD-56ABE726ACB3}" name="Column14261"/>
    <tableColumn id="14268" xr3:uid="{E2773DF9-B2F0-445B-BD49-E20608D266B7}" name="Column14262"/>
    <tableColumn id="14269" xr3:uid="{DC133165-6C73-4F89-A069-1DF5FD984FEB}" name="Column14263"/>
    <tableColumn id="14270" xr3:uid="{F64070A1-EECD-4427-A1D9-62D546B154EA}" name="Column14264"/>
    <tableColumn id="14271" xr3:uid="{BCFA5B8B-0EFB-47B2-AEBF-6A164F8CF3F3}" name="Column14265"/>
    <tableColumn id="14272" xr3:uid="{A78351E6-7C01-4F72-8434-04DC4C84FA08}" name="Column14266"/>
    <tableColumn id="14273" xr3:uid="{5747F513-6868-43FD-A836-93D052CF32CF}" name="Column14267"/>
    <tableColumn id="14274" xr3:uid="{8E58497D-9EAD-4FA4-9FAC-99A93FFC5622}" name="Column14268"/>
    <tableColumn id="14275" xr3:uid="{1F78D30F-4642-46E2-B473-30B67B605386}" name="Column14269"/>
    <tableColumn id="14276" xr3:uid="{DFE56144-FED3-4CF8-ACD5-B292E06913FC}" name="Column14270"/>
    <tableColumn id="14277" xr3:uid="{E209E3B6-9B0C-487A-8C78-6B185B00BE97}" name="Column14271"/>
    <tableColumn id="14278" xr3:uid="{69987FEE-2CEE-40DB-AC0B-10FECBF451E9}" name="Column14272"/>
    <tableColumn id="14279" xr3:uid="{5E927632-ACD9-4D69-8547-1DC4EAB8A379}" name="Column14273"/>
    <tableColumn id="14280" xr3:uid="{C104BCBE-D97C-466D-8595-122129A2512E}" name="Column14274"/>
    <tableColumn id="14281" xr3:uid="{D5B1E1A9-6E26-46F0-B15E-0CACD1339F5F}" name="Column14275"/>
    <tableColumn id="14282" xr3:uid="{A98AD9C2-31B2-4A62-B72C-8596CDD69905}" name="Column14276"/>
    <tableColumn id="14283" xr3:uid="{BF6E203E-5AB5-4434-8EA7-5201B22247E9}" name="Column14277"/>
    <tableColumn id="14284" xr3:uid="{FBEF56DE-364F-4ADF-BCDA-C8EE9BED0E06}" name="Column14278"/>
    <tableColumn id="14285" xr3:uid="{7ABB639A-2871-402C-8730-57806BCFAF1D}" name="Column14279"/>
    <tableColumn id="14286" xr3:uid="{63676FD0-DA10-407E-9D1F-9FB4AE511C5E}" name="Column14280"/>
    <tableColumn id="14287" xr3:uid="{BE952D03-1185-49CE-97B7-46D7F890C70E}" name="Column14281"/>
    <tableColumn id="14288" xr3:uid="{D0896616-4590-44B1-8A48-C8473BC955A0}" name="Column14282"/>
    <tableColumn id="14289" xr3:uid="{CD648010-8F70-4585-A90A-E6E5E46F9F88}" name="Column14283"/>
    <tableColumn id="14290" xr3:uid="{66739D21-FB2C-4416-9A36-A5BA8935AF4B}" name="Column14284"/>
    <tableColumn id="14291" xr3:uid="{C5B8D6EE-B349-4003-8B7F-F0CF6DB6BD78}" name="Column14285"/>
    <tableColumn id="14292" xr3:uid="{B37C3A09-3B60-40C2-8D7C-7A1E6C2EA1CF}" name="Column14286"/>
    <tableColumn id="14293" xr3:uid="{E706876F-11D6-4FA0-A052-B9218F897776}" name="Column14287"/>
    <tableColumn id="14294" xr3:uid="{6156A674-08D6-4743-BDC1-117DC3B321D9}" name="Column14288"/>
    <tableColumn id="14295" xr3:uid="{C0193989-284F-4676-87EC-97CEBC1E693E}" name="Column14289"/>
    <tableColumn id="14296" xr3:uid="{2DA0D691-89D7-48B1-B159-8E4445FF2701}" name="Column14290"/>
    <tableColumn id="14297" xr3:uid="{366D8B43-D759-4DAF-BE7D-55F73D0CD69F}" name="Column14291"/>
    <tableColumn id="14298" xr3:uid="{27008E69-0170-4C76-A8D5-4E3CDBE64648}" name="Column14292"/>
    <tableColumn id="14299" xr3:uid="{5A183D63-47B7-484D-BBCD-0311FC3879A9}" name="Column14293"/>
    <tableColumn id="14300" xr3:uid="{4BA85070-B122-4996-9F0E-E50B42C20434}" name="Column14294"/>
    <tableColumn id="14301" xr3:uid="{C3870356-D8E5-411C-B8A1-8159D7F6E120}" name="Column14295"/>
    <tableColumn id="14302" xr3:uid="{C95404FC-AE94-4D44-9A9F-C2BAA8C7D5FA}" name="Column14296"/>
    <tableColumn id="14303" xr3:uid="{D56DAB09-4C1A-4E8E-97D2-FF41FCCEB31A}" name="Column14297"/>
    <tableColumn id="14304" xr3:uid="{FB62A04D-DA87-41D1-8A2C-B3659A813E80}" name="Column14298"/>
    <tableColumn id="14305" xr3:uid="{1892E2DA-BEE2-4186-9BB7-5022C05244CF}" name="Column14299"/>
    <tableColumn id="14306" xr3:uid="{07865BC3-B7A1-4AC3-A8C3-7F43F14FE70E}" name="Column14300"/>
    <tableColumn id="14307" xr3:uid="{A8860FEB-7451-491D-8529-F4B24632AF08}" name="Column14301"/>
    <tableColumn id="14308" xr3:uid="{29B5F3EE-F257-4B6D-A420-300BCF6BD235}" name="Column14302"/>
    <tableColumn id="14309" xr3:uid="{6A4A581E-017F-49DB-AC5E-BC45223D2A55}" name="Column14303"/>
    <tableColumn id="14310" xr3:uid="{6B2A0947-F025-4926-AF19-EEF3E7A0CCCD}" name="Column14304"/>
    <tableColumn id="14311" xr3:uid="{1565FE53-62C9-448D-BE5A-354F287253AA}" name="Column14305"/>
    <tableColumn id="14312" xr3:uid="{586BC0BC-6786-4B48-9B73-D6A55B97DC8F}" name="Column14306"/>
    <tableColumn id="14313" xr3:uid="{276FBB51-E113-4422-9B91-DC8CB727B0F4}" name="Column14307"/>
    <tableColumn id="14314" xr3:uid="{06B7D385-F356-42BD-A6DD-E4A5E4BAA193}" name="Column14308"/>
    <tableColumn id="14315" xr3:uid="{F06E281E-EB38-47DF-9FF2-9AC989B9BA6F}" name="Column14309"/>
    <tableColumn id="14316" xr3:uid="{DC3DBF28-2311-4ADE-BC5B-AB9ABDD2D469}" name="Column14310"/>
    <tableColumn id="14317" xr3:uid="{4BD45FFB-BC06-49F4-976F-578CF7742964}" name="Column14311"/>
    <tableColumn id="14318" xr3:uid="{55E43CD0-CAE4-4AA4-8FC8-0B83480825A0}" name="Column14312"/>
    <tableColumn id="14319" xr3:uid="{25EA7FCC-E26F-4B48-84C3-A5A0C6D5E8D8}" name="Column14313"/>
    <tableColumn id="14320" xr3:uid="{CB512C0E-2041-47AC-A97F-E066ED0E774E}" name="Column14314"/>
    <tableColumn id="14321" xr3:uid="{3E5E5F07-7AD3-4FBC-ADF7-F14D4759F810}" name="Column14315"/>
    <tableColumn id="14322" xr3:uid="{79FBEB31-B256-483B-AA4E-2C65AD1AD35C}" name="Column14316"/>
    <tableColumn id="14323" xr3:uid="{8CFF4FCB-09A2-456E-9D7E-E02B5DF862A9}" name="Column14317"/>
    <tableColumn id="14324" xr3:uid="{FFAC8E5F-CACC-4569-88C7-8EA27AC68BBC}" name="Column14318"/>
    <tableColumn id="14325" xr3:uid="{7EBC347D-8F3E-4957-A9F1-1A5E5BAD8FDA}" name="Column14319"/>
    <tableColumn id="14326" xr3:uid="{01BF1AD1-EBCF-4BA6-8ABB-8238E947FB16}" name="Column14320"/>
    <tableColumn id="14327" xr3:uid="{2C238B20-3386-4D8A-B905-374243BF8F96}" name="Column14321"/>
    <tableColumn id="14328" xr3:uid="{4518AE3B-0396-42A3-8242-0C02130EAB75}" name="Column14322"/>
    <tableColumn id="14329" xr3:uid="{0544D876-83E0-4FB7-86F4-B8D430B6C9A6}" name="Column14323"/>
    <tableColumn id="14330" xr3:uid="{7310A85B-9731-43FE-89A8-BA4796F1BD63}" name="Column14324"/>
    <tableColumn id="14331" xr3:uid="{E2B1518F-C24A-4841-AF2B-47B92BEEF2DD}" name="Column14325"/>
    <tableColumn id="14332" xr3:uid="{70AA2DC8-B8D0-4FD9-A8CF-292B7787A78B}" name="Column14326"/>
    <tableColumn id="14333" xr3:uid="{ABA09EF2-4D47-428B-8697-3D6FA1D2751B}" name="Column14327"/>
    <tableColumn id="14334" xr3:uid="{73C3737C-9B3B-4A40-AA3E-FA398CE8486B}" name="Column14328"/>
    <tableColumn id="14335" xr3:uid="{B04A7D95-468E-46F5-8A5E-ECC7EBE1A4B6}" name="Column14329"/>
    <tableColumn id="14336" xr3:uid="{ABC1325C-3C26-4EF1-8865-44D5C121BEE9}" name="Column14330"/>
    <tableColumn id="14337" xr3:uid="{62675FCF-6340-4187-B073-39925FF7BC94}" name="Column14331"/>
    <tableColumn id="14338" xr3:uid="{10B9A5F4-C591-4341-A630-9F9B9FC6DF6E}" name="Column14332"/>
    <tableColumn id="14339" xr3:uid="{D52FB6DA-60F0-4E28-81F9-21ECD617FB4E}" name="Column14333"/>
    <tableColumn id="14340" xr3:uid="{30A38DB8-95F9-48F4-B22F-CDC5542355DF}" name="Column14334"/>
    <tableColumn id="14341" xr3:uid="{D02ECDB8-0144-47E7-8747-85771535E5B5}" name="Column14335"/>
    <tableColumn id="14342" xr3:uid="{F0FB313E-74E1-4742-97EE-7F689D8B2770}" name="Column14336"/>
    <tableColumn id="14343" xr3:uid="{5DDA952C-7175-4062-B071-E482904723EE}" name="Column14337"/>
    <tableColumn id="14344" xr3:uid="{AD368F4C-A480-41B4-8942-79EDC693AA30}" name="Column14338"/>
    <tableColumn id="14345" xr3:uid="{9D4BE590-2360-4124-AB0A-1DA056497AF3}" name="Column14339"/>
    <tableColumn id="14346" xr3:uid="{A95D68C1-84A9-4466-A185-2E43980E9E3C}" name="Column14340"/>
    <tableColumn id="14347" xr3:uid="{BF807836-B1A8-48AF-AD3B-1EDD7012E991}" name="Column14341"/>
    <tableColumn id="14348" xr3:uid="{367FDA2A-597E-4149-BA30-292603DAA7EC}" name="Column14342"/>
    <tableColumn id="14349" xr3:uid="{01BCCA93-43E8-45AE-A2B0-A06F9341BB97}" name="Column14343"/>
    <tableColumn id="14350" xr3:uid="{A730D42D-C738-42E0-8DBF-934B891C1424}" name="Column14344"/>
    <tableColumn id="14351" xr3:uid="{B975EC53-0237-4AFE-8AB0-B4A5D6FF6C6A}" name="Column14345"/>
    <tableColumn id="14352" xr3:uid="{2935BCC9-2909-439C-B95C-5EF32279790F}" name="Column14346"/>
    <tableColumn id="14353" xr3:uid="{A281B435-908D-443A-9730-978B2370CD6F}" name="Column14347"/>
    <tableColumn id="14354" xr3:uid="{F8C51412-515F-480A-8488-33D5510A94A4}" name="Column14348"/>
    <tableColumn id="14355" xr3:uid="{D6D0AA72-B262-4642-AC2C-847F6442FD11}" name="Column14349"/>
    <tableColumn id="14356" xr3:uid="{692EEC19-1EAF-4472-A928-FE1C59B19AF7}" name="Column14350"/>
    <tableColumn id="14357" xr3:uid="{2DD128DE-4670-4DFB-8B54-C68DDEFAA5E3}" name="Column14351"/>
    <tableColumn id="14358" xr3:uid="{4A0A8814-DFD1-4BA5-AE51-B24B5C3D7053}" name="Column14352"/>
    <tableColumn id="14359" xr3:uid="{7171A097-6086-46DB-9C6C-8DCA97A18D46}" name="Column14353"/>
    <tableColumn id="14360" xr3:uid="{44057EED-4523-4CE9-94FD-D4741DFEDDF1}" name="Column14354"/>
    <tableColumn id="14361" xr3:uid="{5A93F18A-8C81-46FB-9C30-50727C3032F8}" name="Column14355"/>
    <tableColumn id="14362" xr3:uid="{439F5B03-39C2-4B33-9CBB-4233ADCA050A}" name="Column14356"/>
    <tableColumn id="14363" xr3:uid="{AE3F9772-167A-4FEE-9AC3-A4B29BC16CCA}" name="Column14357"/>
    <tableColumn id="14364" xr3:uid="{FEA362FF-8622-4CCF-A3F7-F5DB7910B456}" name="Column14358"/>
    <tableColumn id="14365" xr3:uid="{33B0BF52-3A3F-46FD-B93F-A114035C1EDC}" name="Column14359"/>
    <tableColumn id="14366" xr3:uid="{3DF6EF59-2E8B-4BF5-A42F-2F02024DB497}" name="Column14360"/>
    <tableColumn id="14367" xr3:uid="{09309E51-4C1F-4955-B510-03C3D7DC7C7A}" name="Column14361"/>
    <tableColumn id="14368" xr3:uid="{95156D81-3602-4A0A-BAC1-6C0DCDBF4A68}" name="Column14362"/>
    <tableColumn id="14369" xr3:uid="{17B62BBE-C990-4582-92AA-3052304D4B13}" name="Column14363"/>
    <tableColumn id="14370" xr3:uid="{322FB6F1-1FF9-46D2-88EE-BEF18683E15F}" name="Column14364"/>
    <tableColumn id="14371" xr3:uid="{B29DFDEA-FE80-43A6-BBDD-3F3ED8E3B9F3}" name="Column14365"/>
    <tableColumn id="14372" xr3:uid="{E22CF514-EB84-467E-8F07-B535A7B53716}" name="Column14366"/>
    <tableColumn id="14373" xr3:uid="{B64562C7-C41C-4031-BAC6-A6FE848021F1}" name="Column14367"/>
    <tableColumn id="14374" xr3:uid="{50E7F9CF-F2A0-441D-B077-434956241229}" name="Column14368"/>
    <tableColumn id="14375" xr3:uid="{8D517E15-DF4A-43B3-9151-9A455DF4C8C7}" name="Column14369"/>
    <tableColumn id="14376" xr3:uid="{DD3D1A70-8D02-40B8-8B41-B4142A10BF3F}" name="Column14370"/>
    <tableColumn id="14377" xr3:uid="{5E7FAD0A-DE3B-4C82-99FC-71B817999B57}" name="Column14371"/>
    <tableColumn id="14378" xr3:uid="{64E6C561-DF9D-4638-A3DF-A4083577FA68}" name="Column14372"/>
    <tableColumn id="14379" xr3:uid="{9DC6C27A-CF92-4858-83E5-B4FEB99C0361}" name="Column14373"/>
    <tableColumn id="14380" xr3:uid="{68DB2871-DA56-4F70-ADE3-5B8168594524}" name="Column14374"/>
    <tableColumn id="14381" xr3:uid="{D3EC83A3-9362-470B-89DB-1E6DB24AC73C}" name="Column14375"/>
    <tableColumn id="14382" xr3:uid="{957D6BD2-92F9-4267-BCF2-03D5B6A72EFE}" name="Column14376"/>
    <tableColumn id="14383" xr3:uid="{930243D2-77D0-43B5-8AB2-93B576DE2804}" name="Column14377"/>
    <tableColumn id="14384" xr3:uid="{684B6CE3-8504-42DB-8B52-ED8AED043420}" name="Column14378"/>
    <tableColumn id="14385" xr3:uid="{4C8D1B15-D7D9-426D-BF47-23B254066435}" name="Column14379"/>
    <tableColumn id="14386" xr3:uid="{26F7BEB9-63E9-4A92-A8D7-B9CB6A662CDE}" name="Column14380"/>
    <tableColumn id="14387" xr3:uid="{6B453AD5-EBD8-4AF5-99CD-E6E19D4C891B}" name="Column14381"/>
    <tableColumn id="14388" xr3:uid="{4E829773-1401-445B-B6B6-E2ACD8479402}" name="Column14382"/>
    <tableColumn id="14389" xr3:uid="{4F2F7CFB-ED68-4DF7-AD38-3F05F5D0FFA4}" name="Column14383"/>
    <tableColumn id="14390" xr3:uid="{56117F66-B056-4BA1-B01C-DE72DA814BB7}" name="Column14384"/>
    <tableColumn id="14391" xr3:uid="{B99C8BAD-B124-4E4A-AD73-4E8E3D8E4CD6}" name="Column14385"/>
    <tableColumn id="14392" xr3:uid="{E2C1E81E-C8CC-4F78-A91C-9BDA4C6F748F}" name="Column14386"/>
    <tableColumn id="14393" xr3:uid="{519C81A7-2BD0-47FE-973D-7E2A77C9166B}" name="Column14387"/>
    <tableColumn id="14394" xr3:uid="{65F8139F-7025-409D-88AC-27D11597C486}" name="Column14388"/>
    <tableColumn id="14395" xr3:uid="{FFA9DAF7-9353-43EB-BA8A-7132BBE5E37E}" name="Column14389"/>
    <tableColumn id="14396" xr3:uid="{99DEFFC1-FD51-44DA-8E7B-6B74E9E1D4A1}" name="Column14390"/>
    <tableColumn id="14397" xr3:uid="{959D9D72-5984-42B8-9210-92CABA8B5EDB}" name="Column14391"/>
    <tableColumn id="14398" xr3:uid="{8CBD135F-F729-4A59-9562-1AD8AAD2B9E3}" name="Column14392"/>
    <tableColumn id="14399" xr3:uid="{3C49669E-ADAC-407E-B5E5-B554174C934D}" name="Column14393"/>
    <tableColumn id="14400" xr3:uid="{25D38174-4D92-4201-AD22-C9682A94CB64}" name="Column14394"/>
    <tableColumn id="14401" xr3:uid="{2043ADF5-583C-46EA-8765-3BBA2F9EA0B7}" name="Column14395"/>
    <tableColumn id="14402" xr3:uid="{EFC5FDC2-C3D6-457D-85C1-1950B9F0BFA1}" name="Column14396"/>
    <tableColumn id="14403" xr3:uid="{C068A199-6FE3-48D9-9387-0CCDF562E906}" name="Column14397"/>
    <tableColumn id="14404" xr3:uid="{72E3669C-4392-4C4B-B522-01867A505B7C}" name="Column14398"/>
    <tableColumn id="14405" xr3:uid="{118FE3E9-7ACA-4666-8484-D777C3795FAF}" name="Column14399"/>
    <tableColumn id="14406" xr3:uid="{69162FBF-BF61-4071-85CD-A22768EE597A}" name="Column14400"/>
    <tableColumn id="14407" xr3:uid="{AF989E85-914E-4A0E-8580-F635BB06393C}" name="Column14401"/>
    <tableColumn id="14408" xr3:uid="{48DB295B-F181-4EFC-81EA-EA8AEB69C54F}" name="Column14402"/>
    <tableColumn id="14409" xr3:uid="{C4D5622E-0224-400A-BE91-D146C78560DC}" name="Column14403"/>
    <tableColumn id="14410" xr3:uid="{63189C24-E793-43B8-8D83-B2F6FB8C346B}" name="Column14404"/>
    <tableColumn id="14411" xr3:uid="{1D2933A9-1674-430F-B928-76C638283874}" name="Column14405"/>
    <tableColumn id="14412" xr3:uid="{4FFAC325-EB57-436C-BD05-EE1DEA12170D}" name="Column14406"/>
    <tableColumn id="14413" xr3:uid="{5556E8C9-44DD-47B5-AE04-73BA7BD3BEC8}" name="Column14407"/>
    <tableColumn id="14414" xr3:uid="{388EF34B-19D3-4382-B60E-EE4684579092}" name="Column14408"/>
    <tableColumn id="14415" xr3:uid="{5B4FBD95-5822-45B4-BDBA-8F9CD2813704}" name="Column14409"/>
    <tableColumn id="14416" xr3:uid="{72962DE5-E62D-48CA-B012-42EC0796E800}" name="Column14410"/>
    <tableColumn id="14417" xr3:uid="{978DF06D-04A7-4940-945E-FFF49DBC6EAD}" name="Column14411"/>
    <tableColumn id="14418" xr3:uid="{5590DFD8-6965-417A-BE2D-1401847896A5}" name="Column14412"/>
    <tableColumn id="14419" xr3:uid="{ABEC76A1-9699-4A5E-BCD8-B3B129673769}" name="Column14413"/>
    <tableColumn id="14420" xr3:uid="{5DA77A28-C809-4451-9539-981F410C67CC}" name="Column14414"/>
    <tableColumn id="14421" xr3:uid="{368EE6D5-2E2F-444E-9471-89CEBB97F0D5}" name="Column14415"/>
    <tableColumn id="14422" xr3:uid="{4D4411CD-A204-42A7-99A0-A34BD5334730}" name="Column14416"/>
    <tableColumn id="14423" xr3:uid="{1A25C9D5-63B5-48AD-A71A-F03EF7F14766}" name="Column14417"/>
    <tableColumn id="14424" xr3:uid="{AE6E9B06-3AE9-42EA-8F49-3D01AEF54EAC}" name="Column14418"/>
    <tableColumn id="14425" xr3:uid="{DFCCE067-A000-4506-9614-CE55B114692A}" name="Column14419"/>
    <tableColumn id="14426" xr3:uid="{B575AA46-665C-4849-9A3E-A05F0FD026A7}" name="Column14420"/>
    <tableColumn id="14427" xr3:uid="{4EF068FB-EE8E-47AD-9496-258936F9B53F}" name="Column14421"/>
    <tableColumn id="14428" xr3:uid="{2E47E995-A1A9-4861-B3D5-96589AE43D38}" name="Column14422"/>
    <tableColumn id="14429" xr3:uid="{B9833D97-CCB2-49F5-ADFB-CD48DA3A5457}" name="Column14423"/>
    <tableColumn id="14430" xr3:uid="{326947C5-D25D-44B5-BA8D-B1C534F2F189}" name="Column14424"/>
    <tableColumn id="14431" xr3:uid="{CEC749DA-7B44-43F2-B186-2AF38936F634}" name="Column14425"/>
    <tableColumn id="14432" xr3:uid="{5C0CD042-6A0B-4D50-B8A4-F925E0EE7AE8}" name="Column14426"/>
    <tableColumn id="14433" xr3:uid="{BD0FBADE-9DCB-4BD6-902F-C4CBEF7E1487}" name="Column14427"/>
    <tableColumn id="14434" xr3:uid="{08F48073-01A0-4AFE-BC2A-B5775C763B3F}" name="Column14428"/>
    <tableColumn id="14435" xr3:uid="{72BDB758-D8E2-454A-AA44-0461C39BDAED}" name="Column14429"/>
    <tableColumn id="14436" xr3:uid="{0253DED6-D7DB-427E-834D-70E799268233}" name="Column14430"/>
    <tableColumn id="14437" xr3:uid="{34B693D9-4DDC-4989-B858-08EC904F944B}" name="Column14431"/>
    <tableColumn id="14438" xr3:uid="{92249DAD-4202-4CFE-8681-10C0A174C166}" name="Column14432"/>
    <tableColumn id="14439" xr3:uid="{5799112E-DC07-405E-A221-6C84ECDD53AE}" name="Column14433"/>
    <tableColumn id="14440" xr3:uid="{6378BF05-3D98-453E-A090-0430FB8BB6F4}" name="Column14434"/>
    <tableColumn id="14441" xr3:uid="{9229F484-7064-4430-93A7-9DD5E9C2FEB9}" name="Column14435"/>
    <tableColumn id="14442" xr3:uid="{0E07D1A9-21F8-46F4-8490-F014E7CBDCAD}" name="Column14436"/>
    <tableColumn id="14443" xr3:uid="{B32D23BD-AD7C-44A9-B30A-5ADD821143DD}" name="Column14437"/>
    <tableColumn id="14444" xr3:uid="{27C181BC-A356-49FE-8580-14B739F495BA}" name="Column14438"/>
    <tableColumn id="14445" xr3:uid="{C5424ED8-5787-4CA2-8553-0A248D1275B2}" name="Column14439"/>
    <tableColumn id="14446" xr3:uid="{BBF846B6-DCD7-45C4-B608-524CE57CBE82}" name="Column14440"/>
    <tableColumn id="14447" xr3:uid="{DB2FDF69-EA61-4A20-B5DF-CF2A7DF14E39}" name="Column14441"/>
    <tableColumn id="14448" xr3:uid="{15CF301E-1C71-4A2F-8330-0F9EC0CFC5F0}" name="Column14442"/>
    <tableColumn id="14449" xr3:uid="{A7F39A61-5A34-4752-9401-E20CDBFEA7D3}" name="Column14443"/>
    <tableColumn id="14450" xr3:uid="{225DC6BD-C3D7-4F66-8C95-C8764A44ECBA}" name="Column14444"/>
    <tableColumn id="14451" xr3:uid="{3396B083-A170-4717-8756-AF32D0AED40E}" name="Column14445"/>
    <tableColumn id="14452" xr3:uid="{943C3211-D85C-4C6D-ADA0-A83F7D89CAF0}" name="Column14446"/>
    <tableColumn id="14453" xr3:uid="{B95182BD-CEDF-42F1-BFEA-527D17A3CB94}" name="Column14447"/>
    <tableColumn id="14454" xr3:uid="{BE662FF5-E66E-46FC-A736-348093567AD0}" name="Column14448"/>
    <tableColumn id="14455" xr3:uid="{209CA526-FA5E-472D-9219-3CFF9FD3106A}" name="Column14449"/>
    <tableColumn id="14456" xr3:uid="{E4504430-D498-44C9-8FCF-2EC02A85B13D}" name="Column14450"/>
    <tableColumn id="14457" xr3:uid="{155F12F8-D6B8-4A32-B600-BCAA93C2988A}" name="Column14451"/>
    <tableColumn id="14458" xr3:uid="{4EC5B951-8B53-4F6F-8F00-EF8593675076}" name="Column14452"/>
    <tableColumn id="14459" xr3:uid="{779BE731-6522-4844-BB39-3CBFC8B14925}" name="Column14453"/>
    <tableColumn id="14460" xr3:uid="{896FA06A-ED9C-40EE-B80E-01E6675B0E36}" name="Column14454"/>
    <tableColumn id="14461" xr3:uid="{0BD91248-45EC-4032-92CF-6F4D21C07B1A}" name="Column14455"/>
    <tableColumn id="14462" xr3:uid="{5D029D0D-D0C8-4EE6-9959-9EEABB745171}" name="Column14456"/>
    <tableColumn id="14463" xr3:uid="{779714A6-88DF-4B6D-911B-54ED811EE1F3}" name="Column14457"/>
    <tableColumn id="14464" xr3:uid="{5283FD99-DC7B-43E1-9B3F-FC5A5AEEE77C}" name="Column14458"/>
    <tableColumn id="14465" xr3:uid="{CCB4C73E-9D6B-465A-9996-2F7F945149B6}" name="Column14459"/>
    <tableColumn id="14466" xr3:uid="{E84800F3-41D8-4B16-AA8B-C40CB7FE4B34}" name="Column14460"/>
    <tableColumn id="14467" xr3:uid="{1F5E385D-2B8C-49CE-858A-7FAAA870B0BA}" name="Column14461"/>
    <tableColumn id="14468" xr3:uid="{95389490-5EC1-4BB1-9E7D-B3BF612D5677}" name="Column14462"/>
    <tableColumn id="14469" xr3:uid="{C328BEC1-3BB7-4E13-B403-6772B0C64317}" name="Column14463"/>
    <tableColumn id="14470" xr3:uid="{6DD7FF46-384A-42F9-AE8E-E5F37BF02CC4}" name="Column14464"/>
    <tableColumn id="14471" xr3:uid="{42994752-508E-48E7-A4E7-3E21DF4EDF9F}" name="Column14465"/>
    <tableColumn id="14472" xr3:uid="{61B120DC-A2B9-4DC9-9BB7-0CFBA59B84AA}" name="Column14466"/>
    <tableColumn id="14473" xr3:uid="{661A70D0-CB09-484E-91AE-D113CF170F9E}" name="Column14467"/>
    <tableColumn id="14474" xr3:uid="{3A3FB9FE-B1E3-479D-AD43-FCE952C8E7CD}" name="Column14468"/>
    <tableColumn id="14475" xr3:uid="{BB56C771-9AC4-4C6B-BF6A-B238ECDDBE1C}" name="Column14469"/>
    <tableColumn id="14476" xr3:uid="{1EB0B153-F9A3-421C-B688-7D652909D55C}" name="Column14470"/>
    <tableColumn id="14477" xr3:uid="{DBE37684-3C7C-4042-AF09-8E6F2D6F5321}" name="Column14471"/>
    <tableColumn id="14478" xr3:uid="{4DECA8C4-1AD9-483A-81A8-EDB0AB65CE5E}" name="Column14472"/>
    <tableColumn id="14479" xr3:uid="{A6E52A0C-4E87-4D72-8700-A3F8ED837053}" name="Column14473"/>
    <tableColumn id="14480" xr3:uid="{56E2FD20-AC66-45B8-8E0C-BFEEECB67D93}" name="Column14474"/>
    <tableColumn id="14481" xr3:uid="{8ECDF17B-AC45-4204-8F75-A2A604293D3A}" name="Column14475"/>
    <tableColumn id="14482" xr3:uid="{0BE7FBC7-1402-427E-BA47-6D70329D11DF}" name="Column14476"/>
    <tableColumn id="14483" xr3:uid="{4EFD8547-B47B-419F-A6AA-F7E528B4FD1E}" name="Column14477"/>
    <tableColumn id="14484" xr3:uid="{65726464-F2C4-42CC-A0AA-D4AF236A55D3}" name="Column14478"/>
    <tableColumn id="14485" xr3:uid="{097F79BC-D0F0-400B-A33A-E0A4330B9A86}" name="Column14479"/>
    <tableColumn id="14486" xr3:uid="{30F6054E-77ED-4A8F-89AD-0BBE5CABCFEF}" name="Column14480"/>
    <tableColumn id="14487" xr3:uid="{DFA28F2E-EBCA-4B90-B197-DE4D83365E24}" name="Column14481"/>
    <tableColumn id="14488" xr3:uid="{2CA40B49-5370-470F-906D-E50544E15A20}" name="Column14482"/>
    <tableColumn id="14489" xr3:uid="{3BEBDC85-29B0-445E-A5B4-F79F7B427CE7}" name="Column14483"/>
    <tableColumn id="14490" xr3:uid="{754D35A9-67B8-449D-A1E4-3D79356001C5}" name="Column14484"/>
    <tableColumn id="14491" xr3:uid="{3C0A6038-F1D2-4029-99B0-39BD22253D23}" name="Column14485"/>
    <tableColumn id="14492" xr3:uid="{40559857-9134-4199-BADB-093383AA4E6C}" name="Column14486"/>
    <tableColumn id="14493" xr3:uid="{E800A635-3C74-40E1-A362-BF299A3E1CD6}" name="Column14487"/>
    <tableColumn id="14494" xr3:uid="{E3A387F0-5DB7-4629-81E3-E52BB6DACA82}" name="Column14488"/>
    <tableColumn id="14495" xr3:uid="{08B11F2E-9B71-444B-8296-99B0BDE3D776}" name="Column14489"/>
    <tableColumn id="14496" xr3:uid="{CAE37528-2EB7-4CDA-A9F6-CA02CBBB0E9A}" name="Column14490"/>
    <tableColumn id="14497" xr3:uid="{EE8051AD-F909-4DF5-861A-1056A957FA0F}" name="Column14491"/>
    <tableColumn id="14498" xr3:uid="{4BC6D9E7-8303-404B-9C48-01221CB6C4D9}" name="Column14492"/>
    <tableColumn id="14499" xr3:uid="{B208F197-85BC-41F2-A935-A29D36DA4215}" name="Column14493"/>
    <tableColumn id="14500" xr3:uid="{FC78D530-E409-4595-A545-B4E25A609B9D}" name="Column14494"/>
    <tableColumn id="14501" xr3:uid="{2C83DE1F-8861-4D57-A1A4-6A7C9F81E0C0}" name="Column14495"/>
    <tableColumn id="14502" xr3:uid="{44AB1C33-C800-4435-A62E-9E1EA26FF4C5}" name="Column14496"/>
    <tableColumn id="14503" xr3:uid="{40444BDE-108E-4E20-8342-16C0287183E6}" name="Column14497"/>
    <tableColumn id="14504" xr3:uid="{71F58563-083F-43F8-8E99-EAC93408A61A}" name="Column14498"/>
    <tableColumn id="14505" xr3:uid="{AB696599-7CFE-46C7-8DC4-E853CC3FEEED}" name="Column14499"/>
    <tableColumn id="14506" xr3:uid="{99BEDA6A-AFE2-45DA-9452-8A6C447C6391}" name="Column14500"/>
    <tableColumn id="14507" xr3:uid="{3DEA71F0-5E9C-49BA-B20F-23E34D13A8AE}" name="Column14501"/>
    <tableColumn id="14508" xr3:uid="{DEEC07EC-8ED1-45DE-9F1C-56CC100C3F45}" name="Column14502"/>
    <tableColumn id="14509" xr3:uid="{9C1E24FF-4B65-4E17-A65B-95FD53573C2D}" name="Column14503"/>
    <tableColumn id="14510" xr3:uid="{708F0BE4-066A-4276-ADBD-81056954E38A}" name="Column14504"/>
    <tableColumn id="14511" xr3:uid="{D510EEE9-4D23-4B24-A0B4-1C874BCC817C}" name="Column14505"/>
    <tableColumn id="14512" xr3:uid="{ECCC2498-20DB-4CBC-8ABC-9E7C352675B8}" name="Column14506"/>
    <tableColumn id="14513" xr3:uid="{E693C60A-D8D2-4A8B-A53B-9A39AD73A084}" name="Column14507"/>
    <tableColumn id="14514" xr3:uid="{846456F3-3B55-4052-8907-DB5D636C59CB}" name="Column14508"/>
    <tableColumn id="14515" xr3:uid="{8ED54DB5-F655-4A16-AF17-880322666F9E}" name="Column14509"/>
    <tableColumn id="14516" xr3:uid="{2BE92517-50DF-47BB-8579-BE4BC4EEBE88}" name="Column14510"/>
    <tableColumn id="14517" xr3:uid="{5FB5C601-24F0-4809-BC0E-81FEA7110612}" name="Column14511"/>
    <tableColumn id="14518" xr3:uid="{81A67DAC-95CF-48C2-B837-AF2025A77E40}" name="Column14512"/>
    <tableColumn id="14519" xr3:uid="{A73CCD01-0621-4E61-AC6E-E1993DCB0729}" name="Column14513"/>
    <tableColumn id="14520" xr3:uid="{4E819A0C-D449-4FE4-BF19-2E9F12A67D5C}" name="Column14514"/>
    <tableColumn id="14521" xr3:uid="{A6D8532D-7E9F-47F6-B11F-5124CAB11E82}" name="Column14515"/>
    <tableColumn id="14522" xr3:uid="{4F4AB445-2F65-4C12-8637-9228588A8E6F}" name="Column14516"/>
    <tableColumn id="14523" xr3:uid="{890CE75A-1B93-4D48-BAD6-C498D3954D68}" name="Column14517"/>
    <tableColumn id="14524" xr3:uid="{224D58C3-B91B-4DB7-837C-6450920A6CAF}" name="Column14518"/>
    <tableColumn id="14525" xr3:uid="{2E1BE615-F679-491A-B610-6D774270277F}" name="Column14519"/>
    <tableColumn id="14526" xr3:uid="{6D4094CE-6C6A-40CE-984B-1F8771ADC906}" name="Column14520"/>
    <tableColumn id="14527" xr3:uid="{8625CF6F-4451-4A74-B8BA-BDF59BCDF4F6}" name="Column14521"/>
    <tableColumn id="14528" xr3:uid="{5598B5DA-C62A-45DC-BC67-804C1D729F0F}" name="Column14522"/>
    <tableColumn id="14529" xr3:uid="{884D5871-0AA5-4E75-923C-ED01475AFDC4}" name="Column14523"/>
    <tableColumn id="14530" xr3:uid="{3978AA84-9960-44B6-8B16-7D0AAAEEABDA}" name="Column14524"/>
    <tableColumn id="14531" xr3:uid="{A6CC34DB-06E7-45C6-8D06-06ECCC03626C}" name="Column14525"/>
    <tableColumn id="14532" xr3:uid="{E5C70876-9F10-43CB-AC42-704EA7F302A6}" name="Column14526"/>
    <tableColumn id="14533" xr3:uid="{165FA645-2B14-452A-8B79-03FEEACF6A93}" name="Column14527"/>
    <tableColumn id="14534" xr3:uid="{0D8E3862-533D-402F-B18E-1A2EAF433B1F}" name="Column14528"/>
    <tableColumn id="14535" xr3:uid="{57D99D43-F360-432F-A1D2-C6256CF16830}" name="Column14529"/>
    <tableColumn id="14536" xr3:uid="{DBAD8E03-DFDB-46F7-B51B-AC147FBB8412}" name="Column14530"/>
    <tableColumn id="14537" xr3:uid="{B0454AEA-F6BA-4E89-B3DD-DDD46BA4A643}" name="Column14531"/>
    <tableColumn id="14538" xr3:uid="{626075B3-25BD-43E4-BE9C-6D332075A487}" name="Column14532"/>
    <tableColumn id="14539" xr3:uid="{73F51F2B-C6AA-41ED-AA76-120E5910C666}" name="Column14533"/>
    <tableColumn id="14540" xr3:uid="{F7D035B5-5356-4ED5-A8DE-12E717376241}" name="Column14534"/>
    <tableColumn id="14541" xr3:uid="{9E5AD552-6215-4DC0-82B6-97EE9FAC4128}" name="Column14535"/>
    <tableColumn id="14542" xr3:uid="{F6517FE0-4D6C-40A0-BF97-AF2981070ACA}" name="Column14536"/>
    <tableColumn id="14543" xr3:uid="{6E8D6FED-A476-4C0B-988D-7F1C29F66449}" name="Column14537"/>
    <tableColumn id="14544" xr3:uid="{A8EC0AB7-CA44-4B21-BB94-EE6546A39324}" name="Column14538"/>
    <tableColumn id="14545" xr3:uid="{B5C1D253-5293-4765-8DAE-EDDC43530D9E}" name="Column14539"/>
    <tableColumn id="14546" xr3:uid="{EC4B6C2A-7CE6-4D5B-80AE-06DAF5685DE0}" name="Column14540"/>
    <tableColumn id="14547" xr3:uid="{5BF6F842-4D6D-4902-A25B-86DE4E07A810}" name="Column14541"/>
    <tableColumn id="14548" xr3:uid="{BF652C1F-CA2B-4CC5-A091-812DCC22B6D9}" name="Column14542"/>
    <tableColumn id="14549" xr3:uid="{4628E2A2-468A-4AC5-8BA9-586999ECB655}" name="Column14543"/>
    <tableColumn id="14550" xr3:uid="{85C94F6E-09C9-45A3-B103-E1A72C90A38A}" name="Column14544"/>
    <tableColumn id="14551" xr3:uid="{5D86806A-F629-45D4-A71C-30FB91AFD492}" name="Column14545"/>
    <tableColumn id="14552" xr3:uid="{F4BD19FA-CA63-4ED5-A452-B609FF0CF5A2}" name="Column14546"/>
    <tableColumn id="14553" xr3:uid="{DF50E911-4E79-4F31-9A05-B10C61A869BD}" name="Column14547"/>
    <tableColumn id="14554" xr3:uid="{997ADF70-BAB3-4B4B-802F-8E083AD01874}" name="Column14548"/>
    <tableColumn id="14555" xr3:uid="{C3BD4DB4-4EA7-4B38-902A-202C181351B7}" name="Column14549"/>
    <tableColumn id="14556" xr3:uid="{3A2F6205-8D85-4AE6-9423-A83BFA74EDEF}" name="Column14550"/>
    <tableColumn id="14557" xr3:uid="{E7D4089D-E6B9-4020-A2E0-95953AD91B22}" name="Column14551"/>
    <tableColumn id="14558" xr3:uid="{951A265D-4F43-4695-8FF8-C296D010F6FC}" name="Column14552"/>
    <tableColumn id="14559" xr3:uid="{71F3E58F-2BF2-48D0-8593-802A6C515B5A}" name="Column14553"/>
    <tableColumn id="14560" xr3:uid="{BACAAEC5-9721-427A-A91F-E4A27F648773}" name="Column14554"/>
    <tableColumn id="14561" xr3:uid="{317F5157-C92C-4411-80BD-DD514910A7D9}" name="Column14555"/>
    <tableColumn id="14562" xr3:uid="{29F49F48-7D41-4640-BFD6-8E424927FFAB}" name="Column14556"/>
    <tableColumn id="14563" xr3:uid="{58F29D1C-4F5E-4908-9F4F-27A5434C6BB1}" name="Column14557"/>
    <tableColumn id="14564" xr3:uid="{5600D467-E1CA-4F5F-9FB4-34965397782A}" name="Column14558"/>
    <tableColumn id="14565" xr3:uid="{B758CDDD-CB90-4017-9968-B337C359FFF9}" name="Column14559"/>
    <tableColumn id="14566" xr3:uid="{73C9CC7B-8D95-4B71-BE98-B4E340912436}" name="Column14560"/>
    <tableColumn id="14567" xr3:uid="{C3E80577-04E8-4C38-8476-6182603ADE7D}" name="Column14561"/>
    <tableColumn id="14568" xr3:uid="{099E6DEF-68EA-4FAC-AFB7-D0BDA86E48F2}" name="Column14562"/>
    <tableColumn id="14569" xr3:uid="{C367D44C-CDE8-417A-8223-25494FF4102C}" name="Column14563"/>
    <tableColumn id="14570" xr3:uid="{4BD32648-D205-4173-97BA-BE972DB13D15}" name="Column14564"/>
    <tableColumn id="14571" xr3:uid="{832E2CFC-315D-4032-8A30-6BA9E258AB2A}" name="Column14565"/>
    <tableColumn id="14572" xr3:uid="{2E7C838F-D08A-4679-AA34-83222EA1B58F}" name="Column14566"/>
    <tableColumn id="14573" xr3:uid="{A6D468D9-B2C3-4F90-B079-1D78044C61EA}" name="Column14567"/>
    <tableColumn id="14574" xr3:uid="{D583C142-CF2F-4FCF-AB3B-11BA14FD551F}" name="Column14568"/>
    <tableColumn id="14575" xr3:uid="{57F4ED85-0182-480A-A0EE-FC3CC2016482}" name="Column14569"/>
    <tableColumn id="14576" xr3:uid="{679103F7-B86A-400F-9565-40190F5AB75D}" name="Column14570"/>
    <tableColumn id="14577" xr3:uid="{5C59E4BA-D081-4AFB-AE72-A50D764EE9D3}" name="Column14571"/>
    <tableColumn id="14578" xr3:uid="{D872C9D6-CFB1-4D5B-B52E-250DA6F23A15}" name="Column14572"/>
    <tableColumn id="14579" xr3:uid="{A8B60952-D3EB-4DFF-93B3-3061AED35AD2}" name="Column14573"/>
    <tableColumn id="14580" xr3:uid="{5CD0691A-C1A1-4AB6-8CF4-D18CD4CB34B2}" name="Column14574"/>
    <tableColumn id="14581" xr3:uid="{5D92FBAC-2ACF-42CA-B0FC-88F69ABD5238}" name="Column14575"/>
    <tableColumn id="14582" xr3:uid="{5876CC07-AFA1-45FA-BB04-4724A19A3A0A}" name="Column14576"/>
    <tableColumn id="14583" xr3:uid="{04663782-5A64-438D-8F7F-4049F1B24261}" name="Column14577"/>
    <tableColumn id="14584" xr3:uid="{00455093-68E2-4BE2-B58B-6E0086069D97}" name="Column14578"/>
    <tableColumn id="14585" xr3:uid="{A90267BB-3058-4231-B432-C792CB1C8F9D}" name="Column14579"/>
    <tableColumn id="14586" xr3:uid="{538AA1D7-93D8-44A5-BA6C-B70026071097}" name="Column14580"/>
    <tableColumn id="14587" xr3:uid="{055A19CC-8D69-405F-9E71-2071CBF7337C}" name="Column14581"/>
    <tableColumn id="14588" xr3:uid="{2C135877-8B7D-4CBA-995C-5C0C647CD166}" name="Column14582"/>
    <tableColumn id="14589" xr3:uid="{2D65FAE4-CDFC-4BAF-95E6-F0EE0F1543BF}" name="Column14583"/>
    <tableColumn id="14590" xr3:uid="{CD62A4E7-1912-434A-A16B-7D9748817868}" name="Column14584"/>
    <tableColumn id="14591" xr3:uid="{46EFE358-1417-4A12-A377-0092355899F3}" name="Column14585"/>
    <tableColumn id="14592" xr3:uid="{E1B995B3-6AC8-4842-8C01-E4E5B0C2E491}" name="Column14586"/>
    <tableColumn id="14593" xr3:uid="{DE8C118A-5C3A-4424-BCF3-52C5E2AC23CC}" name="Column14587"/>
    <tableColumn id="14594" xr3:uid="{9F2DACB1-0A5E-43F0-AB77-99E4430144BA}" name="Column14588"/>
    <tableColumn id="14595" xr3:uid="{1C582B16-4C2D-4AB5-9363-2B1CF58623AE}" name="Column14589"/>
    <tableColumn id="14596" xr3:uid="{9A8FDF6D-D5F1-4DC7-B713-70386CB6B006}" name="Column14590"/>
    <tableColumn id="14597" xr3:uid="{A9F2770D-B1B7-41BA-B33B-5977DEF7942A}" name="Column14591"/>
    <tableColumn id="14598" xr3:uid="{BFA8B1EB-C853-4513-81BC-C14DA0977A32}" name="Column14592"/>
    <tableColumn id="14599" xr3:uid="{E7640FD3-ABD3-4D5A-A7CF-E6D2B90E631F}" name="Column14593"/>
    <tableColumn id="14600" xr3:uid="{673C0F7D-1E54-4708-B213-195B273C1248}" name="Column14594"/>
    <tableColumn id="14601" xr3:uid="{53188E0E-7229-4AEA-B0F1-870CDC0DF2FE}" name="Column14595"/>
    <tableColumn id="14602" xr3:uid="{6DA8A8E2-E51E-4617-BB6F-741982F43023}" name="Column14596"/>
    <tableColumn id="14603" xr3:uid="{6EC1FF07-8F22-42DC-B88B-F61B2262E755}" name="Column14597"/>
    <tableColumn id="14604" xr3:uid="{D204FCAD-C032-4398-AA3A-339AAC5C093D}" name="Column14598"/>
    <tableColumn id="14605" xr3:uid="{03855C49-062B-4933-8F93-91229A007C78}" name="Column14599"/>
    <tableColumn id="14606" xr3:uid="{F760BC90-FA9D-4767-8FF1-99C5FA5D78D8}" name="Column14600"/>
    <tableColumn id="14607" xr3:uid="{8C8E10A9-1D9D-48D6-8428-E7A1318D3B64}" name="Column14601"/>
    <tableColumn id="14608" xr3:uid="{F51A978D-1A99-4C0E-B662-6CEF358E0EFF}" name="Column14602"/>
    <tableColumn id="14609" xr3:uid="{037E36E7-547C-4065-A742-24ADC8432C7C}" name="Column14603"/>
    <tableColumn id="14610" xr3:uid="{699811EB-26A8-4F2A-AF54-4AEC7B343B45}" name="Column14604"/>
    <tableColumn id="14611" xr3:uid="{970D14B7-687B-4779-8E74-4AB6A30A47BC}" name="Column14605"/>
    <tableColumn id="14612" xr3:uid="{DA3B13C9-AE52-4E1F-B1BD-FD00B16A4DF4}" name="Column14606"/>
    <tableColumn id="14613" xr3:uid="{B012B71B-F2B9-4340-B4C7-8016F0BBC371}" name="Column14607"/>
    <tableColumn id="14614" xr3:uid="{A3B0FDA6-EC4D-45B9-9372-4BF06760F3CE}" name="Column14608"/>
    <tableColumn id="14615" xr3:uid="{822F8E20-7DB5-4E46-BFAE-F59493EAB3BB}" name="Column14609"/>
    <tableColumn id="14616" xr3:uid="{84990226-474F-49FB-A1DB-396CF26C69A2}" name="Column14610"/>
    <tableColumn id="14617" xr3:uid="{57FE1FD3-1416-40FB-B67B-AFAAF9D08BA0}" name="Column14611"/>
    <tableColumn id="14618" xr3:uid="{2CC60FF1-1A0C-42AB-94F1-937E33FCD8C9}" name="Column14612"/>
    <tableColumn id="14619" xr3:uid="{F042276C-F374-4CC2-9911-E94B00CB8801}" name="Column14613"/>
    <tableColumn id="14620" xr3:uid="{5225ABE2-9E63-48F1-8D03-AD1D3693F6BA}" name="Column14614"/>
    <tableColumn id="14621" xr3:uid="{4284BA23-B6CC-42F9-BAC7-64ACFDC2A5EC}" name="Column14615"/>
    <tableColumn id="14622" xr3:uid="{6EE42D60-F21C-4648-AD11-AA74B51720A2}" name="Column14616"/>
    <tableColumn id="14623" xr3:uid="{8472C230-0058-4C43-B716-8614554D3DA5}" name="Column14617"/>
    <tableColumn id="14624" xr3:uid="{2259515E-9566-4F0A-9723-BFFCE7732681}" name="Column14618"/>
    <tableColumn id="14625" xr3:uid="{6D12566D-BD2D-4D8F-957F-6DCB18BDCFA1}" name="Column14619"/>
    <tableColumn id="14626" xr3:uid="{090EA5BD-4105-4E29-8089-A7EB7E411699}" name="Column14620"/>
    <tableColumn id="14627" xr3:uid="{F4903CDA-BE33-4F6A-B190-D8A646BD5DE4}" name="Column14621"/>
    <tableColumn id="14628" xr3:uid="{3B9F4AC7-2656-4AE6-8E68-06AC169DF95D}" name="Column14622"/>
    <tableColumn id="14629" xr3:uid="{B43AC0E1-B02C-46A3-92EB-91FE4B21C6C2}" name="Column14623"/>
    <tableColumn id="14630" xr3:uid="{AEA4A4AF-53BD-49F5-8255-09357C7B71D7}" name="Column14624"/>
    <tableColumn id="14631" xr3:uid="{0E6FEDB6-B011-4311-8396-592CD339B9B7}" name="Column14625"/>
    <tableColumn id="14632" xr3:uid="{EBA63E2F-DF56-4BBF-98C5-1CDEEC5028DA}" name="Column14626"/>
    <tableColumn id="14633" xr3:uid="{1BCB740C-0A1C-4409-87A8-EECAC6AD3747}" name="Column14627"/>
    <tableColumn id="14634" xr3:uid="{022EA54E-4344-4D5A-A497-966705C0B0AB}" name="Column14628"/>
    <tableColumn id="14635" xr3:uid="{D21F9035-944F-4A43-9E01-408F4D7D5FDD}" name="Column14629"/>
    <tableColumn id="14636" xr3:uid="{21D7D2E9-92EB-418A-8956-4053B4EBB2BD}" name="Column14630"/>
    <tableColumn id="14637" xr3:uid="{32EA4374-CB4C-4EC7-B28D-6FBBD3ED45D6}" name="Column14631"/>
    <tableColumn id="14638" xr3:uid="{5A4AB32C-1948-454D-9E45-496730F8476D}" name="Column14632"/>
    <tableColumn id="14639" xr3:uid="{57A7F532-C16A-4193-867D-EA55A1C6E05E}" name="Column14633"/>
    <tableColumn id="14640" xr3:uid="{98FA3D5B-71BB-4982-B8CD-628198C909F9}" name="Column14634"/>
    <tableColumn id="14641" xr3:uid="{6959FD8C-6A80-421E-B48C-0C2002E5643F}" name="Column14635"/>
    <tableColumn id="14642" xr3:uid="{2E4CBC05-FCE6-4E91-A98D-551B9662D5FD}" name="Column14636"/>
    <tableColumn id="14643" xr3:uid="{BBFFA7F4-F05E-44FC-87A0-B059A44F9E50}" name="Column14637"/>
    <tableColumn id="14644" xr3:uid="{7DCF8A65-184A-431B-A032-127F5C059E23}" name="Column14638"/>
    <tableColumn id="14645" xr3:uid="{E4B4C7E7-CE00-4F4B-B64C-5953CC920EB8}" name="Column14639"/>
    <tableColumn id="14646" xr3:uid="{E2B53999-BD17-404A-A1B0-D0F2DD33959F}" name="Column14640"/>
    <tableColumn id="14647" xr3:uid="{E974C461-7158-4D63-B6D8-D230CC0CF0A8}" name="Column14641"/>
    <tableColumn id="14648" xr3:uid="{798C4740-7837-4595-BEFB-046464130BF5}" name="Column14642"/>
    <tableColumn id="14649" xr3:uid="{944C633E-477E-4462-97E4-2C6B467EF9FB}" name="Column14643"/>
    <tableColumn id="14650" xr3:uid="{2AC34F4C-8412-4C5B-AE87-555CC565D4DA}" name="Column14644"/>
    <tableColumn id="14651" xr3:uid="{FEB4AE1B-AB8E-4F3D-8223-CF673A5FCF83}" name="Column14645"/>
    <tableColumn id="14652" xr3:uid="{D526CAEA-8E8D-459C-B9C6-619DE387D065}" name="Column14646"/>
    <tableColumn id="14653" xr3:uid="{4D79F143-2DA8-4192-B271-D1016511E10E}" name="Column14647"/>
    <tableColumn id="14654" xr3:uid="{6565E712-8A44-4F12-A68F-507A12856495}" name="Column14648"/>
    <tableColumn id="14655" xr3:uid="{A65D7B60-CDCB-4837-8A1B-158E6A23FD86}" name="Column14649"/>
    <tableColumn id="14656" xr3:uid="{2E226D6C-78B7-4C04-BBBD-2EC1874EC4F7}" name="Column14650"/>
    <tableColumn id="14657" xr3:uid="{757405BA-C5BE-4984-B896-A14B8686F1C3}" name="Column14651"/>
    <tableColumn id="14658" xr3:uid="{8D3AB7E5-9710-4620-B005-E9B090D1E4D5}" name="Column14652"/>
    <tableColumn id="14659" xr3:uid="{228FF19F-A1A8-4E53-BA44-7709A37E11C1}" name="Column14653"/>
    <tableColumn id="14660" xr3:uid="{705BD5E9-0C2B-468E-85F2-F414459EAEDE}" name="Column14654"/>
    <tableColumn id="14661" xr3:uid="{31BABF31-5341-43DA-BC63-857F0233FCAE}" name="Column14655"/>
    <tableColumn id="14662" xr3:uid="{ADE48BB8-C749-4423-BF79-0B1C70120E92}" name="Column14656"/>
    <tableColumn id="14663" xr3:uid="{F8EF678D-0B4C-4815-B83B-1274001ED0E4}" name="Column14657"/>
    <tableColumn id="14664" xr3:uid="{CA3AD2FE-A36D-493E-B8EF-A3BD8837F0D1}" name="Column14658"/>
    <tableColumn id="14665" xr3:uid="{C26EB331-2765-45E1-97D5-5EC830771080}" name="Column14659"/>
    <tableColumn id="14666" xr3:uid="{3C13320B-B882-4C41-ADA6-63C91F845010}" name="Column14660"/>
    <tableColumn id="14667" xr3:uid="{3CFE3984-2E57-4A93-81FB-955BD1353E94}" name="Column14661"/>
    <tableColumn id="14668" xr3:uid="{CCFD0ED8-9058-4B76-93CF-0A3236DF9792}" name="Column14662"/>
    <tableColumn id="14669" xr3:uid="{96E753A2-0D3E-4090-B79C-9CF39FE000C2}" name="Column14663"/>
    <tableColumn id="14670" xr3:uid="{4CBFFFA0-2AA8-46D0-8975-5A3D64C11B58}" name="Column14664"/>
    <tableColumn id="14671" xr3:uid="{00F61188-3554-49DE-8015-F8B8224D000B}" name="Column14665"/>
    <tableColumn id="14672" xr3:uid="{082D098E-26BE-474B-AE4D-F5400EB701F9}" name="Column14666"/>
    <tableColumn id="14673" xr3:uid="{BDA6FCC5-B81E-4724-9790-9995CE3469BE}" name="Column14667"/>
    <tableColumn id="14674" xr3:uid="{DB36CE3D-32A1-4BF8-8AC6-2183D9864E56}" name="Column14668"/>
    <tableColumn id="14675" xr3:uid="{1D334502-F043-4D48-BE23-15B24CACA034}" name="Column14669"/>
    <tableColumn id="14676" xr3:uid="{48C3B105-67C4-4FA9-86DE-647042035716}" name="Column14670"/>
    <tableColumn id="14677" xr3:uid="{8138DDCD-E1B9-45A4-8880-150A4C7CA332}" name="Column14671"/>
    <tableColumn id="14678" xr3:uid="{8B151610-C15A-44AF-A06F-27E7DE485698}" name="Column14672"/>
    <tableColumn id="14679" xr3:uid="{98C73DCC-4BC5-4EF7-90AE-FC6DFA213D46}" name="Column14673"/>
    <tableColumn id="14680" xr3:uid="{88AF995F-30CA-4882-AE08-0924363BBE5E}" name="Column14674"/>
    <tableColumn id="14681" xr3:uid="{ED6CEA60-8E78-4167-99D1-BDB423F29168}" name="Column14675"/>
    <tableColumn id="14682" xr3:uid="{F8738857-9D99-45AC-B611-B30CA4C0919F}" name="Column14676"/>
    <tableColumn id="14683" xr3:uid="{08F3DED7-82B8-41E8-877A-AB528A1D4F9E}" name="Column14677"/>
    <tableColumn id="14684" xr3:uid="{334D76A7-FF6C-4769-A9CF-1F81845C30AD}" name="Column14678"/>
    <tableColumn id="14685" xr3:uid="{A437AA20-771C-4691-BEE2-483A9F770BF0}" name="Column14679"/>
    <tableColumn id="14686" xr3:uid="{629FF031-5EAE-4D46-8B0D-BBF720BCAC80}" name="Column14680"/>
    <tableColumn id="14687" xr3:uid="{DB273D80-32C6-48D8-B709-0B93E1DE6CB4}" name="Column14681"/>
    <tableColumn id="14688" xr3:uid="{495206DA-CBA3-4799-B066-632DCC63AF8C}" name="Column14682"/>
    <tableColumn id="14689" xr3:uid="{6534A325-B3C2-438D-BABF-BF308467F68E}" name="Column14683"/>
    <tableColumn id="14690" xr3:uid="{AF06A7C1-B405-42D1-B56F-09DDF5C60C43}" name="Column14684"/>
    <tableColumn id="14691" xr3:uid="{9D12DEBC-7EAB-44FC-9A4E-7E81B4B892B5}" name="Column14685"/>
    <tableColumn id="14692" xr3:uid="{24488C11-4BFF-4472-9D4A-FF826B32D041}" name="Column14686"/>
    <tableColumn id="14693" xr3:uid="{5BB6A795-D482-4F04-9522-068254B05A0F}" name="Column14687"/>
    <tableColumn id="14694" xr3:uid="{1A58EAB0-BF45-42C9-9F36-BFD50DD4E8B8}" name="Column14688"/>
    <tableColumn id="14695" xr3:uid="{9FF534CD-51B0-49CA-8A6B-DD08E8396390}" name="Column14689"/>
    <tableColumn id="14696" xr3:uid="{00A61D9E-9DC4-4103-8552-7115B6E9F76B}" name="Column14690"/>
    <tableColumn id="14697" xr3:uid="{A04417AF-7264-4D7C-95C7-9F30D722F228}" name="Column14691"/>
    <tableColumn id="14698" xr3:uid="{4A877038-7957-477C-BEE7-3960B114F0CE}" name="Column14692"/>
    <tableColumn id="14699" xr3:uid="{EFE99082-266C-479C-BD93-FB4A7B4342DB}" name="Column14693"/>
    <tableColumn id="14700" xr3:uid="{B34CE305-3180-4261-B205-B6EA359175F2}" name="Column14694"/>
    <tableColumn id="14701" xr3:uid="{792FEEF2-B50A-43AF-B137-F1A6E8895DEC}" name="Column14695"/>
    <tableColumn id="14702" xr3:uid="{2D720AF3-8736-41A2-B806-4B9698F133E1}" name="Column14696"/>
    <tableColumn id="14703" xr3:uid="{178038DF-9B97-4666-96E7-A181FED149BD}" name="Column14697"/>
    <tableColumn id="14704" xr3:uid="{405F099E-3723-4653-9585-CF7D157C7E3C}" name="Column14698"/>
    <tableColumn id="14705" xr3:uid="{54E21B09-B9B5-44F1-8B79-3D4E77F16168}" name="Column14699"/>
    <tableColumn id="14706" xr3:uid="{9E465234-F76C-4A17-BA36-AB128219601D}" name="Column14700"/>
    <tableColumn id="14707" xr3:uid="{C5A11410-EFB7-41DA-85F0-0B63EC4DFDC8}" name="Column14701"/>
    <tableColumn id="14708" xr3:uid="{3B25DE58-3E8F-416D-9597-AAD81AB5B144}" name="Column14702"/>
    <tableColumn id="14709" xr3:uid="{96349D69-0380-4104-B3C9-5FE69C75B413}" name="Column14703"/>
    <tableColumn id="14710" xr3:uid="{94F7B384-2B3E-4510-BC43-AE5180DE2970}" name="Column14704"/>
    <tableColumn id="14711" xr3:uid="{AA8AFD9B-F0A2-4052-8A52-06262F89CDC4}" name="Column14705"/>
    <tableColumn id="14712" xr3:uid="{FFA6FBC0-F191-4CA6-8F6C-6CEA178DC0F0}" name="Column14706"/>
    <tableColumn id="14713" xr3:uid="{2513B1C3-99BF-475C-A5FB-D3F5962D12CF}" name="Column14707"/>
    <tableColumn id="14714" xr3:uid="{8BEF601C-0719-46AD-8A11-9182DAC7CFAE}" name="Column14708"/>
    <tableColumn id="14715" xr3:uid="{C03A5118-4AB7-415C-8586-F49E5FBDC529}" name="Column14709"/>
    <tableColumn id="14716" xr3:uid="{B6F38DA8-298F-4EB4-B786-C3E855B9E052}" name="Column14710"/>
    <tableColumn id="14717" xr3:uid="{D9E83CE5-4CDC-46ED-A05F-17365A54883D}" name="Column14711"/>
    <tableColumn id="14718" xr3:uid="{0CBB3DC5-6EDD-4E0F-894F-59AF6D33A150}" name="Column14712"/>
    <tableColumn id="14719" xr3:uid="{5EB53F56-91CF-4E89-ACB0-BCDC846CE9BE}" name="Column14713"/>
    <tableColumn id="14720" xr3:uid="{B93FCE44-433D-4F14-A931-7067DD97D180}" name="Column14714"/>
    <tableColumn id="14721" xr3:uid="{2E7A3829-7E13-4EDE-9CDA-03187E5901FE}" name="Column14715"/>
    <tableColumn id="14722" xr3:uid="{58DDC013-6E3E-473E-9947-FFFB668139CC}" name="Column14716"/>
    <tableColumn id="14723" xr3:uid="{A04FC3D6-7738-4747-9DFD-5BB8A23E7157}" name="Column14717"/>
    <tableColumn id="14724" xr3:uid="{6EEE5416-B74B-4966-845C-0693ABA0BAF1}" name="Column14718"/>
    <tableColumn id="14725" xr3:uid="{1F534A62-0AFC-40A0-A3A8-DD13E255DD37}" name="Column14719"/>
    <tableColumn id="14726" xr3:uid="{B47C6526-9FEA-4254-9E8A-7368734851AF}" name="Column14720"/>
    <tableColumn id="14727" xr3:uid="{7763903F-84BB-47D7-9B0B-65EB3B2F6C60}" name="Column14721"/>
    <tableColumn id="14728" xr3:uid="{E4D62E76-0D56-4351-8D1E-7E0FCF8E0F19}" name="Column14722"/>
    <tableColumn id="14729" xr3:uid="{A644319A-4C8E-4408-9630-809F220E16FA}" name="Column14723"/>
    <tableColumn id="14730" xr3:uid="{A009D244-1B12-4961-ACBF-289814DB8026}" name="Column14724"/>
    <tableColumn id="14731" xr3:uid="{14C95EC7-6875-4DF6-A913-0D96FF2D57E8}" name="Column14725"/>
    <tableColumn id="14732" xr3:uid="{88290D2C-9AA6-44DD-B45B-B040F08BD23F}" name="Column14726"/>
    <tableColumn id="14733" xr3:uid="{4313CE02-2B3A-429D-980F-468783096720}" name="Column14727"/>
    <tableColumn id="14734" xr3:uid="{625409F0-4468-4916-A175-839B04F2343E}" name="Column14728"/>
    <tableColumn id="14735" xr3:uid="{8993A64D-5276-4702-9566-1A3F86A4C76D}" name="Column14729"/>
    <tableColumn id="14736" xr3:uid="{F18644A3-8E56-46B5-9C83-719341256ADB}" name="Column14730"/>
    <tableColumn id="14737" xr3:uid="{CB3690C5-EE11-4F51-96D2-1932130153D0}" name="Column14731"/>
    <tableColumn id="14738" xr3:uid="{5AA1128B-5B72-434B-81DE-9D129263084A}" name="Column14732"/>
    <tableColumn id="14739" xr3:uid="{02C82C22-C527-4FA0-AB1E-7C958275D282}" name="Column14733"/>
    <tableColumn id="14740" xr3:uid="{1D2FBE8D-1CA2-4CC6-8D8F-E92F426D7646}" name="Column14734"/>
    <tableColumn id="14741" xr3:uid="{C1B3647F-AD2F-48E8-BD84-91029876C406}" name="Column14735"/>
    <tableColumn id="14742" xr3:uid="{55200C61-2F54-4C20-8D30-4FAB9E189204}" name="Column14736"/>
    <tableColumn id="14743" xr3:uid="{1B27E583-D015-4033-9F60-3234FEB962ED}" name="Column14737"/>
    <tableColumn id="14744" xr3:uid="{19CBF037-542A-4506-9A83-CC392897C834}" name="Column14738"/>
    <tableColumn id="14745" xr3:uid="{425D92CF-34FA-4442-A659-ABEB47F83016}" name="Column14739"/>
    <tableColumn id="14746" xr3:uid="{4C983451-207B-4060-8132-66846A1942BE}" name="Column14740"/>
    <tableColumn id="14747" xr3:uid="{B622E3A2-814F-4567-AAFB-1D610BDEC8F1}" name="Column14741"/>
    <tableColumn id="14748" xr3:uid="{229B7F6F-897D-49D3-A1F0-00BAEE2997FC}" name="Column14742"/>
    <tableColumn id="14749" xr3:uid="{0F70BBE3-0AC9-46A1-83C8-83472141ADE8}" name="Column14743"/>
    <tableColumn id="14750" xr3:uid="{193A2724-310F-4D09-8F77-1B2E5C846641}" name="Column14744"/>
    <tableColumn id="14751" xr3:uid="{267E0D41-9B3C-4841-A307-1CD78F99D59B}" name="Column14745"/>
    <tableColumn id="14752" xr3:uid="{E3A0C949-E91A-4884-9440-C2069C0CBC04}" name="Column14746"/>
    <tableColumn id="14753" xr3:uid="{EC4227DA-F9F6-42C3-8D65-FB477597E42D}" name="Column14747"/>
    <tableColumn id="14754" xr3:uid="{07915C35-59DC-4776-8799-A706D82D1333}" name="Column14748"/>
    <tableColumn id="14755" xr3:uid="{D89DDFEB-C2FE-435B-8CC7-A5F51D6D61BB}" name="Column14749"/>
    <tableColumn id="14756" xr3:uid="{C7C373C9-13C6-42F6-AC28-ADCBED3FF95E}" name="Column14750"/>
    <tableColumn id="14757" xr3:uid="{23B34CE6-999F-4A70-9CD3-7BE6D2D576D6}" name="Column14751"/>
    <tableColumn id="14758" xr3:uid="{5EB317D7-2866-43CF-8E9A-FAEA8D31F968}" name="Column14752"/>
    <tableColumn id="14759" xr3:uid="{83628A6B-79FD-42C7-8126-5743EACE848C}" name="Column14753"/>
    <tableColumn id="14760" xr3:uid="{4CD4A504-A6B5-4115-BF56-B48526E294F8}" name="Column14754"/>
    <tableColumn id="14761" xr3:uid="{740241FF-C3D8-4DEF-870F-2096D9D229B8}" name="Column14755"/>
    <tableColumn id="14762" xr3:uid="{C3472D7B-EBFC-4E09-B0B3-491CEF8FE44B}" name="Column14756"/>
    <tableColumn id="14763" xr3:uid="{60F2883F-E571-4448-8127-F4E02D6DCBBA}" name="Column14757"/>
    <tableColumn id="14764" xr3:uid="{C5468BD5-6007-4450-B66D-EE71E0FDF35B}" name="Column14758"/>
    <tableColumn id="14765" xr3:uid="{6922E19B-1288-47AC-9193-C509DE42FA07}" name="Column14759"/>
    <tableColumn id="14766" xr3:uid="{42AC8032-2891-4BBC-8D3E-FF0FD5089C49}" name="Column14760"/>
    <tableColumn id="14767" xr3:uid="{6F135680-14BB-43B9-9FCB-48CF3E095780}" name="Column14761"/>
    <tableColumn id="14768" xr3:uid="{AF0B8B17-AFCE-4288-AA49-397FC15E275C}" name="Column14762"/>
    <tableColumn id="14769" xr3:uid="{EFF0AB6C-680F-42DC-A28C-AF5269D8475A}" name="Column14763"/>
    <tableColumn id="14770" xr3:uid="{E4472D90-51E9-42AE-A0B3-9B2950F5C264}" name="Column14764"/>
    <tableColumn id="14771" xr3:uid="{0D270666-3583-4EF1-961D-8AD80B3B9D70}" name="Column14765"/>
    <tableColumn id="14772" xr3:uid="{B57952DD-8F34-433F-8E10-33B5155B7304}" name="Column14766"/>
    <tableColumn id="14773" xr3:uid="{4F1CF465-4D04-4412-A3FC-61C50002B896}" name="Column14767"/>
    <tableColumn id="14774" xr3:uid="{3CF63D8C-82BC-4F43-A369-557BF8F79538}" name="Column14768"/>
    <tableColumn id="14775" xr3:uid="{F7BF3E57-F314-498B-88A4-62D86A21EC43}" name="Column14769"/>
    <tableColumn id="14776" xr3:uid="{77D95444-2A02-4B97-BC21-6DA853167116}" name="Column14770"/>
    <tableColumn id="14777" xr3:uid="{B3EC9696-0BE1-4E56-A5A8-002520489ACC}" name="Column14771"/>
    <tableColumn id="14778" xr3:uid="{96156E22-7910-401F-A7A1-8C0F0F66EFE9}" name="Column14772"/>
    <tableColumn id="14779" xr3:uid="{6EF79A98-FF06-4CEC-81C1-900A85E5DE6D}" name="Column14773"/>
    <tableColumn id="14780" xr3:uid="{40D56375-672C-499E-8986-A819619088D9}" name="Column14774"/>
    <tableColumn id="14781" xr3:uid="{6AC33EEB-A7C1-4500-B61E-6FD514FA9DFE}" name="Column14775"/>
    <tableColumn id="14782" xr3:uid="{B4C1CF99-EACD-4143-86F6-BDEE70E127B0}" name="Column14776"/>
    <tableColumn id="14783" xr3:uid="{7C06F702-39FD-4823-A8DA-5DDC7195E989}" name="Column14777"/>
    <tableColumn id="14784" xr3:uid="{AA21555D-614A-4976-AFFB-4988FBE18881}" name="Column14778"/>
    <tableColumn id="14785" xr3:uid="{A757BD1B-DC7B-44F9-BE35-2569D8719AD0}" name="Column14779"/>
    <tableColumn id="14786" xr3:uid="{A902DA19-609D-4FDD-874D-9085C3092B2A}" name="Column14780"/>
    <tableColumn id="14787" xr3:uid="{8CA34D22-E47C-469F-8F86-D7E25989EBEB}" name="Column14781"/>
    <tableColumn id="14788" xr3:uid="{C4641AEE-079B-4FC9-A3C5-F01D8E98D5BC}" name="Column14782"/>
    <tableColumn id="14789" xr3:uid="{683D71E3-B30B-4EED-93FA-A95F735532D4}" name="Column14783"/>
    <tableColumn id="14790" xr3:uid="{B01E0C4A-8533-454D-97FB-47B5E8E2A25A}" name="Column14784"/>
    <tableColumn id="14791" xr3:uid="{293DB118-DF93-4568-BA53-E704C84EB7DE}" name="Column14785"/>
    <tableColumn id="14792" xr3:uid="{B2F6E766-62F6-40CB-BEB2-840126F8D895}" name="Column14786"/>
    <tableColumn id="14793" xr3:uid="{BDB065D2-E7C4-405D-B020-6504C8C836DC}" name="Column14787"/>
    <tableColumn id="14794" xr3:uid="{6A5BE2FF-EF9E-4094-85D5-90D26EDEAF9E}" name="Column14788"/>
    <tableColumn id="14795" xr3:uid="{756F9596-8304-4934-ACD8-2461B2E48DB0}" name="Column14789"/>
    <tableColumn id="14796" xr3:uid="{033BC4D7-C4DE-42D2-9191-F16CCD695E71}" name="Column14790"/>
    <tableColumn id="14797" xr3:uid="{1A0EF6DC-0F6B-448A-823E-D86248FCE3C2}" name="Column14791"/>
    <tableColumn id="14798" xr3:uid="{3597B5E2-E93B-4642-B6A1-08A3BE9056AC}" name="Column14792"/>
    <tableColumn id="14799" xr3:uid="{01A77F76-0646-409D-AC9E-6EA5F0C987CA}" name="Column14793"/>
    <tableColumn id="14800" xr3:uid="{D0F17B6A-33ED-4F18-914D-509822535A80}" name="Column14794"/>
    <tableColumn id="14801" xr3:uid="{34F4B7E0-6E01-4F66-8ADF-2A42A38CDF51}" name="Column14795"/>
    <tableColumn id="14802" xr3:uid="{6973CBFB-BC4B-41DA-8441-F9CEEB9F8C70}" name="Column14796"/>
    <tableColumn id="14803" xr3:uid="{0E4D707A-1860-4815-AD33-8AC6DE786F92}" name="Column14797"/>
    <tableColumn id="14804" xr3:uid="{2A6218DD-3A85-42DF-B8C0-0E07CEA1D787}" name="Column14798"/>
    <tableColumn id="14805" xr3:uid="{63FD8BEF-6DF5-4C79-87A7-82AF89B661F1}" name="Column14799"/>
    <tableColumn id="14806" xr3:uid="{8C11A290-1FEB-49D1-A7EE-6DE935F451A9}" name="Column14800"/>
    <tableColumn id="14807" xr3:uid="{532E6F07-0D8F-4933-ABAB-EE47B49BE02B}" name="Column14801"/>
    <tableColumn id="14808" xr3:uid="{A93F9DE3-5ADA-4755-BBA0-26EB9BBCB7C8}" name="Column14802"/>
    <tableColumn id="14809" xr3:uid="{93525CF8-29F8-4E0E-82B2-09BA710F6915}" name="Column14803"/>
    <tableColumn id="14810" xr3:uid="{C0C534BB-364D-4FC3-925B-6416C8047F91}" name="Column14804"/>
    <tableColumn id="14811" xr3:uid="{76B94B97-76AE-42A4-8D8C-B280FCEF2026}" name="Column14805"/>
    <tableColumn id="14812" xr3:uid="{DF3E8FFD-0C8C-4AD5-B332-1D63E4C15E6E}" name="Column14806"/>
    <tableColumn id="14813" xr3:uid="{E3DFC5A1-E79C-4EDA-91F8-E86A2BAE28E6}" name="Column14807"/>
    <tableColumn id="14814" xr3:uid="{213A8BB2-B573-40BE-81C9-D1C637C290B8}" name="Column14808"/>
    <tableColumn id="14815" xr3:uid="{EF45EB1A-D3BD-4B0D-8093-1D0EF4B0F788}" name="Column14809"/>
    <tableColumn id="14816" xr3:uid="{F0F4E621-A04D-47A6-97F6-D2C6A6FF49CC}" name="Column14810"/>
    <tableColumn id="14817" xr3:uid="{94DA3857-F299-4618-8657-3D0E1F0308A4}" name="Column14811"/>
    <tableColumn id="14818" xr3:uid="{B132C4B7-E931-4C66-B877-1D21F102CC24}" name="Column14812"/>
    <tableColumn id="14819" xr3:uid="{89F5BC22-C423-4B9B-9994-A0833B359C37}" name="Column14813"/>
    <tableColumn id="14820" xr3:uid="{D86CCD96-1C2A-419C-9C48-F7295D6B4380}" name="Column14814"/>
    <tableColumn id="14821" xr3:uid="{3F9CAEF8-2741-455C-A8B4-B8C666E55E96}" name="Column14815"/>
    <tableColumn id="14822" xr3:uid="{ED05FC42-DDC1-4BC7-91A7-19D9D5857F1F}" name="Column14816"/>
    <tableColumn id="14823" xr3:uid="{77BB1553-9195-40AD-9BC3-46682A00C5ED}" name="Column14817"/>
    <tableColumn id="14824" xr3:uid="{0162782B-8749-4666-93FF-9ADEE5449254}" name="Column14818"/>
    <tableColumn id="14825" xr3:uid="{94EFC44A-DF4F-42AB-A173-53CA385EFF15}" name="Column14819"/>
    <tableColumn id="14826" xr3:uid="{9970903F-E6BC-433B-BCD3-3485AD52DED8}" name="Column14820"/>
    <tableColumn id="14827" xr3:uid="{D3A13DA3-8D3D-4127-BABA-CDFA51B23332}" name="Column14821"/>
    <tableColumn id="14828" xr3:uid="{61C239DD-8432-4F07-B2E0-7A3377B0CDDD}" name="Column14822"/>
    <tableColumn id="14829" xr3:uid="{9E992AF6-BE2E-488A-833F-C9DAF64FB9BD}" name="Column14823"/>
    <tableColumn id="14830" xr3:uid="{23382592-DB69-487C-BC11-E3E45E7431F9}" name="Column14824"/>
    <tableColumn id="14831" xr3:uid="{48F82C1F-9F75-4CDD-9D41-2AC6AAA335EE}" name="Column14825"/>
    <tableColumn id="14832" xr3:uid="{8317C967-F766-4894-92EB-4AB25F21445A}" name="Column14826"/>
    <tableColumn id="14833" xr3:uid="{0DC3E64F-70B7-49B4-B903-C55A9F261040}" name="Column14827"/>
    <tableColumn id="14834" xr3:uid="{E39EE742-F556-499B-A8CD-339195A9CDE7}" name="Column14828"/>
    <tableColumn id="14835" xr3:uid="{C6890BB5-D5A6-40F0-92FA-F2A1827BF91B}" name="Column14829"/>
    <tableColumn id="14836" xr3:uid="{7A2AD5A0-2D23-462C-BADD-EEB1D126FBAE}" name="Column14830"/>
    <tableColumn id="14837" xr3:uid="{A67EC3C7-ECAF-450F-85A3-CBBD213E9F1C}" name="Column14831"/>
    <tableColumn id="14838" xr3:uid="{5B9F5F9C-30A3-44F5-8A0C-8FADB33BF097}" name="Column14832"/>
    <tableColumn id="14839" xr3:uid="{2E5DCABC-82E4-4D8D-A941-2B83F9527DCB}" name="Column14833"/>
    <tableColumn id="14840" xr3:uid="{64DDA130-CB29-4183-AEA6-1F8C093F4E4B}" name="Column14834"/>
    <tableColumn id="14841" xr3:uid="{2FCFFB5C-12FF-4F68-939C-986C79A93965}" name="Column14835"/>
    <tableColumn id="14842" xr3:uid="{C3FC471E-4F96-4860-AF31-D807746E437B}" name="Column14836"/>
    <tableColumn id="14843" xr3:uid="{4FD5AD52-FD65-4579-AE91-852F3923E461}" name="Column14837"/>
    <tableColumn id="14844" xr3:uid="{B249C6BE-4080-467D-8F69-3D35DBE87967}" name="Column14838"/>
    <tableColumn id="14845" xr3:uid="{34911A7A-79FE-401D-A39F-21F0F97973F2}" name="Column14839"/>
    <tableColumn id="14846" xr3:uid="{40BE13F5-E934-44FF-88C4-A26EC3739FAD}" name="Column14840"/>
    <tableColumn id="14847" xr3:uid="{51A9A4DC-D841-4660-8970-7EB7C06895B8}" name="Column14841"/>
    <tableColumn id="14848" xr3:uid="{4DB652D7-87FE-4206-9EA6-6BD84DF08E35}" name="Column14842"/>
    <tableColumn id="14849" xr3:uid="{7CD94BB6-C47C-4D4F-85A3-D261A5AE68C0}" name="Column14843"/>
    <tableColumn id="14850" xr3:uid="{D75D7147-C97A-494E-98BB-E45811C7D47C}" name="Column14844"/>
    <tableColumn id="14851" xr3:uid="{EA6AD9EF-C039-425D-8A74-7FB65DD6BD27}" name="Column14845"/>
    <tableColumn id="14852" xr3:uid="{E64493D0-E0C6-459F-AD7C-6E5EA55AB175}" name="Column14846"/>
    <tableColumn id="14853" xr3:uid="{E5BCC7D5-3317-4199-8126-C7D24992D78B}" name="Column14847"/>
    <tableColumn id="14854" xr3:uid="{1D5F87F1-EE71-418D-AE86-1E077B8A4709}" name="Column14848"/>
    <tableColumn id="14855" xr3:uid="{C6CFAD5F-4F1C-4685-A15F-B2BAA302A6F0}" name="Column14849"/>
    <tableColumn id="14856" xr3:uid="{33C96046-C333-4F23-9DBA-B7849D9BD12A}" name="Column14850"/>
    <tableColumn id="14857" xr3:uid="{3031AC76-002F-458F-BC29-39BCD4B70AB7}" name="Column14851"/>
    <tableColumn id="14858" xr3:uid="{3F5EF444-A51B-4835-AE8A-8C338520153C}" name="Column14852"/>
    <tableColumn id="14859" xr3:uid="{24A14258-66C5-419C-B1A9-3346D1B11986}" name="Column14853"/>
    <tableColumn id="14860" xr3:uid="{CFDF6E35-805A-4972-BEA4-415C0E543C53}" name="Column14854"/>
    <tableColumn id="14861" xr3:uid="{7D6C3A2E-4C2D-40B3-BE2D-4DB9DE316593}" name="Column14855"/>
    <tableColumn id="14862" xr3:uid="{6993B3F4-7318-48D9-972E-B850B88FAF3F}" name="Column14856"/>
    <tableColumn id="14863" xr3:uid="{F1D4E2F7-5D67-40B5-8E7E-A66E7185C994}" name="Column14857"/>
    <tableColumn id="14864" xr3:uid="{13F41429-6215-470B-A132-B5A455539C6B}" name="Column14858"/>
    <tableColumn id="14865" xr3:uid="{C307B9F3-7036-47C9-A07F-EBB29EDBBBA2}" name="Column14859"/>
    <tableColumn id="14866" xr3:uid="{014B304A-403A-460F-84A5-57FAA7EE223F}" name="Column14860"/>
    <tableColumn id="14867" xr3:uid="{E947FAE1-252F-40B0-82D8-4C66F3D5C68A}" name="Column14861"/>
    <tableColumn id="14868" xr3:uid="{36021388-D34F-4BD9-9B60-37F8B80ABB04}" name="Column14862"/>
    <tableColumn id="14869" xr3:uid="{50BD6528-18BF-4F71-B6BE-4CEE4B09A8B5}" name="Column14863"/>
    <tableColumn id="14870" xr3:uid="{95BA3E6D-7DA4-4916-9A78-431F7B97F47C}" name="Column14864"/>
    <tableColumn id="14871" xr3:uid="{717BB2B2-BC11-4D45-9634-FACC0A934711}" name="Column14865"/>
    <tableColumn id="14872" xr3:uid="{85349AE6-D43F-42F1-9E29-8E2DA3F4F77E}" name="Column14866"/>
    <tableColumn id="14873" xr3:uid="{C22B98B7-D86F-4AF4-BBDE-6A318CF4AE71}" name="Column14867"/>
    <tableColumn id="14874" xr3:uid="{29A619CC-26E5-4851-9077-039EF3CD26AF}" name="Column14868"/>
    <tableColumn id="14875" xr3:uid="{AEE53C99-A636-4BE3-8AAF-D422E9CFACE5}" name="Column14869"/>
    <tableColumn id="14876" xr3:uid="{B3BBA11F-AC5F-46C6-9920-AF8E76A5F54A}" name="Column14870"/>
    <tableColumn id="14877" xr3:uid="{9A5084A2-1248-45AD-AB4F-AED07094B6F1}" name="Column14871"/>
    <tableColumn id="14878" xr3:uid="{E9EE31BD-E235-40CE-96FF-F8F3344FD397}" name="Column14872"/>
    <tableColumn id="14879" xr3:uid="{787B3A59-452D-4F19-9BFA-289A252E593D}" name="Column14873"/>
    <tableColumn id="14880" xr3:uid="{B93BD268-640E-43E6-B500-4136792AD9FC}" name="Column14874"/>
    <tableColumn id="14881" xr3:uid="{CA3E15F9-20A6-47FD-BA7E-A39E88E4588E}" name="Column14875"/>
    <tableColumn id="14882" xr3:uid="{942E1412-963D-4987-8047-6248CA99D312}" name="Column14876"/>
    <tableColumn id="14883" xr3:uid="{80D1EED8-3739-4868-9261-15871CD527BB}" name="Column14877"/>
    <tableColumn id="14884" xr3:uid="{46F863F2-E9B0-43D2-87F7-0C96893E61B1}" name="Column14878"/>
    <tableColumn id="14885" xr3:uid="{B62F5311-76AF-4E7D-ABB6-F20C30F821FA}" name="Column14879"/>
    <tableColumn id="14886" xr3:uid="{7ABD3F18-C14A-4DA3-B003-D9ED220A3EF1}" name="Column14880"/>
    <tableColumn id="14887" xr3:uid="{90F8EF39-A1E4-4C4B-B786-362AF760BE75}" name="Column14881"/>
    <tableColumn id="14888" xr3:uid="{DE84D245-10B2-4489-BDB1-54EF5730B3F9}" name="Column14882"/>
    <tableColumn id="14889" xr3:uid="{82B800E3-031B-4699-B24B-2F9BB8C987DD}" name="Column14883"/>
    <tableColumn id="14890" xr3:uid="{CBB2078A-0C62-4D73-B9C6-80DB0AD93CBF}" name="Column14884"/>
    <tableColumn id="14891" xr3:uid="{034E9CFD-5611-456E-B89D-8B6CA80B57C5}" name="Column14885"/>
    <tableColumn id="14892" xr3:uid="{5FAC85A4-8107-47EE-9657-C3A62462C9C4}" name="Column14886"/>
    <tableColumn id="14893" xr3:uid="{7319D716-74B8-44A9-9B40-3F0C9A04E1FC}" name="Column14887"/>
    <tableColumn id="14894" xr3:uid="{A2DB25B2-12CA-407F-BC48-241D3193C257}" name="Column14888"/>
    <tableColumn id="14895" xr3:uid="{E63AC690-1AA4-4855-BC05-2D6C1D524168}" name="Column14889"/>
    <tableColumn id="14896" xr3:uid="{D38396D5-D3AB-4727-8241-076FCC10CD05}" name="Column14890"/>
    <tableColumn id="14897" xr3:uid="{DE35741C-8F0C-4FDD-900C-41CD6980F7AA}" name="Column14891"/>
    <tableColumn id="14898" xr3:uid="{533F9B12-DA15-4C7B-B75F-257A7D28BB50}" name="Column14892"/>
    <tableColumn id="14899" xr3:uid="{D00AF4DA-9C5F-4317-8A5A-81C06951FBC7}" name="Column14893"/>
    <tableColumn id="14900" xr3:uid="{93AF76EA-92F4-417A-ADEC-31E9BB0BAAC7}" name="Column14894"/>
    <tableColumn id="14901" xr3:uid="{026EC640-184D-46AC-A106-F2F764AC10B5}" name="Column14895"/>
    <tableColumn id="14902" xr3:uid="{7CC9A38F-A09A-46BA-AC96-62FE16CA9153}" name="Column14896"/>
    <tableColumn id="14903" xr3:uid="{0C8C6B3E-BF30-4B3A-AD30-1FD62C1C28BB}" name="Column14897"/>
    <tableColumn id="14904" xr3:uid="{B156EF5E-8B13-4C9A-8006-69C1B766073C}" name="Column14898"/>
    <tableColumn id="14905" xr3:uid="{C6B4D1F4-989A-47D6-8A68-F342115E318E}" name="Column14899"/>
    <tableColumn id="14906" xr3:uid="{BDA2FC14-9358-45DD-9464-75CDC0BB4002}" name="Column14900"/>
    <tableColumn id="14907" xr3:uid="{A5DEC870-BC76-470C-92F4-74A1D0EF3DF6}" name="Column14901"/>
    <tableColumn id="14908" xr3:uid="{0C3CF85B-CBA0-4C9E-B7AB-2ED8AC1E0D06}" name="Column14902"/>
    <tableColumn id="14909" xr3:uid="{203FF1E3-38FC-45BD-9D43-0BD25373B7D6}" name="Column14903"/>
    <tableColumn id="14910" xr3:uid="{20B8AB63-4645-42BB-9471-3019F2198166}" name="Column14904"/>
    <tableColumn id="14911" xr3:uid="{AB473E17-DB8E-4C3A-ABE8-B478BF0C10DA}" name="Column14905"/>
    <tableColumn id="14912" xr3:uid="{D9A35696-F164-47B5-BEFB-4FC432E95982}" name="Column14906"/>
    <tableColumn id="14913" xr3:uid="{74BFA485-8A16-4E21-8C86-702E71F0CFEF}" name="Column14907"/>
    <tableColumn id="14914" xr3:uid="{3CE6419A-9B63-42AC-9075-A8C40635E786}" name="Column14908"/>
    <tableColumn id="14915" xr3:uid="{8762C5F3-3828-4246-91E7-CAB8D6F27A2F}" name="Column14909"/>
    <tableColumn id="14916" xr3:uid="{74886B78-B26D-4235-946B-62600D7110B3}" name="Column14910"/>
    <tableColumn id="14917" xr3:uid="{AB8B610C-9F7A-4156-B3B7-5C36DD4BE53C}" name="Column14911"/>
    <tableColumn id="14918" xr3:uid="{53AB3E33-73AC-40B8-AF98-90975958D1D4}" name="Column14912"/>
    <tableColumn id="14919" xr3:uid="{51A0404A-1815-4D95-B36C-E6AFC548C8E6}" name="Column14913"/>
    <tableColumn id="14920" xr3:uid="{55DA88C5-C0DF-4520-BF55-4F63932D1D4C}" name="Column14914"/>
    <tableColumn id="14921" xr3:uid="{47494AB2-852D-4B02-A804-D9DDCB8434C2}" name="Column14915"/>
    <tableColumn id="14922" xr3:uid="{F460E807-8C96-4946-8107-48C7584D9380}" name="Column14916"/>
    <tableColumn id="14923" xr3:uid="{A3D12956-375E-41A6-8421-4D4336C683C3}" name="Column14917"/>
    <tableColumn id="14924" xr3:uid="{9ED665BB-5E5A-455A-85AA-97C142CFCA1B}" name="Column14918"/>
    <tableColumn id="14925" xr3:uid="{8141335B-4404-4B43-AFD2-9311AF6C1DD4}" name="Column14919"/>
    <tableColumn id="14926" xr3:uid="{C534DD23-8971-4205-BB2C-75B756AB58B9}" name="Column14920"/>
    <tableColumn id="14927" xr3:uid="{37281AED-D45C-491E-A210-90CD74462B92}" name="Column14921"/>
    <tableColumn id="14928" xr3:uid="{D7243193-91FD-4B5A-8D21-FB04C475845C}" name="Column14922"/>
    <tableColumn id="14929" xr3:uid="{04109A59-83D1-49B3-BF0D-E73E18C0D192}" name="Column14923"/>
    <tableColumn id="14930" xr3:uid="{798C5B36-A12C-4C77-8888-6EE86185981C}" name="Column14924"/>
    <tableColumn id="14931" xr3:uid="{0DCEFDA2-EFA0-4D8E-842D-873CEA1CC6A7}" name="Column14925"/>
    <tableColumn id="14932" xr3:uid="{719494E3-621B-4548-9782-3DB364582A0B}" name="Column14926"/>
    <tableColumn id="14933" xr3:uid="{9E0E662D-03DE-4AAC-9691-931EAD917440}" name="Column14927"/>
    <tableColumn id="14934" xr3:uid="{1557D2A6-896C-45AF-B031-AC038940EFB5}" name="Column14928"/>
    <tableColumn id="14935" xr3:uid="{BB8713AC-10EE-4221-BC72-1FDD8872B8AF}" name="Column14929"/>
    <tableColumn id="14936" xr3:uid="{EC905F34-3AB8-47DF-9976-2E0FB49DCE0D}" name="Column14930"/>
    <tableColumn id="14937" xr3:uid="{FF495B6A-EC05-4842-896F-2E1D19A8EB72}" name="Column14931"/>
    <tableColumn id="14938" xr3:uid="{8ABC0E59-A6CA-4957-9E75-26EECD19E349}" name="Column14932"/>
    <tableColumn id="14939" xr3:uid="{F9CEC54C-8E08-4BC7-8AD8-A1CB72FD6165}" name="Column14933"/>
    <tableColumn id="14940" xr3:uid="{5FE8F984-281F-4CCE-A521-428D822CC1B2}" name="Column14934"/>
    <tableColumn id="14941" xr3:uid="{F7760FEA-87B2-49E4-AAE3-CE3AE688DAFF}" name="Column14935"/>
    <tableColumn id="14942" xr3:uid="{BF7173A7-E3F2-405F-838C-CACCF36F2738}" name="Column14936"/>
    <tableColumn id="14943" xr3:uid="{DED3E549-7A84-4670-9D5B-03FC2268D4BE}" name="Column14937"/>
    <tableColumn id="14944" xr3:uid="{26114F04-C078-4C19-A939-471E5415334E}" name="Column14938"/>
    <tableColumn id="14945" xr3:uid="{9D4FA9F8-EBF6-4EEC-B94F-092FC1002AC6}" name="Column14939"/>
    <tableColumn id="14946" xr3:uid="{7EE9225D-F32D-408D-AAC8-1A564EEFAD8E}" name="Column14940"/>
    <tableColumn id="14947" xr3:uid="{025E49AF-7093-44EB-B7C8-ED02C0DC4C57}" name="Column14941"/>
    <tableColumn id="14948" xr3:uid="{ADEE2757-D588-4723-BB5D-C5E3DBC11FC6}" name="Column14942"/>
    <tableColumn id="14949" xr3:uid="{9FD5D5E4-C59C-4640-9A55-81FD3678C798}" name="Column14943"/>
    <tableColumn id="14950" xr3:uid="{0A0D42B3-1038-4486-8109-33CC8FB6F844}" name="Column14944"/>
    <tableColumn id="14951" xr3:uid="{59CB7829-3520-40A0-9CFD-3561A9CDD3DD}" name="Column14945"/>
    <tableColumn id="14952" xr3:uid="{CB371779-EEB7-4ADC-AE37-3B45D2357F36}" name="Column14946"/>
    <tableColumn id="14953" xr3:uid="{B9A571E2-F2D5-48A2-BA49-C9626876577C}" name="Column14947"/>
    <tableColumn id="14954" xr3:uid="{97DDA1DD-2E86-47A7-BFF9-D3EBA3AF9F20}" name="Column14948"/>
    <tableColumn id="14955" xr3:uid="{DBEB2DAE-F1CF-4747-A105-FD7A4CB05E19}" name="Column14949"/>
    <tableColumn id="14956" xr3:uid="{7F5748DC-1B83-4593-990E-F5F5F9694826}" name="Column14950"/>
    <tableColumn id="14957" xr3:uid="{B1855CD9-3848-4EBF-8659-9F0A6A486674}" name="Column14951"/>
    <tableColumn id="14958" xr3:uid="{66317C8C-6992-46FA-910C-3C0C880F0344}" name="Column14952"/>
    <tableColumn id="14959" xr3:uid="{FBA74180-F8FC-4128-B16F-056E90E3E3F7}" name="Column14953"/>
    <tableColumn id="14960" xr3:uid="{7C206103-ED7E-466B-A6D0-3C45C345804D}" name="Column14954"/>
    <tableColumn id="14961" xr3:uid="{096068FB-C5D8-4C52-A4C7-5AC6BB1913FC}" name="Column14955"/>
    <tableColumn id="14962" xr3:uid="{64CC6943-0CFA-4059-89CE-C168FFD6809B}" name="Column14956"/>
    <tableColumn id="14963" xr3:uid="{6A85DD3F-37E7-4E60-BBEF-6F6DBBB86EFA}" name="Column14957"/>
    <tableColumn id="14964" xr3:uid="{2AB4B15C-957A-46C7-845F-77EC76CBE95F}" name="Column14958"/>
    <tableColumn id="14965" xr3:uid="{457B4794-0C4E-47B0-BE89-D4F3C540E917}" name="Column14959"/>
    <tableColumn id="14966" xr3:uid="{161E7105-6721-488B-BA28-E1C74BD33458}" name="Column14960"/>
    <tableColumn id="14967" xr3:uid="{B1F37670-6D7D-475F-B41F-AA9CD8BA583A}" name="Column14961"/>
    <tableColumn id="14968" xr3:uid="{5FD074FB-9258-439B-9567-0476E1D704C4}" name="Column14962"/>
    <tableColumn id="14969" xr3:uid="{844D8768-9E1B-4C59-9EDA-000500AB40F6}" name="Column14963"/>
    <tableColumn id="14970" xr3:uid="{49ADD042-18C2-4B8C-BEEF-C903FC58FAAC}" name="Column14964"/>
    <tableColumn id="14971" xr3:uid="{E6229A7A-774C-4D23-BA86-2F8AF9A33219}" name="Column14965"/>
    <tableColumn id="14972" xr3:uid="{105DF2DF-054A-48B0-BF86-ED4F4CDCE6A0}" name="Column14966"/>
    <tableColumn id="14973" xr3:uid="{922287E3-3E8A-4CE0-AFBA-BAF0E551852E}" name="Column14967"/>
    <tableColumn id="14974" xr3:uid="{28E72C66-2717-4842-86EE-AA143FFD760E}" name="Column14968"/>
    <tableColumn id="14975" xr3:uid="{87EF5940-C862-4859-A7BB-4AA205EFB0E4}" name="Column14969"/>
    <tableColumn id="14976" xr3:uid="{EA264427-E3C4-4697-B0D4-5F688EE829EC}" name="Column14970"/>
    <tableColumn id="14977" xr3:uid="{CD9F4E3A-C3CE-4A28-9472-27D704D28E4F}" name="Column14971"/>
    <tableColumn id="14978" xr3:uid="{FBD2B2CA-E53E-4DA9-BB44-26285928084C}" name="Column14972"/>
    <tableColumn id="14979" xr3:uid="{360F6E69-A34F-4C72-8FB1-E3C5289B5D79}" name="Column14973"/>
    <tableColumn id="14980" xr3:uid="{BE0C3548-E8DF-482E-82D0-E1A9F0073C0F}" name="Column14974"/>
    <tableColumn id="14981" xr3:uid="{49110CBB-68B1-4495-B688-54136E044471}" name="Column14975"/>
    <tableColumn id="14982" xr3:uid="{6DEC361A-6A06-40B7-8740-98912BD86885}" name="Column14976"/>
    <tableColumn id="14983" xr3:uid="{F4675EAE-57F6-437E-A633-4A01F56FDB86}" name="Column14977"/>
    <tableColumn id="14984" xr3:uid="{3C7CB5FB-6A75-4837-9552-D8714FDEFF1D}" name="Column14978"/>
    <tableColumn id="14985" xr3:uid="{3713C295-FF23-46F7-9DDE-39C0522D0D81}" name="Column14979"/>
    <tableColumn id="14986" xr3:uid="{E7A9EF55-E90B-4DA1-8B2D-6D4BC5A811CC}" name="Column14980"/>
    <tableColumn id="14987" xr3:uid="{9CD9AC76-5C9F-423E-BBDD-6F5B194C1366}" name="Column14981"/>
    <tableColumn id="14988" xr3:uid="{3F9525BB-97C6-4F72-84FC-BF097B4070CE}" name="Column14982"/>
    <tableColumn id="14989" xr3:uid="{EC550FDA-4282-4117-8DAD-08855ED69038}" name="Column14983"/>
    <tableColumn id="14990" xr3:uid="{3420F861-65E4-4BEF-B589-253CB8047449}" name="Column14984"/>
    <tableColumn id="14991" xr3:uid="{408DDAE6-3960-455A-AEF0-FD576E9A352D}" name="Column14985"/>
    <tableColumn id="14992" xr3:uid="{20092DA6-B08D-44A6-A415-D5E6B3A4E972}" name="Column14986"/>
    <tableColumn id="14993" xr3:uid="{ACAE96B5-6DBD-4D71-BB24-659CA4029384}" name="Column14987"/>
    <tableColumn id="14994" xr3:uid="{676D911F-A4D1-4FE3-8272-1A21B1C0A00B}" name="Column14988"/>
    <tableColumn id="14995" xr3:uid="{04D592EB-C59D-49B5-88A9-B71DAEEAE95C}" name="Column14989"/>
    <tableColumn id="14996" xr3:uid="{F9C7B570-6FD9-498E-873D-8EBBD39CE455}" name="Column14990"/>
    <tableColumn id="14997" xr3:uid="{C6012289-555C-4CA3-A200-B2E6D2401460}" name="Column14991"/>
    <tableColumn id="14998" xr3:uid="{68E78C1C-E6A9-4AD9-AF15-6F33FFE06142}" name="Column14992"/>
    <tableColumn id="14999" xr3:uid="{1D16DA1C-B654-4069-9096-E56C8B28EE0A}" name="Column14993"/>
    <tableColumn id="15000" xr3:uid="{AE9AAB45-3CFF-4019-BD44-18B3A003080C}" name="Column14994"/>
    <tableColumn id="15001" xr3:uid="{6BCEAA6C-BBEF-44D8-9885-3918CE5697D0}" name="Column14995"/>
    <tableColumn id="15002" xr3:uid="{FFBA34D9-9681-40A3-B614-200FC7F0E02B}" name="Column14996"/>
    <tableColumn id="15003" xr3:uid="{D8732181-4224-4D55-8ED6-BA9E7DA0CA5D}" name="Column14997"/>
    <tableColumn id="15004" xr3:uid="{02D7F85E-F49D-4B28-B3FA-0C456AA09C0D}" name="Column14998"/>
    <tableColumn id="15005" xr3:uid="{6271FFB3-D383-4682-9D4F-364C7670DF33}" name="Column14999"/>
    <tableColumn id="15006" xr3:uid="{29CBB271-6F1E-4ECB-BAD3-68E50A8AC624}" name="Column15000"/>
    <tableColumn id="15007" xr3:uid="{0232CC3D-2AB9-435F-A24D-E05743183A58}" name="Column15001"/>
    <tableColumn id="15008" xr3:uid="{5D6341AD-1364-49BB-9B3C-03FD4E63CECD}" name="Column15002"/>
    <tableColumn id="15009" xr3:uid="{12AE3FEC-E65D-4AAA-908A-75C8BC2388E6}" name="Column15003"/>
    <tableColumn id="15010" xr3:uid="{01DD51C4-B653-4776-952B-566D79817F87}" name="Column15004"/>
    <tableColumn id="15011" xr3:uid="{1C4FD0D9-63C8-4A1F-AB4E-72D98EC770B4}" name="Column15005"/>
    <tableColumn id="15012" xr3:uid="{F68E0F31-A161-46EC-BB30-0DF1DBA2A9B6}" name="Column15006"/>
    <tableColumn id="15013" xr3:uid="{024F8241-E7B0-4FDA-BF30-490B274127E4}" name="Column15007"/>
    <tableColumn id="15014" xr3:uid="{6478F36D-ABB5-4C3A-9B93-AA1A525730A3}" name="Column15008"/>
    <tableColumn id="15015" xr3:uid="{95DA226B-5113-4D17-A9AA-CFF606264542}" name="Column15009"/>
    <tableColumn id="15016" xr3:uid="{30B9D441-FAB7-4B80-85DD-C40B5A37E65B}" name="Column15010"/>
    <tableColumn id="15017" xr3:uid="{D609D6BB-1C0F-4421-91DE-CADFEB2B022E}" name="Column15011"/>
    <tableColumn id="15018" xr3:uid="{1379B5DA-7038-476D-A56A-37634B09CE59}" name="Column15012"/>
    <tableColumn id="15019" xr3:uid="{1656BBC8-10FB-4869-9B98-B80C2D748E22}" name="Column15013"/>
    <tableColumn id="15020" xr3:uid="{BC4C72AC-6B5F-43C3-B39A-212E6284C9F1}" name="Column15014"/>
    <tableColumn id="15021" xr3:uid="{3CE66A7B-420A-4535-9357-5384A618DA28}" name="Column15015"/>
    <tableColumn id="15022" xr3:uid="{4832D498-42D5-44CD-B87C-EFA77ECD81C2}" name="Column15016"/>
    <tableColumn id="15023" xr3:uid="{B6F9B17B-C044-4DCA-8738-EACCC2B17728}" name="Column15017"/>
    <tableColumn id="15024" xr3:uid="{337EA011-CB1C-4A7E-83B5-D118F4F54C44}" name="Column15018"/>
    <tableColumn id="15025" xr3:uid="{B936BAF6-1385-49C1-A7D8-C4B8BEFB3152}" name="Column15019"/>
    <tableColumn id="15026" xr3:uid="{6546EEA6-802D-4B84-8B84-E920AD715CE1}" name="Column15020"/>
    <tableColumn id="15027" xr3:uid="{1A8381F5-9EC5-45A4-8A98-E03EBDBB2D1C}" name="Column15021"/>
    <tableColumn id="15028" xr3:uid="{B8F854EB-DAEE-4291-B3B1-9311B0134B55}" name="Column15022"/>
    <tableColumn id="15029" xr3:uid="{A6CD3B77-7CFC-4B0D-9F3D-D1BF9DE2B831}" name="Column15023"/>
    <tableColumn id="15030" xr3:uid="{A73C0B50-46F8-486F-AC81-FA3A770DB227}" name="Column15024"/>
    <tableColumn id="15031" xr3:uid="{5C780D82-81C2-44FA-A664-6F1E27D08514}" name="Column15025"/>
    <tableColumn id="15032" xr3:uid="{54379045-5C13-4430-9D52-F7A9CE4A0487}" name="Column15026"/>
    <tableColumn id="15033" xr3:uid="{85BFAC28-EB22-4A04-B91B-92379BDCE67E}" name="Column15027"/>
    <tableColumn id="15034" xr3:uid="{0ACC6385-197C-47C4-88C0-7A97A9EEF367}" name="Column15028"/>
    <tableColumn id="15035" xr3:uid="{9299323B-4398-4D95-BF76-998367F7E7E0}" name="Column15029"/>
    <tableColumn id="15036" xr3:uid="{80301B89-86FD-4A06-BEAE-DE20FD8848B4}" name="Column15030"/>
    <tableColumn id="15037" xr3:uid="{8E357A11-EBDE-497E-A8AC-B0462526F4BC}" name="Column15031"/>
    <tableColumn id="15038" xr3:uid="{B176B7E1-EF80-4C2E-AD68-963D033E601E}" name="Column15032"/>
    <tableColumn id="15039" xr3:uid="{50E60F2B-D0B1-444E-8BB1-405825C49912}" name="Column15033"/>
    <tableColumn id="15040" xr3:uid="{88589ECA-E823-4C28-9C1F-AB0E68A88DA9}" name="Column15034"/>
    <tableColumn id="15041" xr3:uid="{72D81CEA-006D-4781-BC94-F9326B133C4F}" name="Column15035"/>
    <tableColumn id="15042" xr3:uid="{546BBE25-AC70-42C7-853D-DF18C33AC847}" name="Column15036"/>
    <tableColumn id="15043" xr3:uid="{78BD99AA-2A0D-441C-8AE4-4A28C9B02B49}" name="Column15037"/>
    <tableColumn id="15044" xr3:uid="{1029C55B-2922-449D-82D1-D48655AC53C1}" name="Column15038"/>
    <tableColumn id="15045" xr3:uid="{1C8CC973-88E3-4843-AD72-F7E18C693821}" name="Column15039"/>
    <tableColumn id="15046" xr3:uid="{973F94AB-553A-4BCA-9F3D-74731BCFB816}" name="Column15040"/>
    <tableColumn id="15047" xr3:uid="{1E9D9A50-1213-4C53-B662-D73786AE9E86}" name="Column15041"/>
    <tableColumn id="15048" xr3:uid="{0882B27E-8429-418B-9032-3F641E11F388}" name="Column15042"/>
    <tableColumn id="15049" xr3:uid="{710D7655-05F9-486E-8A95-058E62DB7E97}" name="Column15043"/>
    <tableColumn id="15050" xr3:uid="{D06F9EA7-820B-4DE0-861F-D481C5B85603}" name="Column15044"/>
    <tableColumn id="15051" xr3:uid="{5B13D0E8-423B-416D-A085-F828CFE33BBC}" name="Column15045"/>
    <tableColumn id="15052" xr3:uid="{0005617C-7316-4684-8A86-DC873BC8AE87}" name="Column15046"/>
    <tableColumn id="15053" xr3:uid="{6EFF6480-BD39-48A5-9E7D-6BD04653C1EB}" name="Column15047"/>
    <tableColumn id="15054" xr3:uid="{538DFB8A-4E73-4998-865A-F2EEC529D3E9}" name="Column15048"/>
    <tableColumn id="15055" xr3:uid="{BB4D3A73-ED8B-42ED-8D47-6D8B264AF3D4}" name="Column15049"/>
    <tableColumn id="15056" xr3:uid="{1A5039E2-C66E-48FC-AA35-4CF5A35612B4}" name="Column15050"/>
    <tableColumn id="15057" xr3:uid="{CD656509-013D-4FED-805D-B609159A068F}" name="Column15051"/>
    <tableColumn id="15058" xr3:uid="{DD88BE95-45B1-4A31-99C0-36CD5063337E}" name="Column15052"/>
    <tableColumn id="15059" xr3:uid="{F8E55322-0ED5-47AA-A2CE-23FC2DCAE9A7}" name="Column15053"/>
    <tableColumn id="15060" xr3:uid="{4C5AD0D8-D968-4FE0-8888-C12A4FBC111F}" name="Column15054"/>
    <tableColumn id="15061" xr3:uid="{B36B1E41-6265-490C-BBEC-4EDDB9F3880F}" name="Column15055"/>
    <tableColumn id="15062" xr3:uid="{919E5106-EEE3-4F0C-B738-DEB962EEE55C}" name="Column15056"/>
    <tableColumn id="15063" xr3:uid="{9275EF7C-C8EC-4315-A2E3-17CB7066ECFA}" name="Column15057"/>
    <tableColumn id="15064" xr3:uid="{8101A8EA-CB83-431F-9628-DCB708F81960}" name="Column15058"/>
    <tableColumn id="15065" xr3:uid="{63125B1A-66FC-4A60-A997-D9D717B81DE2}" name="Column15059"/>
    <tableColumn id="15066" xr3:uid="{A2169D7E-FC2C-484B-B57B-7D48F69C2B97}" name="Column15060"/>
    <tableColumn id="15067" xr3:uid="{0175A30E-AB2F-4EB4-9482-A689B99F30BD}" name="Column15061"/>
    <tableColumn id="15068" xr3:uid="{52F4899A-BAE1-4F50-A6B7-B17ACCCA7858}" name="Column15062"/>
    <tableColumn id="15069" xr3:uid="{4C39A193-5B72-45E7-B75F-CC842914D74C}" name="Column15063"/>
    <tableColumn id="15070" xr3:uid="{86AB3045-F186-437A-B86E-8E1A30367F26}" name="Column15064"/>
    <tableColumn id="15071" xr3:uid="{CBEB9140-F3C7-4E83-82E4-8EB46288D0E7}" name="Column15065"/>
    <tableColumn id="15072" xr3:uid="{56CD39C9-8F47-438C-9F55-035CB82A1F2F}" name="Column15066"/>
    <tableColumn id="15073" xr3:uid="{82F24791-029D-479B-ACED-014BEB25D038}" name="Column15067"/>
    <tableColumn id="15074" xr3:uid="{59C1C625-3261-40E2-83DA-723D82F1455B}" name="Column15068"/>
    <tableColumn id="15075" xr3:uid="{2B811462-5ADA-4FB2-8BF2-386555EB4777}" name="Column15069"/>
    <tableColumn id="15076" xr3:uid="{85590E88-FAF5-4E4E-B047-FF6F136140A3}" name="Column15070"/>
    <tableColumn id="15077" xr3:uid="{3BB64109-1FA9-48C5-B5D5-C6728D87D098}" name="Column15071"/>
    <tableColumn id="15078" xr3:uid="{1843FC88-933F-4123-BDB0-36765A946CAC}" name="Column15072"/>
    <tableColumn id="15079" xr3:uid="{FE8F2972-15C2-4DF2-9BB6-67E4F9CCDCD1}" name="Column15073"/>
    <tableColumn id="15080" xr3:uid="{97750D23-7116-4982-938C-D22D42318552}" name="Column15074"/>
    <tableColumn id="15081" xr3:uid="{FCD8DF26-8A67-4126-915C-CDE14397021E}" name="Column15075"/>
    <tableColumn id="15082" xr3:uid="{F91D8873-6E13-4902-9D2B-513D18B0E319}" name="Column15076"/>
    <tableColumn id="15083" xr3:uid="{AAA4EE61-E10D-47C8-8080-6496B64EF4FE}" name="Column15077"/>
    <tableColumn id="15084" xr3:uid="{F86FF891-D933-4D91-82F1-2FD12F5B36BB}" name="Column15078"/>
    <tableColumn id="15085" xr3:uid="{22CC6A2A-DFF3-4C82-93DD-FCC8BB4B22B6}" name="Column15079"/>
    <tableColumn id="15086" xr3:uid="{1095BB51-2CFE-463C-A135-6B0FB43F5663}" name="Column15080"/>
    <tableColumn id="15087" xr3:uid="{94BCFBF6-FFA7-4257-84C3-9C9D828A5743}" name="Column15081"/>
    <tableColumn id="15088" xr3:uid="{0192B2D0-93AF-473D-A39E-6F3BAB2E3BDB}" name="Column15082"/>
    <tableColumn id="15089" xr3:uid="{022A18BA-A8C7-468D-A278-623DA0964E25}" name="Column15083"/>
    <tableColumn id="15090" xr3:uid="{4FD294CA-C253-4A52-966E-9750136FDA7E}" name="Column15084"/>
    <tableColumn id="15091" xr3:uid="{EC85CBC8-50F7-4637-8061-286A671A2232}" name="Column15085"/>
    <tableColumn id="15092" xr3:uid="{7D144F27-3A86-48A0-9E19-32CA53162EC0}" name="Column15086"/>
    <tableColumn id="15093" xr3:uid="{9CCDEE75-2C4E-494C-B0A8-93A44A6940D3}" name="Column15087"/>
    <tableColumn id="15094" xr3:uid="{BD79DD2C-2F2B-4E17-86FF-D6C80072AC70}" name="Column15088"/>
    <tableColumn id="15095" xr3:uid="{FE95B4D0-0C97-45C5-AFBC-B24E7E3DDFD2}" name="Column15089"/>
    <tableColumn id="15096" xr3:uid="{B507E79F-BA45-4D76-8B4D-0CDD6CFB95FB}" name="Column15090"/>
    <tableColumn id="15097" xr3:uid="{4E423716-5EF5-4EC0-B9E3-58160D838513}" name="Column15091"/>
    <tableColumn id="15098" xr3:uid="{7F506F5C-0FFF-49A7-86E0-3DECA359298A}" name="Column15092"/>
    <tableColumn id="15099" xr3:uid="{D693389E-4077-4E9F-9D28-806CFB2AE329}" name="Column15093"/>
    <tableColumn id="15100" xr3:uid="{75103209-5353-49CA-983B-797B06A25FB7}" name="Column15094"/>
    <tableColumn id="15101" xr3:uid="{12806E31-8535-46B1-B62B-55D32BD43BA7}" name="Column15095"/>
    <tableColumn id="15102" xr3:uid="{3576E8A9-B8CB-4E7B-9ADA-DE533E8FF4DE}" name="Column15096"/>
    <tableColumn id="15103" xr3:uid="{17CB1750-8F8B-461D-BF7D-9E2AF70AEA7B}" name="Column15097"/>
    <tableColumn id="15104" xr3:uid="{E4654E80-0808-47A3-84FF-635296C87D32}" name="Column15098"/>
    <tableColumn id="15105" xr3:uid="{8E44937E-9CC0-43DE-A0D8-29A114BD9500}" name="Column15099"/>
    <tableColumn id="15106" xr3:uid="{889218F8-EADB-4EF0-A79A-0A5B62DD9359}" name="Column15100"/>
    <tableColumn id="15107" xr3:uid="{2F4D00C5-9DAE-4475-9445-C7958CA4104B}" name="Column15101"/>
    <tableColumn id="15108" xr3:uid="{3B96F821-32F4-4F0F-B282-2955606DF13A}" name="Column15102"/>
    <tableColumn id="15109" xr3:uid="{8698BCDB-FB42-4606-8401-85113E052F72}" name="Column15103"/>
    <tableColumn id="15110" xr3:uid="{9AB51EF1-9458-44C9-AC84-A19FB919CAB8}" name="Column15104"/>
    <tableColumn id="15111" xr3:uid="{5743B336-8BDA-453F-8C9C-4C7D3B426A2A}" name="Column15105"/>
    <tableColumn id="15112" xr3:uid="{7AED207E-25BF-4CBF-8368-367E9894A966}" name="Column15106"/>
    <tableColumn id="15113" xr3:uid="{A1D25F2C-2FEE-4E6F-99D0-E55F69B33D85}" name="Column15107"/>
    <tableColumn id="15114" xr3:uid="{838CE2B1-C179-435E-A3BA-C455EFADF02F}" name="Column15108"/>
    <tableColumn id="15115" xr3:uid="{5B0A5B47-BFD4-49F4-8560-212E426A9C7E}" name="Column15109"/>
    <tableColumn id="15116" xr3:uid="{BAF49E7A-0528-4128-BAE9-374E6F4A6269}" name="Column15110"/>
    <tableColumn id="15117" xr3:uid="{0F3E2592-144B-49B5-A0F5-6F0179003049}" name="Column15111"/>
    <tableColumn id="15118" xr3:uid="{60A43D02-C0E1-464D-87A3-448CDB647778}" name="Column15112"/>
    <tableColumn id="15119" xr3:uid="{3A2F7B50-16C2-4F33-A620-27DD0A13B4DB}" name="Column15113"/>
    <tableColumn id="15120" xr3:uid="{FCC034D6-0278-4898-B5E7-033E61CA5AD1}" name="Column15114"/>
    <tableColumn id="15121" xr3:uid="{918104F8-91E1-447D-81A7-47D7A3141A42}" name="Column15115"/>
    <tableColumn id="15122" xr3:uid="{3AC2CD40-4FE3-4E33-AD93-B2842B80DB85}" name="Column15116"/>
    <tableColumn id="15123" xr3:uid="{403993F2-EC39-4343-862F-81026F2BCAE3}" name="Column15117"/>
    <tableColumn id="15124" xr3:uid="{927FA0E7-ABFE-465E-A212-99FE6BFA66BE}" name="Column15118"/>
    <tableColumn id="15125" xr3:uid="{2E2CFEF3-EB79-4BB9-8C6A-C0BD4FD8FEFB}" name="Column15119"/>
    <tableColumn id="15126" xr3:uid="{CF771C7C-096B-449C-9640-58615C9018C4}" name="Column15120"/>
    <tableColumn id="15127" xr3:uid="{06D61AA7-429E-41E9-8798-DED776B80CA6}" name="Column15121"/>
    <tableColumn id="15128" xr3:uid="{10769223-E05A-409D-8EBF-4423F20B4D0B}" name="Column15122"/>
    <tableColumn id="15129" xr3:uid="{3B0949B1-9E7F-4E2E-B356-B4564C593B2B}" name="Column15123"/>
    <tableColumn id="15130" xr3:uid="{A1B2C39F-CFCD-4AB5-94C0-046B14F7E397}" name="Column15124"/>
    <tableColumn id="15131" xr3:uid="{F380F9A8-506F-475A-9AB8-9F7F0C073134}" name="Column15125"/>
    <tableColumn id="15132" xr3:uid="{B75AA3C0-B864-422C-BD6D-C8E751BF8454}" name="Column15126"/>
    <tableColumn id="15133" xr3:uid="{1B200CE6-223F-4F7B-A2AD-EA60561D271D}" name="Column15127"/>
    <tableColumn id="15134" xr3:uid="{4BF957CC-536E-4F36-9C0C-F30631C3306C}" name="Column15128"/>
    <tableColumn id="15135" xr3:uid="{A5230163-FE77-472C-BECB-5D949E074C00}" name="Column15129"/>
    <tableColumn id="15136" xr3:uid="{84E922C5-38EF-4D4C-9804-0E449AE439DA}" name="Column15130"/>
    <tableColumn id="15137" xr3:uid="{99E7D384-3FA9-4CD6-BFEB-8E7A8E107ABB}" name="Column15131"/>
    <tableColumn id="15138" xr3:uid="{F45359D4-1FF7-4120-A1F5-C68B0D386AE1}" name="Column15132"/>
    <tableColumn id="15139" xr3:uid="{E6D7D60B-188E-4BCF-B34C-C12FD923AFD2}" name="Column15133"/>
    <tableColumn id="15140" xr3:uid="{17054C42-A76C-47AA-B83E-EA880BEC8D31}" name="Column15134"/>
    <tableColumn id="15141" xr3:uid="{39B1F489-8084-4AD9-ACB8-85B4DAF8FDB5}" name="Column15135"/>
    <tableColumn id="15142" xr3:uid="{B2593E36-E6E2-4C3B-91FC-682431A15ABF}" name="Column15136"/>
    <tableColumn id="15143" xr3:uid="{4C9664CB-BFDE-4028-96E3-B4B427948068}" name="Column15137"/>
    <tableColumn id="15144" xr3:uid="{88D22CF2-A61D-4613-A09D-2B7FF2669C5D}" name="Column15138"/>
    <tableColumn id="15145" xr3:uid="{9D9918FF-9E81-4CEF-9B5A-F133BE207CA8}" name="Column15139"/>
    <tableColumn id="15146" xr3:uid="{AB1974AB-8509-4FE2-9B04-423C234AE520}" name="Column15140"/>
    <tableColumn id="15147" xr3:uid="{275EDC83-A7C1-4D64-8456-AC227D7B4A8A}" name="Column15141"/>
    <tableColumn id="15148" xr3:uid="{6837EA61-CCF5-415F-B3D8-035692673EA2}" name="Column15142"/>
    <tableColumn id="15149" xr3:uid="{6B6A9E54-3E79-4E90-8B39-FC171BC5287C}" name="Column15143"/>
    <tableColumn id="15150" xr3:uid="{E5C56976-B90F-41E5-BD65-2AA2728BCC93}" name="Column15144"/>
    <tableColumn id="15151" xr3:uid="{701D2350-C050-48EA-92A3-3235306AC98F}" name="Column15145"/>
    <tableColumn id="15152" xr3:uid="{C4F10689-31F6-47F6-B59F-13C05B384949}" name="Column15146"/>
    <tableColumn id="15153" xr3:uid="{1882C195-2179-43B4-8FD0-CE1B4D0D17C4}" name="Column15147"/>
    <tableColumn id="15154" xr3:uid="{26557CAB-F887-4A12-8FE8-13E12C09A927}" name="Column15148"/>
    <tableColumn id="15155" xr3:uid="{1761738A-6550-4083-92E3-F913679701E1}" name="Column15149"/>
    <tableColumn id="15156" xr3:uid="{ECB2B627-4501-4D3D-8144-43B7AC58E7E6}" name="Column15150"/>
    <tableColumn id="15157" xr3:uid="{3C9942A8-A52F-4099-A247-174CA2A9592C}" name="Column15151"/>
    <tableColumn id="15158" xr3:uid="{D8761454-1E70-4D1F-8267-190CA1F8E857}" name="Column15152"/>
    <tableColumn id="15159" xr3:uid="{52E06E73-6757-47F5-B35C-21285224D185}" name="Column15153"/>
    <tableColumn id="15160" xr3:uid="{10B90D4C-B633-4738-9199-2E35ED39ED5A}" name="Column15154"/>
    <tableColumn id="15161" xr3:uid="{EB48F442-20BA-4889-9315-A420120212D8}" name="Column15155"/>
    <tableColumn id="15162" xr3:uid="{04B03540-F216-4F9A-872E-760EA9B439BF}" name="Column15156"/>
    <tableColumn id="15163" xr3:uid="{CADFC1BC-DF7E-4D14-8CB3-27F6E768F516}" name="Column15157"/>
    <tableColumn id="15164" xr3:uid="{63D39F15-316E-442F-9BAC-B5F1E7FECED7}" name="Column15158"/>
    <tableColumn id="15165" xr3:uid="{6ABE33A0-7080-42D3-ADDF-1EF348E2D4CC}" name="Column15159"/>
    <tableColumn id="15166" xr3:uid="{67CC6DDE-3FA6-450D-83EE-A61B41AC5DC6}" name="Column15160"/>
    <tableColumn id="15167" xr3:uid="{D7C2C21F-6774-43E3-B76B-4DD86A27B1E5}" name="Column15161"/>
    <tableColumn id="15168" xr3:uid="{DDD4748C-58E3-4571-B57B-F1EA44D9FACE}" name="Column15162"/>
    <tableColumn id="15169" xr3:uid="{75E7D1E7-AD8B-471C-89BB-AFD0D92C5DA8}" name="Column15163"/>
    <tableColumn id="15170" xr3:uid="{D9FF617C-4483-464E-BDE8-ECDC70AF8E4A}" name="Column15164"/>
    <tableColumn id="15171" xr3:uid="{16528CF2-D8FA-414B-AB98-AE9029025358}" name="Column15165"/>
    <tableColumn id="15172" xr3:uid="{DB9D86B8-DC79-432F-A07F-F9DF1D686AB6}" name="Column15166"/>
    <tableColumn id="15173" xr3:uid="{5E65386F-AFDE-448E-AF7E-3F3058B8E95F}" name="Column15167"/>
    <tableColumn id="15174" xr3:uid="{AFACC95F-FEBC-4104-B64C-F330324819EB}" name="Column15168"/>
    <tableColumn id="15175" xr3:uid="{10E1186F-2B96-446B-B355-12B4E9F792CE}" name="Column15169"/>
    <tableColumn id="15176" xr3:uid="{98A662EB-E1B2-4BEC-BC67-4C4AFC17647E}" name="Column15170"/>
    <tableColumn id="15177" xr3:uid="{DDF07BA6-BD6B-4765-9CFA-C500A19A0C2C}" name="Column15171"/>
    <tableColumn id="15178" xr3:uid="{43D5256F-3902-4301-9D11-73A026F63FE3}" name="Column15172"/>
    <tableColumn id="15179" xr3:uid="{32B63C45-80BF-492B-8DD6-17ED42DA3F5E}" name="Column15173"/>
    <tableColumn id="15180" xr3:uid="{F55E0FD8-666A-4182-BA5F-97F2BA12B7EE}" name="Column15174"/>
    <tableColumn id="15181" xr3:uid="{29752EE8-02F8-4240-B18C-87712EB5259B}" name="Column15175"/>
    <tableColumn id="15182" xr3:uid="{ED5B6716-68B8-470C-A859-A0873A56AC01}" name="Column15176"/>
    <tableColumn id="15183" xr3:uid="{D9DFB2C6-A659-4745-A894-F251F116DBAC}" name="Column15177"/>
    <tableColumn id="15184" xr3:uid="{967E66F1-8567-4DEF-ADF6-AFD1A2AF06C0}" name="Column15178"/>
    <tableColumn id="15185" xr3:uid="{060E8570-4C0F-4D08-993F-D5B97DECFD2F}" name="Column15179"/>
    <tableColumn id="15186" xr3:uid="{CC80E5BF-44AA-412D-B863-F3C28080540C}" name="Column15180"/>
    <tableColumn id="15187" xr3:uid="{E46F504A-C048-4FB6-B360-D4A1DEAB63D4}" name="Column15181"/>
    <tableColumn id="15188" xr3:uid="{3B0714E6-5B99-47E3-9ACA-F0CBC79807CC}" name="Column15182"/>
    <tableColumn id="15189" xr3:uid="{4E233D1B-57B0-4FFE-BBB9-80B6C76B7A4E}" name="Column15183"/>
    <tableColumn id="15190" xr3:uid="{9D09E986-A08B-45A6-9952-A87170C6F0C1}" name="Column15184"/>
    <tableColumn id="15191" xr3:uid="{A46D1B67-01C5-45B3-8CBC-CE050899E8F7}" name="Column15185"/>
    <tableColumn id="15192" xr3:uid="{C6F9B0FF-E7C4-499C-8814-AC0302CDA6E3}" name="Column15186"/>
    <tableColumn id="15193" xr3:uid="{D43A23E9-9725-42AD-80FB-03E235F2900A}" name="Column15187"/>
    <tableColumn id="15194" xr3:uid="{7A27C505-2324-4854-BDC4-6AF58FA71E6D}" name="Column15188"/>
    <tableColumn id="15195" xr3:uid="{72B6711C-8C1B-4AB7-86E3-0FE2769912A5}" name="Column15189"/>
    <tableColumn id="15196" xr3:uid="{6763FBE2-51AF-488F-A9C0-58E9384824FF}" name="Column15190"/>
    <tableColumn id="15197" xr3:uid="{0C6D69FB-937E-4D13-9770-4D2A11095714}" name="Column15191"/>
    <tableColumn id="15198" xr3:uid="{F29800E0-C94A-4056-A943-A59C0B1DDAF0}" name="Column15192"/>
    <tableColumn id="15199" xr3:uid="{85745DCE-B543-4521-B9B3-69DAF0AFD5EB}" name="Column15193"/>
    <tableColumn id="15200" xr3:uid="{3031F8B7-39AC-41BE-91B8-B8C7F14E4D46}" name="Column15194"/>
    <tableColumn id="15201" xr3:uid="{41744C81-4077-4330-AA50-3C688400BFC5}" name="Column15195"/>
    <tableColumn id="15202" xr3:uid="{CC3D5E85-8E21-4699-82DD-03987F63611C}" name="Column15196"/>
    <tableColumn id="15203" xr3:uid="{CA941330-497F-4E83-B8DE-0EB2BBF0C11B}" name="Column15197"/>
    <tableColumn id="15204" xr3:uid="{90FB6BFA-8CE9-4E33-92B8-7A9A70640788}" name="Column15198"/>
    <tableColumn id="15205" xr3:uid="{209C76B1-3028-4CC7-8DD1-3B6831CC9D59}" name="Column15199"/>
    <tableColumn id="15206" xr3:uid="{E6FC6185-A0A2-405E-8B64-DB16C99E77DD}" name="Column15200"/>
    <tableColumn id="15207" xr3:uid="{BEC58742-2D95-40C3-957F-4DA371A8694E}" name="Column15201"/>
    <tableColumn id="15208" xr3:uid="{38DE8C6A-4989-42AB-B222-2F1A911665CD}" name="Column15202"/>
    <tableColumn id="15209" xr3:uid="{330F0F0E-6BEC-4D57-98BC-71A9ED908333}" name="Column15203"/>
    <tableColumn id="15210" xr3:uid="{C577AEAD-EC64-4F7D-871B-9BACD937DF65}" name="Column15204"/>
    <tableColumn id="15211" xr3:uid="{685099B3-E3E5-447A-8116-149A611F0A22}" name="Column15205"/>
    <tableColumn id="15212" xr3:uid="{D92DFB3D-3083-4594-88D1-04DC8BB8043E}" name="Column15206"/>
    <tableColumn id="15213" xr3:uid="{B864F8B4-A6E2-44B3-A481-702221EFAA06}" name="Column15207"/>
    <tableColumn id="15214" xr3:uid="{DCB8B61C-D7C0-4BD3-BDF2-CB719240C932}" name="Column15208"/>
    <tableColumn id="15215" xr3:uid="{1CF8DEE3-454D-49E9-A1D8-35894585EDC2}" name="Column15209"/>
    <tableColumn id="15216" xr3:uid="{6555C72C-6F5B-48CC-9673-681B9067E36C}" name="Column15210"/>
    <tableColumn id="15217" xr3:uid="{F926C509-B6F3-47B3-BD8E-A89A7DDA5116}" name="Column15211"/>
    <tableColumn id="15218" xr3:uid="{4CC3D90C-F8A5-43E9-8415-286B7D434AA1}" name="Column15212"/>
    <tableColumn id="15219" xr3:uid="{6170F5AA-682C-4107-B143-F231BF71235D}" name="Column15213"/>
    <tableColumn id="15220" xr3:uid="{65E8F8FE-2441-432F-A399-2A9C3E23441E}" name="Column15214"/>
    <tableColumn id="15221" xr3:uid="{FED1C690-3AEF-4E91-8ED7-DA4F63272721}" name="Column15215"/>
    <tableColumn id="15222" xr3:uid="{BDC60CD4-5601-4027-B757-8C7105559D80}" name="Column15216"/>
    <tableColumn id="15223" xr3:uid="{519D2862-4138-473F-9052-B0C7C8F740F8}" name="Column15217"/>
    <tableColumn id="15224" xr3:uid="{251410AF-E8C3-41A6-A793-2A70B3A5B6F3}" name="Column15218"/>
    <tableColumn id="15225" xr3:uid="{92917D0E-7985-41E7-8CCA-361A11D56E40}" name="Column15219"/>
    <tableColumn id="15226" xr3:uid="{016AC3F8-E471-4120-AA55-43DE58819C24}" name="Column15220"/>
    <tableColumn id="15227" xr3:uid="{4E2482C5-D107-4C60-8CC0-55E3401FA4C1}" name="Column15221"/>
    <tableColumn id="15228" xr3:uid="{7DCE7385-B8D5-400D-BEA4-EE9EEAAF585F}" name="Column15222"/>
    <tableColumn id="15229" xr3:uid="{7106F6FA-0455-4F9B-B7EC-F3E1DEC96285}" name="Column15223"/>
    <tableColumn id="15230" xr3:uid="{AE566D04-C93A-47E4-8C46-3D6ABC6BA869}" name="Column15224"/>
    <tableColumn id="15231" xr3:uid="{96220A32-45F3-4841-A187-3743323EE33E}" name="Column15225"/>
    <tableColumn id="15232" xr3:uid="{134751CC-723F-473B-89D5-B0607ECF29D7}" name="Column15226"/>
    <tableColumn id="15233" xr3:uid="{A15BC78C-8CC3-4D83-835D-C33F6E04816C}" name="Column15227"/>
    <tableColumn id="15234" xr3:uid="{399CAAC3-63A0-491A-A29B-D0A33499B2CF}" name="Column15228"/>
    <tableColumn id="15235" xr3:uid="{C33B1A96-FD2E-4046-927C-BC807E82E7AD}" name="Column15229"/>
    <tableColumn id="15236" xr3:uid="{CC906C79-DB0A-4390-BC27-8467A327E3C3}" name="Column15230"/>
    <tableColumn id="15237" xr3:uid="{9F12A5A9-16BF-4D37-8CBA-B9CF96CFCAF5}" name="Column15231"/>
    <tableColumn id="15238" xr3:uid="{0D1D1401-6FF1-4A9F-879A-84F8432682BA}" name="Column15232"/>
    <tableColumn id="15239" xr3:uid="{6A23AC10-8D8C-4164-9843-B30DF20169DF}" name="Column15233"/>
    <tableColumn id="15240" xr3:uid="{D9097DBA-06F7-45B1-843E-DBB0A1F0F206}" name="Column15234"/>
    <tableColumn id="15241" xr3:uid="{D272D866-5AA8-4087-97A1-CF6583ED66C2}" name="Column15235"/>
    <tableColumn id="15242" xr3:uid="{6521F792-B6FC-4E80-8545-B5F7979B67E8}" name="Column15236"/>
    <tableColumn id="15243" xr3:uid="{43A78490-4BEB-4E4D-8C90-A0EEB61DB17E}" name="Column15237"/>
    <tableColumn id="15244" xr3:uid="{7348BA45-FC93-4A74-8CBB-122A8DF7DFB6}" name="Column15238"/>
    <tableColumn id="15245" xr3:uid="{A2EFCB67-829E-4D53-86E1-086F3A949878}" name="Column15239"/>
    <tableColumn id="15246" xr3:uid="{1F1505FE-CAC5-442B-AEF8-3A89D68875B4}" name="Column15240"/>
    <tableColumn id="15247" xr3:uid="{E2D46B90-893C-4FDF-A9C4-4A8D1369A195}" name="Column15241"/>
    <tableColumn id="15248" xr3:uid="{ECB119BE-5891-41BB-ACFB-E434893F1CB9}" name="Column15242"/>
    <tableColumn id="15249" xr3:uid="{10ADA382-448C-421E-921A-A2DD6B1B4CD8}" name="Column15243"/>
    <tableColumn id="15250" xr3:uid="{F2410B1C-6118-48D1-8BCC-0A3C9770A307}" name="Column15244"/>
    <tableColumn id="15251" xr3:uid="{1BCDE9BA-6E2E-4875-A92A-D491B3A06B18}" name="Column15245"/>
    <tableColumn id="15252" xr3:uid="{02C6C4A8-1AEB-4992-A61D-015F9D883E06}" name="Column15246"/>
    <tableColumn id="15253" xr3:uid="{33388A4C-ED7C-4DEB-BA6D-E3BA34A5D43B}" name="Column15247"/>
    <tableColumn id="15254" xr3:uid="{CD9207C4-3B3C-4F24-ADDF-888415A7D31B}" name="Column15248"/>
    <tableColumn id="15255" xr3:uid="{04FCCA7E-AF94-4DE1-A3A6-B90AA27BDBF5}" name="Column15249"/>
    <tableColumn id="15256" xr3:uid="{6CCC1848-35AD-4A9E-A212-7E635E3BD2BB}" name="Column15250"/>
    <tableColumn id="15257" xr3:uid="{152E7EF3-7E51-46ED-97B2-6D522E34BCCD}" name="Column15251"/>
    <tableColumn id="15258" xr3:uid="{E2617553-2CD2-4B81-B5C8-D5EE2FD7C489}" name="Column15252"/>
    <tableColumn id="15259" xr3:uid="{CBD7DE29-7423-498B-A32E-DC1C1C40E439}" name="Column15253"/>
    <tableColumn id="15260" xr3:uid="{D37B69F2-F8FD-4EBE-AD25-9E64DCBA0CB2}" name="Column15254"/>
    <tableColumn id="15261" xr3:uid="{FC53F06C-93E1-400F-B7A3-439CC757BE44}" name="Column15255"/>
    <tableColumn id="15262" xr3:uid="{B0365D61-33AE-4475-9BCD-773D4BD9E3D5}" name="Column15256"/>
    <tableColumn id="15263" xr3:uid="{B3DD5478-92BF-4561-B01E-918F80EF2A9A}" name="Column15257"/>
    <tableColumn id="15264" xr3:uid="{B74C91AC-29F6-49E1-B353-CD00E5A9FBEA}" name="Column15258"/>
    <tableColumn id="15265" xr3:uid="{C382B243-C0BA-4608-88A3-1E9735AAC5C0}" name="Column15259"/>
    <tableColumn id="15266" xr3:uid="{A43EEFA1-7B25-4FCC-8426-19FFD861D4E7}" name="Column15260"/>
    <tableColumn id="15267" xr3:uid="{B749B69D-4997-4B23-9EA8-11273D5845C7}" name="Column15261"/>
    <tableColumn id="15268" xr3:uid="{459349E8-3C69-4ACE-AFA6-4ECB5FFE8EB1}" name="Column15262"/>
    <tableColumn id="15269" xr3:uid="{F3B6A057-86DD-4B4B-972B-186C3CFC38FF}" name="Column15263"/>
    <tableColumn id="15270" xr3:uid="{C5AE534E-BE48-4DC5-BB7B-F9F14C5327ED}" name="Column15264"/>
    <tableColumn id="15271" xr3:uid="{607CB798-5E56-43B4-BE84-56A1C35E0218}" name="Column15265"/>
    <tableColumn id="15272" xr3:uid="{5A294336-759B-4A36-98D7-BD08A862DFEA}" name="Column15266"/>
    <tableColumn id="15273" xr3:uid="{18B6298B-7218-4058-A285-35478C21EC69}" name="Column15267"/>
    <tableColumn id="15274" xr3:uid="{CBD032B1-6772-4C58-A406-EC34F7A92476}" name="Column15268"/>
    <tableColumn id="15275" xr3:uid="{A00B37C7-F721-473E-AACE-C6EB29F23A75}" name="Column15269"/>
    <tableColumn id="15276" xr3:uid="{74E0E408-EEE9-41F3-A1AF-302A1ACDAE58}" name="Column15270"/>
    <tableColumn id="15277" xr3:uid="{166BDF08-67A7-4ADA-A6C7-34EE6CA90F0D}" name="Column15271"/>
    <tableColumn id="15278" xr3:uid="{96CA87BA-5A99-4696-9BDA-0991956A068D}" name="Column15272"/>
    <tableColumn id="15279" xr3:uid="{A0AF039E-5193-4763-9738-7D7AD05E78F5}" name="Column15273"/>
    <tableColumn id="15280" xr3:uid="{6DA19858-0CF6-4947-B5E9-FBDD6BD9352A}" name="Column15274"/>
    <tableColumn id="15281" xr3:uid="{07F48157-932A-4610-A54A-BE53AAEF6F6E}" name="Column15275"/>
    <tableColumn id="15282" xr3:uid="{55B76BAC-DD45-4C59-9076-701FE5C9E021}" name="Column15276"/>
    <tableColumn id="15283" xr3:uid="{3C5CA321-6E14-4C81-8A78-E1AB977708DD}" name="Column15277"/>
    <tableColumn id="15284" xr3:uid="{1AB47142-72E8-4FB5-9D60-27B2613B06E4}" name="Column15278"/>
    <tableColumn id="15285" xr3:uid="{6340A32D-7637-42FD-8164-B074B4FF65DA}" name="Column15279"/>
    <tableColumn id="15286" xr3:uid="{1A6DF3C6-92E6-46FF-85E1-53728AF5C035}" name="Column15280"/>
    <tableColumn id="15287" xr3:uid="{939E88F6-57AC-40B0-8C69-AB09552A777E}" name="Column15281"/>
    <tableColumn id="15288" xr3:uid="{0A0D8195-98C7-42E2-8598-B0EF412C1379}" name="Column15282"/>
    <tableColumn id="15289" xr3:uid="{FA9A531A-C18D-47FE-9B8E-393F4D2B0B2B}" name="Column15283"/>
    <tableColumn id="15290" xr3:uid="{14D01419-8FAD-4CCD-9D30-3F5529CE728F}" name="Column15284"/>
    <tableColumn id="15291" xr3:uid="{C3427546-0F14-4B1F-A2D8-AE0AD422DD2B}" name="Column15285"/>
    <tableColumn id="15292" xr3:uid="{B96A6746-6129-4C4A-B46D-BC0846BB2B16}" name="Column15286"/>
    <tableColumn id="15293" xr3:uid="{157C9807-6294-4412-AF5F-9478D745EEC9}" name="Column15287"/>
    <tableColumn id="15294" xr3:uid="{26FF2425-2A59-4636-92DC-86A7C90945D5}" name="Column15288"/>
    <tableColumn id="15295" xr3:uid="{F6741AEE-6C3E-4B3E-A991-CD343D594F24}" name="Column15289"/>
    <tableColumn id="15296" xr3:uid="{8411B172-46D1-478B-B586-334D01890E89}" name="Column15290"/>
    <tableColumn id="15297" xr3:uid="{42D0D231-1774-43D8-8ED0-63336E3D0393}" name="Column15291"/>
    <tableColumn id="15298" xr3:uid="{F061B443-B08B-447B-A3CB-0FD10A9AE114}" name="Column15292"/>
    <tableColumn id="15299" xr3:uid="{C6231D69-75BE-4954-83D0-BBA543686DAC}" name="Column15293"/>
    <tableColumn id="15300" xr3:uid="{029D4363-268F-433D-B7ED-16E414303DF1}" name="Column15294"/>
    <tableColumn id="15301" xr3:uid="{C3444C29-DA77-43CB-9068-8045667D19BC}" name="Column15295"/>
    <tableColumn id="15302" xr3:uid="{086E25BD-D75B-455C-A207-FA55EAC3BD4C}" name="Column15296"/>
    <tableColumn id="15303" xr3:uid="{EFD4B903-85F1-4E7A-A67C-62B6974E6BB2}" name="Column15297"/>
    <tableColumn id="15304" xr3:uid="{D0878FB7-44C8-4D71-828B-0FF4829AF3D6}" name="Column15298"/>
    <tableColumn id="15305" xr3:uid="{DCC80A57-6E82-4742-93CF-FEB77D9948DC}" name="Column15299"/>
    <tableColumn id="15306" xr3:uid="{23C30F6D-EB83-4180-9624-E2AA93D7A33B}" name="Column15300"/>
    <tableColumn id="15307" xr3:uid="{C06C12AC-7DBF-41EF-A904-78CE5CED40AD}" name="Column15301"/>
    <tableColumn id="15308" xr3:uid="{90EADD7F-3D38-4370-A388-4B5D0ADCA2BA}" name="Column15302"/>
    <tableColumn id="15309" xr3:uid="{2B841101-6FB2-447A-898C-D9294B682A33}" name="Column15303"/>
    <tableColumn id="15310" xr3:uid="{AF2406BA-C51D-4C1F-A593-26CFE33F328C}" name="Column15304"/>
    <tableColumn id="15311" xr3:uid="{1F593EE6-CFFD-4448-8E2E-99594A74F118}" name="Column15305"/>
    <tableColumn id="15312" xr3:uid="{C6213C30-C43B-4A85-8EBB-C1DA71843472}" name="Column15306"/>
    <tableColumn id="15313" xr3:uid="{A9B61E4B-D2B7-4E21-BA2F-A64798DB2E88}" name="Column15307"/>
    <tableColumn id="15314" xr3:uid="{D86DDAB7-0780-4648-A2CF-5D38DF2FA43B}" name="Column15308"/>
    <tableColumn id="15315" xr3:uid="{BF0FF984-762F-4F7F-9999-CBDAB9D430F3}" name="Column15309"/>
    <tableColumn id="15316" xr3:uid="{6BBA10B6-69F2-4D56-9592-E866A07AECED}" name="Column15310"/>
    <tableColumn id="15317" xr3:uid="{A372792D-0DC9-443B-9D20-57D9BCE202E4}" name="Column15311"/>
    <tableColumn id="15318" xr3:uid="{2A67B8E2-0D8D-4FD6-9B45-2656C24602FD}" name="Column15312"/>
    <tableColumn id="15319" xr3:uid="{FB09FC54-5DD8-4B25-B842-5D12A46FAD7F}" name="Column15313"/>
    <tableColumn id="15320" xr3:uid="{A6D38543-EA25-4F4B-A5AF-10794FAC7F7A}" name="Column15314"/>
    <tableColumn id="15321" xr3:uid="{FD818A15-7D70-4389-82AD-3ACDA567A1DB}" name="Column15315"/>
    <tableColumn id="15322" xr3:uid="{7BE7A4EC-F675-4678-82C2-BB58048D1D6E}" name="Column15316"/>
    <tableColumn id="15323" xr3:uid="{ED43AED3-3B76-4CD6-99B6-F043FB847D96}" name="Column15317"/>
    <tableColumn id="15324" xr3:uid="{0EBF4FB4-9AA9-47F8-97FA-F1355C06E16A}" name="Column15318"/>
    <tableColumn id="15325" xr3:uid="{AA903F31-92E6-4BE2-B4FA-81F3F51E6AD9}" name="Column15319"/>
    <tableColumn id="15326" xr3:uid="{823A40B7-D5A1-4114-B107-E3E10DFE2681}" name="Column15320"/>
    <tableColumn id="15327" xr3:uid="{3F7587C5-8D2B-428B-B6E0-719E1B0C05CC}" name="Column15321"/>
    <tableColumn id="15328" xr3:uid="{2EA18655-99F6-421D-A22C-FABD03059BAC}" name="Column15322"/>
    <tableColumn id="15329" xr3:uid="{2FBB2959-6827-4F75-B0DC-A88472ECD071}" name="Column15323"/>
    <tableColumn id="15330" xr3:uid="{4EC1D1C3-AD01-4107-BC0A-21D1754D0652}" name="Column15324"/>
    <tableColumn id="15331" xr3:uid="{8DC05F76-C3D8-4D4E-A94A-8BCD3739E587}" name="Column15325"/>
    <tableColumn id="15332" xr3:uid="{2510D5FE-C68A-4ABB-8E00-FBB0E577367B}" name="Column15326"/>
    <tableColumn id="15333" xr3:uid="{D9D38AE1-241A-4977-869F-E6ECDEAFF83B}" name="Column15327"/>
    <tableColumn id="15334" xr3:uid="{8766BF8E-6168-4ACC-891A-8FAC8F37105D}" name="Column15328"/>
    <tableColumn id="15335" xr3:uid="{4B346D5A-1082-4EAA-8C13-F239A8D51657}" name="Column15329"/>
    <tableColumn id="15336" xr3:uid="{0EE8A692-B999-4F51-9AB9-D7AFAFE30DC9}" name="Column15330"/>
    <tableColumn id="15337" xr3:uid="{8B7D13AF-CC94-433F-B4C0-AA8F8599596A}" name="Column15331"/>
    <tableColumn id="15338" xr3:uid="{0E29C358-5AF2-46F7-A9B8-8CC5735F1AAA}" name="Column15332"/>
    <tableColumn id="15339" xr3:uid="{B2619E63-452D-4373-BA55-26A96694E7B0}" name="Column15333"/>
    <tableColumn id="15340" xr3:uid="{CE8A42DC-B3F2-4EB3-86A6-408F77B84891}" name="Column15334"/>
    <tableColumn id="15341" xr3:uid="{E2AD371B-48C1-4EFA-B6BD-9248012B90E4}" name="Column15335"/>
    <tableColumn id="15342" xr3:uid="{F986D930-691B-4CEE-B890-6DA4E7DC7ECC}" name="Column15336"/>
    <tableColumn id="15343" xr3:uid="{9CA47942-799C-48BF-8E21-A0FDC63A8CF6}" name="Column15337"/>
    <tableColumn id="15344" xr3:uid="{C677D5C3-1959-4ED5-A1D1-A3958BAFB48D}" name="Column15338"/>
    <tableColumn id="15345" xr3:uid="{63E5C813-3AAE-4564-ADF3-D7E8B78B35B5}" name="Column15339"/>
    <tableColumn id="15346" xr3:uid="{3DC17051-907A-47A3-965F-28675ABD3092}" name="Column15340"/>
    <tableColumn id="15347" xr3:uid="{F97D4D74-EB62-47CE-A98C-8F87083862E0}" name="Column15341"/>
    <tableColumn id="15348" xr3:uid="{59C2B71E-7B9D-4876-A063-8EFAEE2B23F8}" name="Column15342"/>
    <tableColumn id="15349" xr3:uid="{37B53372-5519-4FDA-8306-2A087ABE6979}" name="Column15343"/>
    <tableColumn id="15350" xr3:uid="{8F1B942C-F669-45AE-9F16-FEAA12086A59}" name="Column15344"/>
    <tableColumn id="15351" xr3:uid="{B6B74A16-4F3A-412A-8A9F-337AE674A050}" name="Column15345"/>
    <tableColumn id="15352" xr3:uid="{AC640AB1-32CD-4AB3-B41B-A8A16B7EDDEC}" name="Column15346"/>
    <tableColumn id="15353" xr3:uid="{FE1E0517-9247-459B-804A-13DC5FCB3BF0}" name="Column15347"/>
    <tableColumn id="15354" xr3:uid="{28F2F22C-331D-41CB-81F5-8DC8CC966FC3}" name="Column15348"/>
    <tableColumn id="15355" xr3:uid="{566EF346-1D08-4AA7-A6CC-8144A71CC285}" name="Column15349"/>
    <tableColumn id="15356" xr3:uid="{76F5D337-C5A1-4618-90CB-6B0D9204A522}" name="Column15350"/>
    <tableColumn id="15357" xr3:uid="{5AE5F227-A398-428E-983A-FCAFCE275B31}" name="Column15351"/>
    <tableColumn id="15358" xr3:uid="{7E3C41A2-3294-473D-A3BF-A02F54210D58}" name="Column15352"/>
    <tableColumn id="15359" xr3:uid="{AB57868C-A13C-491E-872D-90834C033482}" name="Column15353"/>
    <tableColumn id="15360" xr3:uid="{1B837301-BA27-4626-8C1D-6B54D9FC81B1}" name="Column15354"/>
    <tableColumn id="15361" xr3:uid="{EFC2C685-258E-4750-82D4-0AFD8FF33C8D}" name="Column15355"/>
    <tableColumn id="15362" xr3:uid="{420226B4-DC65-4621-AAB3-692281775D01}" name="Column15356"/>
    <tableColumn id="15363" xr3:uid="{97923D15-AA7F-469F-B885-F4ED87213F78}" name="Column15357"/>
    <tableColumn id="15364" xr3:uid="{7252AACE-26B4-4C25-BDD1-899381E8802A}" name="Column15358"/>
    <tableColumn id="15365" xr3:uid="{39B91F38-D889-4137-B32C-8C659B3F6C0D}" name="Column15359"/>
    <tableColumn id="15366" xr3:uid="{AE1025B7-0A61-4AE7-9664-836247D3A419}" name="Column15360"/>
    <tableColumn id="15367" xr3:uid="{064C6A24-355F-445C-9D59-7593BBA416CF}" name="Column15361"/>
    <tableColumn id="15368" xr3:uid="{AA446E19-FB84-4144-837F-231F3D73363B}" name="Column15362"/>
    <tableColumn id="15369" xr3:uid="{986AE5BE-E904-426E-AFF9-D1EB9BEDE151}" name="Column15363"/>
    <tableColumn id="15370" xr3:uid="{6D753EC9-7D9D-465C-A6E8-FB0007D3460B}" name="Column15364"/>
    <tableColumn id="15371" xr3:uid="{04E09B04-C61C-4B15-905E-EBB10BBE138B}" name="Column15365"/>
    <tableColumn id="15372" xr3:uid="{FE9F5489-A5A7-4CC5-99B3-387CF9BFD374}" name="Column15366"/>
    <tableColumn id="15373" xr3:uid="{5F525056-A857-42A1-B9D2-A9BB2826AC47}" name="Column15367"/>
    <tableColumn id="15374" xr3:uid="{6210A0DF-CBA6-4C0B-9D5A-3C9657511F68}" name="Column15368"/>
    <tableColumn id="15375" xr3:uid="{D6D0B6E4-C6DA-47F7-BFA5-2BAB8BC5F342}" name="Column15369"/>
    <tableColumn id="15376" xr3:uid="{77211B41-4EDF-44B5-8A9D-19CBC7BE3430}" name="Column15370"/>
    <tableColumn id="15377" xr3:uid="{9E0B77FF-53D2-44C0-8451-6602677C595A}" name="Column15371"/>
    <tableColumn id="15378" xr3:uid="{05B1FAA8-91AC-4C5D-BF5F-06B090203B32}" name="Column15372"/>
    <tableColumn id="15379" xr3:uid="{29831ED8-D8BD-41EF-AEDB-18E49961282E}" name="Column15373"/>
    <tableColumn id="15380" xr3:uid="{267DDA7C-7F00-4B29-A86B-DCBA6F7EEB9E}" name="Column15374"/>
    <tableColumn id="15381" xr3:uid="{BCBEDF6B-2E31-4E21-B149-F344BD31FAB6}" name="Column15375"/>
    <tableColumn id="15382" xr3:uid="{358ED504-9130-4A4D-8F7D-D3D75481BC98}" name="Column15376"/>
    <tableColumn id="15383" xr3:uid="{CE188D3A-8E94-4916-B770-B87A405CF268}" name="Column15377"/>
    <tableColumn id="15384" xr3:uid="{5DA124F5-2F38-4CFD-ABC4-FB7F78B97032}" name="Column15378"/>
    <tableColumn id="15385" xr3:uid="{730EAC1E-19C3-4632-A55E-F90A8F863147}" name="Column15379"/>
    <tableColumn id="15386" xr3:uid="{87C22F5A-70D9-4E26-8328-85BA534830F4}" name="Column15380"/>
    <tableColumn id="15387" xr3:uid="{7D6AFD88-8A1C-48AE-B887-7A95ABCF1E99}" name="Column15381"/>
    <tableColumn id="15388" xr3:uid="{89BAE974-3E77-4529-A052-661BDCB38DB0}" name="Column15382"/>
    <tableColumn id="15389" xr3:uid="{772C948F-86AF-4FCC-BFE3-031311754AD5}" name="Column15383"/>
    <tableColumn id="15390" xr3:uid="{8B150E7A-6FC5-48CF-AAAF-0AC6F8BF11B8}" name="Column15384"/>
    <tableColumn id="15391" xr3:uid="{ADF132C2-27AA-453A-B7FB-A3B02F7CDAE2}" name="Column15385"/>
    <tableColumn id="15392" xr3:uid="{132663D4-0FC2-46AB-A68F-14F0D3D33A5C}" name="Column15386"/>
    <tableColumn id="15393" xr3:uid="{C4557C3F-AC04-4478-B7D5-FDD326206DA0}" name="Column15387"/>
    <tableColumn id="15394" xr3:uid="{31B887E2-76E1-41EC-A518-55EF7BDC4A14}" name="Column15388"/>
    <tableColumn id="15395" xr3:uid="{A7F81F51-22FD-4635-A811-3B639878860B}" name="Column15389"/>
    <tableColumn id="15396" xr3:uid="{03D6D9D0-0B07-46F6-A400-690CE390DE29}" name="Column15390"/>
    <tableColumn id="15397" xr3:uid="{448BA2B0-BD35-41AD-85C0-947418B85B29}" name="Column15391"/>
    <tableColumn id="15398" xr3:uid="{B3C29FD4-8399-453E-8C23-1D1517B76499}" name="Column15392"/>
    <tableColumn id="15399" xr3:uid="{1F58715D-49C8-447C-B570-76902FAECD31}" name="Column15393"/>
    <tableColumn id="15400" xr3:uid="{2EC684F4-7159-403C-A43E-13534CB793D9}" name="Column15394"/>
    <tableColumn id="15401" xr3:uid="{CA7AEBD5-03A7-4034-A42B-10B1A10D59F0}" name="Column15395"/>
    <tableColumn id="15402" xr3:uid="{E106528E-224B-4601-80F7-D2881017C33D}" name="Column15396"/>
    <tableColumn id="15403" xr3:uid="{7CC5849B-7417-4BF3-A91D-3FF677CDF51C}" name="Column15397"/>
    <tableColumn id="15404" xr3:uid="{407FB090-6581-4668-8929-0EE7AAE0BB4A}" name="Column15398"/>
    <tableColumn id="15405" xr3:uid="{F3B89CFF-1EB1-482B-80F2-76D82B6070A1}" name="Column15399"/>
    <tableColumn id="15406" xr3:uid="{3FFEBE41-AB1B-44DC-8850-A533C57A9DFF}" name="Column15400"/>
    <tableColumn id="15407" xr3:uid="{DF16EA1B-881E-49E7-AF1C-ECD08E06D9A9}" name="Column15401"/>
    <tableColumn id="15408" xr3:uid="{D16DD5C3-ABBC-42CA-B92E-9B3F9C836A43}" name="Column15402"/>
    <tableColumn id="15409" xr3:uid="{8F44140A-D61F-42E2-942C-DECDF435A4B1}" name="Column15403"/>
    <tableColumn id="15410" xr3:uid="{32C1DAC0-965A-49F9-AB61-4DCE08239BC0}" name="Column15404"/>
    <tableColumn id="15411" xr3:uid="{219C9BE8-A6F7-4B6F-AC2F-92321D0DA1E1}" name="Column15405"/>
    <tableColumn id="15412" xr3:uid="{43003C8A-4A3D-4FA2-AE6E-D27B237558C9}" name="Column15406"/>
    <tableColumn id="15413" xr3:uid="{E64EF55A-E4A3-4BD3-A13F-15D6B2F42894}" name="Column15407"/>
    <tableColumn id="15414" xr3:uid="{8A6C5974-DE4D-454C-8B2F-0BE19AC6F65B}" name="Column15408"/>
    <tableColumn id="15415" xr3:uid="{4B2AC1F3-AF9F-46AA-9BA3-1F148F303078}" name="Column15409"/>
    <tableColumn id="15416" xr3:uid="{833551D3-2692-4882-853A-F3382B86B41A}" name="Column15410"/>
    <tableColumn id="15417" xr3:uid="{DF46F66F-BB59-496A-B4DB-66DD57B11C8C}" name="Column15411"/>
    <tableColumn id="15418" xr3:uid="{B8BB23C9-F6A5-4833-AE89-6E97D2180049}" name="Column15412"/>
    <tableColumn id="15419" xr3:uid="{8163C6D0-C2F6-4ED3-A282-F268B05A3393}" name="Column15413"/>
    <tableColumn id="15420" xr3:uid="{CE4CB0EB-8030-46B7-9FA1-328EEA5811A1}" name="Column15414"/>
    <tableColumn id="15421" xr3:uid="{FAE76B40-9681-49C9-A3B1-4ECF7C8289E8}" name="Column15415"/>
    <tableColumn id="15422" xr3:uid="{87E44D3F-F5CB-4CFD-A47A-B7CCEB2F3F4D}" name="Column15416"/>
    <tableColumn id="15423" xr3:uid="{4E183B43-2770-495C-8276-EC5E546A1B8F}" name="Column15417"/>
    <tableColumn id="15424" xr3:uid="{EF6A9387-D184-4397-A629-16B68C6C705D}" name="Column15418"/>
    <tableColumn id="15425" xr3:uid="{BB590679-B048-42CA-A2E4-059D262719FD}" name="Column15419"/>
    <tableColumn id="15426" xr3:uid="{DB746D3C-6DA2-41D4-BEBF-DC33CC14E129}" name="Column15420"/>
    <tableColumn id="15427" xr3:uid="{1F8CF2C7-2574-4DE2-B151-F31755C635DE}" name="Column15421"/>
    <tableColumn id="15428" xr3:uid="{747CE416-8089-494B-854D-6C94D8AE51E4}" name="Column15422"/>
    <tableColumn id="15429" xr3:uid="{FA71BFB9-67FE-4C34-9C5D-EF98E544BF47}" name="Column15423"/>
    <tableColumn id="15430" xr3:uid="{13652EA3-A123-4F9D-8E70-82EC0A0E66A3}" name="Column15424"/>
    <tableColumn id="15431" xr3:uid="{FD6C287C-BADE-40A8-BCBD-D6603D2DF47A}" name="Column15425"/>
    <tableColumn id="15432" xr3:uid="{D8BA6F97-5514-4F0E-9BD4-BEC1ACE7CA09}" name="Column15426"/>
    <tableColumn id="15433" xr3:uid="{5373BAF5-167A-41FC-A141-F6A19049E769}" name="Column15427"/>
    <tableColumn id="15434" xr3:uid="{8688CB52-445D-4E72-A6CC-C0A22E80737F}" name="Column15428"/>
    <tableColumn id="15435" xr3:uid="{C1B9DF51-F08E-4CDD-AF19-32365953B926}" name="Column15429"/>
    <tableColumn id="15436" xr3:uid="{886BF80D-4043-4CF0-8877-4682186F1FEC}" name="Column15430"/>
    <tableColumn id="15437" xr3:uid="{9858AAA1-E406-4406-BDAD-8D85FDAC5FFD}" name="Column15431"/>
    <tableColumn id="15438" xr3:uid="{AF6D302F-8CE4-4A26-A586-D0E038EEFC35}" name="Column15432"/>
    <tableColumn id="15439" xr3:uid="{F0C86384-FA04-4044-A3C1-CB8E37181574}" name="Column15433"/>
    <tableColumn id="15440" xr3:uid="{3136335E-70C0-4D0D-A15A-8AFE237D09C6}" name="Column15434"/>
    <tableColumn id="15441" xr3:uid="{A4D9C85F-6D02-4F57-9B8E-AF608E9989AC}" name="Column15435"/>
    <tableColumn id="15442" xr3:uid="{EB81AA5C-040C-420D-887C-69CE915655BF}" name="Column15436"/>
    <tableColumn id="15443" xr3:uid="{87751549-36A7-4DD5-A0A2-AF1D9E2B56D8}" name="Column15437"/>
    <tableColumn id="15444" xr3:uid="{A1AF2241-E69F-4C3E-8C89-D7C6FCFD3F95}" name="Column15438"/>
    <tableColumn id="15445" xr3:uid="{74DB0F5C-7514-4C4C-9FAC-A83BB6CC6526}" name="Column15439"/>
    <tableColumn id="15446" xr3:uid="{22532742-2114-4D30-B37B-E5A9A52BA645}" name="Column15440"/>
    <tableColumn id="15447" xr3:uid="{4F5E343E-38F7-4A2B-95C9-733D620E0E78}" name="Column15441"/>
    <tableColumn id="15448" xr3:uid="{66FFF2BE-86E3-47B9-A08C-5F63E90C2C2D}" name="Column15442"/>
    <tableColumn id="15449" xr3:uid="{9CC180A6-3898-48D9-89A2-A946B3E57FE5}" name="Column15443"/>
    <tableColumn id="15450" xr3:uid="{D10B5F3A-C580-4487-93F2-92CC2E34C63D}" name="Column15444"/>
    <tableColumn id="15451" xr3:uid="{F85F0FE6-61B7-4B68-A306-F4128A811461}" name="Column15445"/>
    <tableColumn id="15452" xr3:uid="{73A528DE-8677-4BFE-8966-6392E193CCF2}" name="Column15446"/>
    <tableColumn id="15453" xr3:uid="{DAD77938-ED71-40CC-9437-59D6E38E7E47}" name="Column15447"/>
    <tableColumn id="15454" xr3:uid="{D9A5B680-2018-45E6-BEA7-B0CE5EDF8DEE}" name="Column15448"/>
    <tableColumn id="15455" xr3:uid="{8250DB0A-D8F8-4953-A4AC-FAC427E6569D}" name="Column15449"/>
    <tableColumn id="15456" xr3:uid="{2D16790E-4C39-475F-B9B6-C69CD3D9B565}" name="Column15450"/>
    <tableColumn id="15457" xr3:uid="{DFC4E55E-8F95-46B2-92FE-00D3A01C6E21}" name="Column15451"/>
    <tableColumn id="15458" xr3:uid="{A217B3C0-CD50-4DC1-A80F-6C868E1D9CD5}" name="Column15452"/>
    <tableColumn id="15459" xr3:uid="{AD70BF27-CEEC-4EE4-ABF9-AA4F7F594134}" name="Column15453"/>
    <tableColumn id="15460" xr3:uid="{79839E6F-2D86-40FE-B1EB-385AFAEF6069}" name="Column15454"/>
    <tableColumn id="15461" xr3:uid="{32F4BA93-EBC7-4EB3-BA5C-C83DE2FEC8D4}" name="Column15455"/>
    <tableColumn id="15462" xr3:uid="{31438CBF-022A-4FE8-B2EE-C316CCF332CC}" name="Column15456"/>
    <tableColumn id="15463" xr3:uid="{7C4BDDC3-C50C-48FD-842A-4016E68ED985}" name="Column15457"/>
    <tableColumn id="15464" xr3:uid="{9024D083-58B4-4404-9297-4D3DD6483A15}" name="Column15458"/>
    <tableColumn id="15465" xr3:uid="{D9ACE717-962E-482E-B593-45C63933AD0D}" name="Column15459"/>
    <tableColumn id="15466" xr3:uid="{2C868BFF-E3D9-4089-82A2-CDAFE614F960}" name="Column15460"/>
    <tableColumn id="15467" xr3:uid="{AB664343-46A0-48A0-88B8-0A4C61866E0F}" name="Column15461"/>
    <tableColumn id="15468" xr3:uid="{804C84A9-CF58-4437-BC78-E2840354122A}" name="Column15462"/>
    <tableColumn id="15469" xr3:uid="{CCFB48D5-199E-4601-8A40-449F0BCC368D}" name="Column15463"/>
    <tableColumn id="15470" xr3:uid="{029943C4-B142-40B0-94DA-3168F71BBA23}" name="Column15464"/>
    <tableColumn id="15471" xr3:uid="{B4B36E27-0934-4221-9FCB-130D1A942D6C}" name="Column15465"/>
    <tableColumn id="15472" xr3:uid="{C165F34A-F8D1-4C14-ABBE-B503918969B2}" name="Column15466"/>
    <tableColumn id="15473" xr3:uid="{D821F427-2629-414F-89CC-60DEC9B13EF0}" name="Column15467"/>
    <tableColumn id="15474" xr3:uid="{D043FDE6-19ED-47AF-828A-EB61C62D8688}" name="Column15468"/>
    <tableColumn id="15475" xr3:uid="{55BC174E-3EE3-42C0-83F1-566D9CF9DDA3}" name="Column15469"/>
    <tableColumn id="15476" xr3:uid="{B6A4E607-6B80-4000-A677-51C37F2B2FD2}" name="Column15470"/>
    <tableColumn id="15477" xr3:uid="{79C6C01F-C76D-456B-9EB3-E0593A3B349D}" name="Column15471"/>
    <tableColumn id="15478" xr3:uid="{6881D608-D158-419E-B78B-07DAB218193D}" name="Column15472"/>
    <tableColumn id="15479" xr3:uid="{5EF8DA11-E710-4D31-9145-75910E3E48B1}" name="Column15473"/>
    <tableColumn id="15480" xr3:uid="{4F8A26FD-E8E3-43E3-8815-C428BC6F7C2D}" name="Column15474"/>
    <tableColumn id="15481" xr3:uid="{BB73DB12-6C16-4D5E-8F5B-FD2A86A17BE6}" name="Column15475"/>
    <tableColumn id="15482" xr3:uid="{70EC3B51-DDAD-448E-A22B-1DC0194F2A6E}" name="Column15476"/>
    <tableColumn id="15483" xr3:uid="{8D8910FA-5790-4ACA-B927-095FC53D8B14}" name="Column15477"/>
    <tableColumn id="15484" xr3:uid="{35DDEF42-2943-4682-87E3-C08EC00F4C50}" name="Column15478"/>
    <tableColumn id="15485" xr3:uid="{91358AE7-BB0C-43BD-BE30-9C893C2F94B8}" name="Column15479"/>
    <tableColumn id="15486" xr3:uid="{539B833D-8AA2-4268-BA18-7DEA98DFE4EC}" name="Column15480"/>
    <tableColumn id="15487" xr3:uid="{B9DE8152-2635-4BA5-B9BF-6C258E8D7A66}" name="Column15481"/>
    <tableColumn id="15488" xr3:uid="{3BECB4CE-06EA-4745-961D-A2CF8D47B7C4}" name="Column15482"/>
    <tableColumn id="15489" xr3:uid="{92B419B1-2195-447C-AB89-68CD4B010978}" name="Column15483"/>
    <tableColumn id="15490" xr3:uid="{9F8448AB-DB61-4899-8560-E81B61B988AE}" name="Column15484"/>
    <tableColumn id="15491" xr3:uid="{2E2EBBE4-55FF-44A6-9A0A-88B5A84BD1BF}" name="Column15485"/>
    <tableColumn id="15492" xr3:uid="{60DFDDA4-E7E1-4D0B-B5DB-CD591557FFEF}" name="Column15486"/>
    <tableColumn id="15493" xr3:uid="{807730E0-F5BD-4B55-9FD4-5F55854FE76B}" name="Column15487"/>
    <tableColumn id="15494" xr3:uid="{8AE39785-E56F-4810-8C75-F4AD55FCC7F0}" name="Column15488"/>
    <tableColumn id="15495" xr3:uid="{33DA486B-5CD5-4CB4-83CB-8469E1D45471}" name="Column15489"/>
    <tableColumn id="15496" xr3:uid="{1BAA46F9-59B2-4758-9B75-4AD465AEE65A}" name="Column15490"/>
    <tableColumn id="15497" xr3:uid="{625F3BCB-90FC-46AC-AF52-32822F27BB9E}" name="Column15491"/>
    <tableColumn id="15498" xr3:uid="{2B26080C-2432-4682-9A62-28520D70F4B8}" name="Column15492"/>
    <tableColumn id="15499" xr3:uid="{1BE43BA7-C178-4985-8C06-5825C4855F62}" name="Column15493"/>
    <tableColumn id="15500" xr3:uid="{646E470E-7952-4138-A04C-FAB93F32A845}" name="Column15494"/>
    <tableColumn id="15501" xr3:uid="{65BB4F08-135F-464D-93E6-78651737B354}" name="Column15495"/>
    <tableColumn id="15502" xr3:uid="{E0A142D2-D138-487A-A863-8D4DAB41D7A7}" name="Column15496"/>
    <tableColumn id="15503" xr3:uid="{CE840379-DE1A-48D1-99B2-F785BC59311A}" name="Column15497"/>
    <tableColumn id="15504" xr3:uid="{BEC2286C-1425-4748-A40A-C8B5C046E351}" name="Column15498"/>
    <tableColumn id="15505" xr3:uid="{B2EEA6A7-E07D-451A-A007-2DC2CA7A4798}" name="Column15499"/>
    <tableColumn id="15506" xr3:uid="{3477EF99-AC77-4437-8AAC-8C4A336796F4}" name="Column15500"/>
    <tableColumn id="15507" xr3:uid="{6E74A2DE-A98A-40AF-82BF-6117A48CB7FD}" name="Column15501"/>
    <tableColumn id="15508" xr3:uid="{EA8E1D79-AC17-46A7-93C4-B291203F9F3B}" name="Column15502"/>
    <tableColumn id="15509" xr3:uid="{5AD83A43-38FF-49D9-9C42-6D26A9101BDB}" name="Column15503"/>
    <tableColumn id="15510" xr3:uid="{E69EE3CE-147B-49A4-9824-5F74136445DC}" name="Column15504"/>
    <tableColumn id="15511" xr3:uid="{954F2B1C-1A52-4B8C-B19B-4EEC4D42C829}" name="Column15505"/>
    <tableColumn id="15512" xr3:uid="{060255E6-09DC-47B2-92E6-DB46189C9644}" name="Column15506"/>
    <tableColumn id="15513" xr3:uid="{844B7C6B-F045-45DB-B942-597A53F67095}" name="Column15507"/>
    <tableColumn id="15514" xr3:uid="{B5ACFFB1-BA55-4562-ADDA-8515D238D0D5}" name="Column15508"/>
    <tableColumn id="15515" xr3:uid="{03AC0479-5BE9-4E7C-8B96-4A01F7892B88}" name="Column15509"/>
    <tableColumn id="15516" xr3:uid="{436936DC-E569-463D-AA28-466B053D3055}" name="Column15510"/>
    <tableColumn id="15517" xr3:uid="{72088479-D02B-403F-9FDD-4CC23D06B588}" name="Column15511"/>
    <tableColumn id="15518" xr3:uid="{8A96E5CB-866C-4C6D-AAF8-05E512A36FE9}" name="Column15512"/>
    <tableColumn id="15519" xr3:uid="{E004B70C-80CB-4FAD-A4AC-0CD880DDABC1}" name="Column15513"/>
    <tableColumn id="15520" xr3:uid="{D2486EA4-86D9-40A3-AAC0-814BAF8469CD}" name="Column15514"/>
    <tableColumn id="15521" xr3:uid="{E11CA4B0-279C-4836-9DD8-60DAA64650A5}" name="Column15515"/>
    <tableColumn id="15522" xr3:uid="{6CD4C24D-0174-417E-A4EA-6451BB5A4946}" name="Column15516"/>
    <tableColumn id="15523" xr3:uid="{FF1E52E8-519F-4955-962D-72D056D0A598}" name="Column15517"/>
    <tableColumn id="15524" xr3:uid="{08E42AE0-EF3F-48C1-9F76-105375F16B73}" name="Column15518"/>
    <tableColumn id="15525" xr3:uid="{B007B53C-7FA4-45AB-8FFD-892CF1671849}" name="Column15519"/>
    <tableColumn id="15526" xr3:uid="{97898935-09F7-4142-AE0F-2E745410BBE1}" name="Column15520"/>
    <tableColumn id="15527" xr3:uid="{4C955AFA-B891-46C1-947D-E16FF0AAF9A7}" name="Column15521"/>
    <tableColumn id="15528" xr3:uid="{7D21C67C-C717-4FD7-9554-9C73062A1211}" name="Column15522"/>
    <tableColumn id="15529" xr3:uid="{348D110C-341E-4CA7-A699-EB34CB009A24}" name="Column15523"/>
    <tableColumn id="15530" xr3:uid="{526AE46B-40EA-412E-A321-76BCE6109F7C}" name="Column15524"/>
    <tableColumn id="15531" xr3:uid="{2C8C5286-240C-4D7D-A52B-934C6D3CF314}" name="Column15525"/>
    <tableColumn id="15532" xr3:uid="{B70204E7-2CE4-4FAA-AB11-DEE924784E60}" name="Column15526"/>
    <tableColumn id="15533" xr3:uid="{CAC84A51-34F4-4939-AC81-3D3D7F6FDF66}" name="Column15527"/>
    <tableColumn id="15534" xr3:uid="{BD57D41A-7681-477D-9B19-57D1AA6C29B5}" name="Column15528"/>
    <tableColumn id="15535" xr3:uid="{4B287EDE-4B1C-4355-A5FB-ACB85C015610}" name="Column15529"/>
    <tableColumn id="15536" xr3:uid="{65AC126C-5C66-4CF3-9E9E-0A93FA6FB33D}" name="Column15530"/>
    <tableColumn id="15537" xr3:uid="{CD9191E0-C86F-4B8E-A329-02620B4417CA}" name="Column15531"/>
    <tableColumn id="15538" xr3:uid="{3DC48FB4-E8EF-4B00-A74F-7BF2184066AB}" name="Column15532"/>
    <tableColumn id="15539" xr3:uid="{E672EE08-0237-41E4-9E67-26BD6C1C3C28}" name="Column15533"/>
    <tableColumn id="15540" xr3:uid="{BB473124-7730-4B04-A53B-E0380420B885}" name="Column15534"/>
    <tableColumn id="15541" xr3:uid="{9B56E1B1-0110-4F76-8EA1-ACD5424B2512}" name="Column15535"/>
    <tableColumn id="15542" xr3:uid="{22CF6139-12FB-4EF0-A656-A0388AAC3E44}" name="Column15536"/>
    <tableColumn id="15543" xr3:uid="{F7DFF11E-F536-419A-9AC5-F58281056FBE}" name="Column15537"/>
    <tableColumn id="15544" xr3:uid="{03BCFD07-9805-4406-AB4A-787A2D169943}" name="Column15538"/>
    <tableColumn id="15545" xr3:uid="{A3DC6269-9219-4DA9-BBC0-3E1928453011}" name="Column15539"/>
    <tableColumn id="15546" xr3:uid="{69B88093-92C7-4910-82AF-1D763AC3379A}" name="Column15540"/>
    <tableColumn id="15547" xr3:uid="{0209B07B-4952-4A76-AE5F-07ACA72686A1}" name="Column15541"/>
    <tableColumn id="15548" xr3:uid="{AF9D9C71-5203-4539-A9E1-9804476E5EB7}" name="Column15542"/>
    <tableColumn id="15549" xr3:uid="{E36F90DF-1457-4D1B-B931-63843C428EA5}" name="Column15543"/>
    <tableColumn id="15550" xr3:uid="{FFAF9B27-7B45-48AB-99DD-EEB28BEAD7FE}" name="Column15544"/>
    <tableColumn id="15551" xr3:uid="{7D2D0173-7FBD-4D81-8A00-37204B1C4305}" name="Column15545"/>
    <tableColumn id="15552" xr3:uid="{113923D2-64CB-43EB-B927-41C938FA1D1A}" name="Column15546"/>
    <tableColumn id="15553" xr3:uid="{151CF19D-9E67-4CD8-B8C4-D10FE94D95C5}" name="Column15547"/>
    <tableColumn id="15554" xr3:uid="{36090E7C-5AB8-4F79-9EB4-835F92CF3107}" name="Column15548"/>
    <tableColumn id="15555" xr3:uid="{D709F08E-A7BA-4817-832F-535B667F5E74}" name="Column15549"/>
    <tableColumn id="15556" xr3:uid="{D007B230-9712-49B5-B040-A29C5DBE74A0}" name="Column15550"/>
    <tableColumn id="15557" xr3:uid="{288DDD04-276F-4AF5-89A2-09BBD77EDEC6}" name="Column15551"/>
    <tableColumn id="15558" xr3:uid="{0B976399-AB23-4243-8435-133BF3BDADC5}" name="Column15552"/>
    <tableColumn id="15559" xr3:uid="{1F647865-35A0-4E9C-985F-4AB7AB1C6DB3}" name="Column15553"/>
    <tableColumn id="15560" xr3:uid="{329C8D2A-4A81-4F99-A85A-05498170EDA5}" name="Column15554"/>
    <tableColumn id="15561" xr3:uid="{9FA59BFE-0700-4654-ABAE-90FED4DC1C2A}" name="Column15555"/>
    <tableColumn id="15562" xr3:uid="{94468D86-7231-47A4-BE6A-1C5008E30C0B}" name="Column15556"/>
    <tableColumn id="15563" xr3:uid="{986977FD-13B5-4426-8426-04D0EEAB0B1B}" name="Column15557"/>
    <tableColumn id="15564" xr3:uid="{7BE46FBC-EAF1-4332-B7B7-38A27F5B0F20}" name="Column15558"/>
    <tableColumn id="15565" xr3:uid="{4E63B1EA-91AF-467A-9495-2B95BA68698E}" name="Column15559"/>
    <tableColumn id="15566" xr3:uid="{51847BC7-F4C9-44D3-AEC5-A746207D0F93}" name="Column15560"/>
    <tableColumn id="15567" xr3:uid="{32C40DDE-6019-402B-954B-497029F6C95C}" name="Column15561"/>
    <tableColumn id="15568" xr3:uid="{704C3B89-1453-47FE-9D3D-A144D0CDEC03}" name="Column15562"/>
    <tableColumn id="15569" xr3:uid="{33D6005A-988E-4463-A245-6C674AE966AF}" name="Column15563"/>
    <tableColumn id="15570" xr3:uid="{849DC1C9-0AC5-4CB7-8DB8-B6C7BE7DC7E9}" name="Column15564"/>
    <tableColumn id="15571" xr3:uid="{A86A36E7-26A1-40D5-AADC-ABB884031AAD}" name="Column15565"/>
    <tableColumn id="15572" xr3:uid="{8FE86D84-F0BE-4173-B2F2-B3751D4E665B}" name="Column15566"/>
    <tableColumn id="15573" xr3:uid="{D78AD5E3-A434-4CF2-8E32-CA43FC68B72E}" name="Column15567"/>
    <tableColumn id="15574" xr3:uid="{8B6ED1EC-D405-4E5E-9DE9-453F2867FAE5}" name="Column15568"/>
    <tableColumn id="15575" xr3:uid="{1849E381-D47B-4D87-B9B5-DF89675A146E}" name="Column15569"/>
    <tableColumn id="15576" xr3:uid="{C9AB574D-9885-48B4-87F4-A25C0A9F9E1E}" name="Column15570"/>
    <tableColumn id="15577" xr3:uid="{8209F1AF-DCFA-4675-B864-9923127CADBD}" name="Column15571"/>
    <tableColumn id="15578" xr3:uid="{383E1BA5-3FF7-4788-91C6-3B05D906C678}" name="Column15572"/>
    <tableColumn id="15579" xr3:uid="{944AE1D2-99BB-4AEE-BCEA-7FE5D1BA9423}" name="Column15573"/>
    <tableColumn id="15580" xr3:uid="{0CED0B08-33E5-4539-8A7B-2DBEFEFB1695}" name="Column15574"/>
    <tableColumn id="15581" xr3:uid="{B91AB1FE-4C6C-4FFA-A0CB-F52BAB6A6D52}" name="Column15575"/>
    <tableColumn id="15582" xr3:uid="{4A516391-BD84-4C7F-BDB1-E63AE113955C}" name="Column15576"/>
    <tableColumn id="15583" xr3:uid="{528B1166-CE64-4E48-84D0-57C8B1AA73BA}" name="Column15577"/>
    <tableColumn id="15584" xr3:uid="{37273CF0-C0C6-4008-B9E7-69F06B66D779}" name="Column15578"/>
    <tableColumn id="15585" xr3:uid="{7C0F4021-6666-4712-93F5-93DC667BDF83}" name="Column15579"/>
    <tableColumn id="15586" xr3:uid="{D283BC44-6CDF-4FEE-9322-E54758B54977}" name="Column15580"/>
    <tableColumn id="15587" xr3:uid="{294EEE81-4E6D-4F6C-B877-888D1D47F646}" name="Column15581"/>
    <tableColumn id="15588" xr3:uid="{705B7ABC-03FA-4E09-A910-AAD4EBBA4FBC}" name="Column15582"/>
    <tableColumn id="15589" xr3:uid="{A18CA02B-D081-4E3A-880D-E805C24B390E}" name="Column15583"/>
    <tableColumn id="15590" xr3:uid="{701B0BCB-2252-4983-8EFA-317036146BCC}" name="Column15584"/>
    <tableColumn id="15591" xr3:uid="{1BDD9D12-B385-4E91-B21A-70F6A40A11E4}" name="Column15585"/>
    <tableColumn id="15592" xr3:uid="{DF338055-4F02-4341-8E29-5D345BC55B1C}" name="Column15586"/>
    <tableColumn id="15593" xr3:uid="{B63C793E-1CB1-4A88-B88B-AAE367E0850A}" name="Column15587"/>
    <tableColumn id="15594" xr3:uid="{528F99A6-DC09-4A99-95E7-1E930CA4016E}" name="Column15588"/>
    <tableColumn id="15595" xr3:uid="{7401C39E-B022-4318-827A-A163B34DE731}" name="Column15589"/>
    <tableColumn id="15596" xr3:uid="{45F5E9A9-6A05-435D-843F-F97B24339E30}" name="Column15590"/>
    <tableColumn id="15597" xr3:uid="{6A87869A-2B68-4235-A09E-79D847490C17}" name="Column15591"/>
    <tableColumn id="15598" xr3:uid="{453960F7-DCCB-4C1B-8AAA-373E4BD4F3FF}" name="Column15592"/>
    <tableColumn id="15599" xr3:uid="{4666CD68-6543-48CE-A7E2-CF8309D33CCD}" name="Column15593"/>
    <tableColumn id="15600" xr3:uid="{C8862060-52E9-4DE0-AC5D-57B1575403FA}" name="Column15594"/>
    <tableColumn id="15601" xr3:uid="{9F1D55AB-6592-4E01-BDF6-297CE4E86015}" name="Column15595"/>
    <tableColumn id="15602" xr3:uid="{EC780D45-C46A-48B1-B494-D7D3B6F5A5B3}" name="Column15596"/>
    <tableColumn id="15603" xr3:uid="{A7AECE29-ACBD-4A83-AC3C-267D97DCFCA6}" name="Column15597"/>
    <tableColumn id="15604" xr3:uid="{91C188BE-6060-498C-830B-2D9F8DC46076}" name="Column15598"/>
    <tableColumn id="15605" xr3:uid="{96168737-C62F-4A85-8B57-C9F86537E01E}" name="Column15599"/>
    <tableColumn id="15606" xr3:uid="{CDEB6911-1662-4C2F-8529-15EEB740C66D}" name="Column15600"/>
    <tableColumn id="15607" xr3:uid="{B4C7839A-01DB-4584-97FA-9AA8BAFF5E86}" name="Column15601"/>
    <tableColumn id="15608" xr3:uid="{35474027-BD60-405A-9726-CCBB4FFB6EE7}" name="Column15602"/>
    <tableColumn id="15609" xr3:uid="{8C50073A-5C76-4C21-8CB3-6592D722722E}" name="Column15603"/>
    <tableColumn id="15610" xr3:uid="{09E59640-45A7-4616-97F5-29646B11E6A1}" name="Column15604"/>
    <tableColumn id="15611" xr3:uid="{AECA5811-1A8B-46A9-BAAF-A17ED282A748}" name="Column15605"/>
    <tableColumn id="15612" xr3:uid="{28B922D2-07C0-4F13-9DBE-A193E73CBA85}" name="Column15606"/>
    <tableColumn id="15613" xr3:uid="{3DE5D1E0-B59A-4BEE-8A0D-088DB54DF7C1}" name="Column15607"/>
    <tableColumn id="15614" xr3:uid="{162217D8-77F0-47E1-8756-F164B88356B4}" name="Column15608"/>
    <tableColumn id="15615" xr3:uid="{BB2D90F8-C50C-4B07-9F26-7758AC4FEB3F}" name="Column15609"/>
    <tableColumn id="15616" xr3:uid="{CFBFA5A6-36F1-4511-BC20-8E657B991450}" name="Column15610"/>
    <tableColumn id="15617" xr3:uid="{BAFE95DE-82AE-4390-A386-935328E9F568}" name="Column15611"/>
    <tableColumn id="15618" xr3:uid="{A2B7B89F-45FF-4455-8313-1F022D1FC5D0}" name="Column15612"/>
    <tableColumn id="15619" xr3:uid="{36EAD71F-3ED2-4121-8FFC-DFB45BAE5DC2}" name="Column15613"/>
    <tableColumn id="15620" xr3:uid="{2840D816-0211-4054-8512-C45388CC135B}" name="Column15614"/>
    <tableColumn id="15621" xr3:uid="{2D2582AE-C699-4F54-A77E-ACF1E3FA66B6}" name="Column15615"/>
    <tableColumn id="15622" xr3:uid="{3906CDD5-95E4-4022-AE0A-9717D25A73D5}" name="Column15616"/>
    <tableColumn id="15623" xr3:uid="{0216FA6B-F91C-4ED6-9931-DA873F7F1939}" name="Column15617"/>
    <tableColumn id="15624" xr3:uid="{A3F3122F-7A8F-45AE-84B8-B02E01E1FDE3}" name="Column15618"/>
    <tableColumn id="15625" xr3:uid="{2BCE9A5F-9BAB-4E76-AEA0-E1415A65E89A}" name="Column15619"/>
    <tableColumn id="15626" xr3:uid="{A157172F-3C20-46F8-B1C5-AC8372AEC53F}" name="Column15620"/>
    <tableColumn id="15627" xr3:uid="{98A9B02E-8E27-4A54-BF8D-6F6DD788523E}" name="Column15621"/>
    <tableColumn id="15628" xr3:uid="{45F5C2D6-7EB8-4366-A211-17C6FB1F01D2}" name="Column15622"/>
    <tableColumn id="15629" xr3:uid="{C400EE7A-24B8-4414-B016-2FAB3FF530C8}" name="Column15623"/>
    <tableColumn id="15630" xr3:uid="{5B08E9B3-652E-4DD4-B562-7374308CAABC}" name="Column15624"/>
    <tableColumn id="15631" xr3:uid="{D72A7C2F-F8B1-428C-9BEF-374C46710495}" name="Column15625"/>
    <tableColumn id="15632" xr3:uid="{920C57AE-ED30-448A-8552-D36C160B4370}" name="Column15626"/>
    <tableColumn id="15633" xr3:uid="{94A0752F-E767-4AE4-A86F-29B56C4901C1}" name="Column15627"/>
    <tableColumn id="15634" xr3:uid="{306AA8C1-4942-4E5B-AA37-DC8AF9170495}" name="Column15628"/>
    <tableColumn id="15635" xr3:uid="{075E4E54-76F7-473D-8AC9-05A710FF6366}" name="Column15629"/>
    <tableColumn id="15636" xr3:uid="{EBFA7573-5955-4611-835F-3B1A2381B57C}" name="Column15630"/>
    <tableColumn id="15637" xr3:uid="{AB3EB7F5-B27E-414B-8C15-AD408AF5B5C7}" name="Column15631"/>
    <tableColumn id="15638" xr3:uid="{3C86B963-F2C2-4A14-932B-68541E23783B}" name="Column15632"/>
    <tableColumn id="15639" xr3:uid="{2BCFC684-D043-49E1-8892-84A42962A1D6}" name="Column15633"/>
    <tableColumn id="15640" xr3:uid="{118DDB0D-2DF2-4B32-9C60-49DA3AB73A83}" name="Column15634"/>
    <tableColumn id="15641" xr3:uid="{1FE4D3C6-280F-43E9-ACF9-98A07E665905}" name="Column15635"/>
    <tableColumn id="15642" xr3:uid="{12AD3E64-BAA9-4345-9197-5C2DE7252E8D}" name="Column15636"/>
    <tableColumn id="15643" xr3:uid="{B72E25E5-0DA6-4243-BE13-E9E477B28DAD}" name="Column15637"/>
    <tableColumn id="15644" xr3:uid="{421E9B71-6535-4628-9D7B-D7F190DE23E8}" name="Column15638"/>
    <tableColumn id="15645" xr3:uid="{68138333-F023-469A-B4AD-27EB9F0DB031}" name="Column15639"/>
    <tableColumn id="15646" xr3:uid="{6A9D6525-1EF3-49A0-9E6A-45B80C32E9A4}" name="Column15640"/>
    <tableColumn id="15647" xr3:uid="{8BBE58D5-F8BC-4F38-A4CD-91FF65AB8440}" name="Column15641"/>
    <tableColumn id="15648" xr3:uid="{3C71A83F-AD73-4917-82E8-213FF889899C}" name="Column15642"/>
    <tableColumn id="15649" xr3:uid="{3260CADE-8660-48B7-A87F-8F9D772EAE04}" name="Column15643"/>
    <tableColumn id="15650" xr3:uid="{24B0A421-4A5C-4E6B-A4E2-AA389B193A88}" name="Column15644"/>
    <tableColumn id="15651" xr3:uid="{A0651D8F-7F79-4D40-850B-FBF7CF73085D}" name="Column15645"/>
    <tableColumn id="15652" xr3:uid="{1D008959-5317-4B31-ACF0-C942DBFF3512}" name="Column15646"/>
    <tableColumn id="15653" xr3:uid="{6F3BB557-B927-4535-BF54-9E285CC7F00B}" name="Column15647"/>
    <tableColumn id="15654" xr3:uid="{17F08F9C-4285-4AAE-972E-CCB31AF29EE1}" name="Column15648"/>
    <tableColumn id="15655" xr3:uid="{61EE3D63-3900-4854-BC1F-9486067F1EB9}" name="Column15649"/>
    <tableColumn id="15656" xr3:uid="{0E060D35-E352-414A-B029-A86D56364CC3}" name="Column15650"/>
    <tableColumn id="15657" xr3:uid="{37351662-0D5C-449E-A1B7-654D071B0C1E}" name="Column15651"/>
    <tableColumn id="15658" xr3:uid="{5401362E-72A1-4C48-9D3B-4DB56C64AAF6}" name="Column15652"/>
    <tableColumn id="15659" xr3:uid="{44053162-FB6E-4E57-937E-489CCDEAE8AD}" name="Column15653"/>
    <tableColumn id="15660" xr3:uid="{459C7944-76D5-4626-92AF-96CFE448AB04}" name="Column15654"/>
    <tableColumn id="15661" xr3:uid="{BA8207D7-64F3-42DF-8F88-98695DC908DB}" name="Column15655"/>
    <tableColumn id="15662" xr3:uid="{194CA5BF-92DA-456D-8662-4BFEF95937A6}" name="Column15656"/>
    <tableColumn id="15663" xr3:uid="{E259EE4E-F0FC-4DD6-A683-C325BB659AAC}" name="Column15657"/>
    <tableColumn id="15664" xr3:uid="{3D6FA909-F62F-4366-8E30-F5C16AE27BF1}" name="Column15658"/>
    <tableColumn id="15665" xr3:uid="{1A34E025-7A51-4A98-B925-8CBC4DA8AA87}" name="Column15659"/>
    <tableColumn id="15666" xr3:uid="{A0EC3D46-59EC-477A-B2D1-05B36C2AC3F4}" name="Column15660"/>
    <tableColumn id="15667" xr3:uid="{C79AB107-CD9C-41BA-A2DA-F3948ED04BB7}" name="Column15661"/>
    <tableColumn id="15668" xr3:uid="{077E521A-62F4-4D6A-B4D7-9B21EFB480F9}" name="Column15662"/>
    <tableColumn id="15669" xr3:uid="{CB4759B2-77CE-4842-9DBC-3FCE43F0241C}" name="Column15663"/>
    <tableColumn id="15670" xr3:uid="{49122764-EB3A-45A9-B29C-050FDC6E22B4}" name="Column15664"/>
    <tableColumn id="15671" xr3:uid="{51DA8E6B-56B8-43C8-A8DD-17EDD823251A}" name="Column15665"/>
    <tableColumn id="15672" xr3:uid="{5F8B1F77-A2CF-4D05-B541-23FCB6A4B13D}" name="Column15666"/>
    <tableColumn id="15673" xr3:uid="{27C69509-78A5-4E27-A1AE-616F728A3355}" name="Column15667"/>
    <tableColumn id="15674" xr3:uid="{1029F4AC-8088-44A0-A674-30AC3F8A4C5B}" name="Column15668"/>
    <tableColumn id="15675" xr3:uid="{4A50305C-480F-4AC1-915B-B3FE5070ADE7}" name="Column15669"/>
    <tableColumn id="15676" xr3:uid="{EEBECF83-E15A-4650-8737-EFCF0E0F2D2A}" name="Column15670"/>
    <tableColumn id="15677" xr3:uid="{FA60D8E2-EB6F-4E66-B77B-205AFBEB4465}" name="Column15671"/>
    <tableColumn id="15678" xr3:uid="{3772F2B3-243A-41A3-9285-5340A31693D7}" name="Column15672"/>
    <tableColumn id="15679" xr3:uid="{E7390882-A9CC-4675-8C10-A92A5A25F1D4}" name="Column15673"/>
    <tableColumn id="15680" xr3:uid="{3C31D3F7-5133-4E0C-88A1-6608C055B256}" name="Column15674"/>
    <tableColumn id="15681" xr3:uid="{CF5448EF-DDCB-4DF6-8B21-22CA1ABCCF4D}" name="Column15675"/>
    <tableColumn id="15682" xr3:uid="{FD18DD5B-35FC-46C1-B6FA-34305BD3BC21}" name="Column15676"/>
    <tableColumn id="15683" xr3:uid="{78D130A5-6BCC-47B1-8B4E-0E31CAC39D07}" name="Column15677"/>
    <tableColumn id="15684" xr3:uid="{E45F7786-5A64-44FA-91B9-2C7AE38D70BE}" name="Column15678"/>
    <tableColumn id="15685" xr3:uid="{4EE0392E-0510-44C4-93D8-24993CDBD312}" name="Column15679"/>
    <tableColumn id="15686" xr3:uid="{61474D0F-7C71-4DB4-9340-F4DE060A6249}" name="Column15680"/>
    <tableColumn id="15687" xr3:uid="{2278D055-85D0-4430-8A24-6C7B5B338198}" name="Column15681"/>
    <tableColumn id="15688" xr3:uid="{F5DDFBFA-10DF-4F96-BD0C-C3C196B21D08}" name="Column15682"/>
    <tableColumn id="15689" xr3:uid="{A488CF44-13EB-4F36-95F7-3395E8B72096}" name="Column15683"/>
    <tableColumn id="15690" xr3:uid="{C17D0527-3903-46E5-A582-08BF468D8509}" name="Column15684"/>
    <tableColumn id="15691" xr3:uid="{C135368A-EF71-45C9-84F3-028391C560BF}" name="Column15685"/>
    <tableColumn id="15692" xr3:uid="{9EAD4B1F-9A40-4E05-BC68-BE35F2B35F6E}" name="Column15686"/>
    <tableColumn id="15693" xr3:uid="{9CAD9C0E-4962-4623-935A-4879A3DB49E0}" name="Column15687"/>
    <tableColumn id="15694" xr3:uid="{9E8B9358-5789-4EEF-9745-4FDD6A40C4CE}" name="Column15688"/>
    <tableColumn id="15695" xr3:uid="{DCACBE5D-F019-44F9-BDD8-15C46A776175}" name="Column15689"/>
    <tableColumn id="15696" xr3:uid="{83B4C4AC-E955-4DC3-933E-069AA725ECB5}" name="Column15690"/>
    <tableColumn id="15697" xr3:uid="{38E35E3F-4558-4789-9FC5-99E48FDC21E4}" name="Column15691"/>
    <tableColumn id="15698" xr3:uid="{042573B8-DCBA-4CA3-9E0F-8265F82E5725}" name="Column15692"/>
    <tableColumn id="15699" xr3:uid="{EB2CA603-9E0E-449A-925A-7E7535A04BAE}" name="Column15693"/>
    <tableColumn id="15700" xr3:uid="{DB8E8FF9-960A-4C3F-B290-086E4C08D5AB}" name="Column15694"/>
    <tableColumn id="15701" xr3:uid="{C1F63555-DB51-4DE3-AA71-24F2F4CD067B}" name="Column15695"/>
    <tableColumn id="15702" xr3:uid="{B24C8644-E43A-46E4-A92A-9EBED7AC864F}" name="Column15696"/>
    <tableColumn id="15703" xr3:uid="{C429A2A0-C70F-4146-B017-A0E31AD4D1C6}" name="Column15697"/>
    <tableColumn id="15704" xr3:uid="{C9ADD1D2-E4E3-4956-8249-6797D30A38C2}" name="Column15698"/>
    <tableColumn id="15705" xr3:uid="{C0F0502E-E093-4690-BBD9-2F028187E5CA}" name="Column15699"/>
    <tableColumn id="15706" xr3:uid="{F9A13CC9-009E-456E-BD38-01081801EF2B}" name="Column15700"/>
    <tableColumn id="15707" xr3:uid="{8D58BC2E-2F8F-4198-A435-EB304E35874F}" name="Column15701"/>
    <tableColumn id="15708" xr3:uid="{F63158D8-0AC7-43F8-A9B8-393AB3C9EFE0}" name="Column15702"/>
    <tableColumn id="15709" xr3:uid="{E2132188-535C-4177-A6A7-731EEB8DB63A}" name="Column15703"/>
    <tableColumn id="15710" xr3:uid="{3107D9D1-60B7-43B4-AD50-4DA02AE4C4CB}" name="Column15704"/>
    <tableColumn id="15711" xr3:uid="{9A8A4AD6-4B58-44BF-BFEB-68930013D7EC}" name="Column15705"/>
    <tableColumn id="15712" xr3:uid="{89E4283B-2AF8-4C7F-A6F9-731998252BC3}" name="Column15706"/>
    <tableColumn id="15713" xr3:uid="{19CC8791-0008-48F4-BA01-92AEA1C6B321}" name="Column15707"/>
    <tableColumn id="15714" xr3:uid="{2A1AE781-65B8-438C-AF09-9E5B81328E65}" name="Column15708"/>
    <tableColumn id="15715" xr3:uid="{829D66D0-51DA-49CD-A347-CB702C01C0B6}" name="Column15709"/>
    <tableColumn id="15716" xr3:uid="{ECEC496F-56F8-4BB4-8D01-D4258A35F8C9}" name="Column15710"/>
    <tableColumn id="15717" xr3:uid="{8AE45835-1E73-4572-81AE-F964C1FC16BB}" name="Column15711"/>
    <tableColumn id="15718" xr3:uid="{80B726F4-E8FE-4BA8-934A-5C7749B66CB5}" name="Column15712"/>
    <tableColumn id="15719" xr3:uid="{E995739E-6923-4D00-BCAD-800597038CA5}" name="Column15713"/>
    <tableColumn id="15720" xr3:uid="{CD01AA16-2695-4D8E-AC51-D55B2061F15A}" name="Column15714"/>
    <tableColumn id="15721" xr3:uid="{6E3CF29B-E665-4743-A647-E47D9D3253B9}" name="Column15715"/>
    <tableColumn id="15722" xr3:uid="{92B85C64-2A6C-49FD-BC56-FDD5278B145D}" name="Column15716"/>
    <tableColumn id="15723" xr3:uid="{A2C482EE-9969-428E-96D2-1F42C6EA82D2}" name="Column15717"/>
    <tableColumn id="15724" xr3:uid="{A5C1CEFE-E436-4C98-9FF0-2259CD417559}" name="Column15718"/>
    <tableColumn id="15725" xr3:uid="{E4B0D489-4F1C-4711-8EC5-A271AA704243}" name="Column15719"/>
    <tableColumn id="15726" xr3:uid="{C71307EE-2746-4C5F-997E-6F20254CE321}" name="Column15720"/>
    <tableColumn id="15727" xr3:uid="{D61BADAE-6EFE-475C-8DFA-965A4DB76DDD}" name="Column15721"/>
    <tableColumn id="15728" xr3:uid="{F9382681-5C7A-4D17-980A-0618E9BFBFF5}" name="Column15722"/>
    <tableColumn id="15729" xr3:uid="{BDC6C7AB-64D0-4935-9991-99A29DFB4D43}" name="Column15723"/>
    <tableColumn id="15730" xr3:uid="{BF9D3B2B-9FA3-4930-AE9D-211EF702FE34}" name="Column15724"/>
    <tableColumn id="15731" xr3:uid="{F3D527F3-8D8E-40EC-A8D7-1868552BC459}" name="Column15725"/>
    <tableColumn id="15732" xr3:uid="{61927C66-F381-4B1F-B428-49B0EBD69AA4}" name="Column15726"/>
    <tableColumn id="15733" xr3:uid="{2F4FDB68-AD5B-439F-882E-9F176C88DB35}" name="Column15727"/>
    <tableColumn id="15734" xr3:uid="{9EC3B700-C8BD-41E4-AD65-A6297CCF16E8}" name="Column15728"/>
    <tableColumn id="15735" xr3:uid="{1E92F3CB-A6F9-4743-94F6-4480B823DB47}" name="Column15729"/>
    <tableColumn id="15736" xr3:uid="{BCFD44FA-8C65-4B46-88B2-F471D6C1BB22}" name="Column15730"/>
    <tableColumn id="15737" xr3:uid="{802208FE-FFB6-4A9B-AB8B-D6A7BF797A08}" name="Column15731"/>
    <tableColumn id="15738" xr3:uid="{B52BC935-015B-4407-8F67-7B32AB2C5C57}" name="Column15732"/>
    <tableColumn id="15739" xr3:uid="{77386826-BB7F-4CC8-B192-3334EA1D376C}" name="Column15733"/>
    <tableColumn id="15740" xr3:uid="{403334E5-A684-48DF-89B5-A053A452D7EB}" name="Column15734"/>
    <tableColumn id="15741" xr3:uid="{6A07B9F0-95C3-4150-92F7-03903166963D}" name="Column15735"/>
    <tableColumn id="15742" xr3:uid="{5A41C29E-123B-41D5-89A5-5127ABDD0569}" name="Column15736"/>
    <tableColumn id="15743" xr3:uid="{F8479BC3-5154-4867-96E4-846B3FD361CE}" name="Column15737"/>
    <tableColumn id="15744" xr3:uid="{0F243B1F-05D1-49EF-BD8F-4A2AA9788CB0}" name="Column15738"/>
    <tableColumn id="15745" xr3:uid="{50D13A7A-C96A-499F-BFCE-FC781D4C9371}" name="Column15739"/>
    <tableColumn id="15746" xr3:uid="{CF9445FA-1D04-475F-A5AC-93F5D18426FB}" name="Column15740"/>
    <tableColumn id="15747" xr3:uid="{82FE3A9B-01D0-4F30-BD30-16813FBDE97B}" name="Column15741"/>
    <tableColumn id="15748" xr3:uid="{081A438F-EAD2-4197-8DFB-1C41EC817CAF}" name="Column15742"/>
    <tableColumn id="15749" xr3:uid="{631DA649-512D-4996-9738-EF25ABE768BA}" name="Column15743"/>
    <tableColumn id="15750" xr3:uid="{4F498BB0-36B3-472A-BF9F-EEF4057CC117}" name="Column15744"/>
    <tableColumn id="15751" xr3:uid="{62EDE83C-540A-4A02-8880-2E0858E2D4E6}" name="Column15745"/>
    <tableColumn id="15752" xr3:uid="{EE536A94-979D-4A6F-AB83-25DE6BDF2C30}" name="Column15746"/>
    <tableColumn id="15753" xr3:uid="{AA6E7631-5032-41D2-AB07-74C0D6CAE616}" name="Column15747"/>
    <tableColumn id="15754" xr3:uid="{05F2FF78-BF43-48A7-8229-4E7FA5FBBC50}" name="Column15748"/>
    <tableColumn id="15755" xr3:uid="{0D3D14CC-3B62-42B7-B16C-B57E13B8233A}" name="Column15749"/>
    <tableColumn id="15756" xr3:uid="{D05CE01F-6EC6-4E55-A8D9-1D9AE34AFA73}" name="Column15750"/>
    <tableColumn id="15757" xr3:uid="{CE262F8F-228C-4F28-B59C-664EFF68F884}" name="Column15751"/>
    <tableColumn id="15758" xr3:uid="{F06D6FF3-09B1-45E0-9E8A-93E992B486B7}" name="Column15752"/>
    <tableColumn id="15759" xr3:uid="{7F420281-4CA2-4D50-B54A-E57AD6618C96}" name="Column15753"/>
    <tableColumn id="15760" xr3:uid="{C21E3193-CB65-4785-90BE-A4D5FDDA6057}" name="Column15754"/>
    <tableColumn id="15761" xr3:uid="{E07E026D-65D6-4DDB-8109-B86043D642B6}" name="Column15755"/>
    <tableColumn id="15762" xr3:uid="{15C5C937-F6D4-4F63-A012-B5106B4DD27F}" name="Column15756"/>
    <tableColumn id="15763" xr3:uid="{BAB1BE8E-858A-4D57-885C-00A6E85A04D9}" name="Column15757"/>
    <tableColumn id="15764" xr3:uid="{E143F714-004A-4436-A198-9DAD8E77C9A7}" name="Column15758"/>
    <tableColumn id="15765" xr3:uid="{EBDC6243-B26A-49C9-A16D-4535957989FE}" name="Column15759"/>
    <tableColumn id="15766" xr3:uid="{94CBAAFD-B68D-4E56-9311-BE9AF9BCC84F}" name="Column15760"/>
    <tableColumn id="15767" xr3:uid="{167849B9-5BA0-407F-AEDD-6842EDE8D922}" name="Column15761"/>
    <tableColumn id="15768" xr3:uid="{E7D6126F-D0FE-4D5D-BCA6-3959409F6417}" name="Column15762"/>
    <tableColumn id="15769" xr3:uid="{D223B790-C88F-4879-831D-DC675C49BD60}" name="Column15763"/>
    <tableColumn id="15770" xr3:uid="{224BC90B-60F3-4756-B3CE-95177AAF5A7D}" name="Column15764"/>
    <tableColumn id="15771" xr3:uid="{25A6497A-6FEB-4117-ABCA-E89118AF0D85}" name="Column15765"/>
    <tableColumn id="15772" xr3:uid="{731178D3-8370-4ED7-BB55-5EFCB58D07E9}" name="Column15766"/>
    <tableColumn id="15773" xr3:uid="{40B13D97-10A9-4DDE-B9C5-BA04527E7165}" name="Column15767"/>
    <tableColumn id="15774" xr3:uid="{FC57EA9E-8A77-4235-8593-5CAE8D53A7AE}" name="Column15768"/>
    <tableColumn id="15775" xr3:uid="{8745A1A6-5ACA-4B4C-9615-925F16775400}" name="Column15769"/>
    <tableColumn id="15776" xr3:uid="{1D436872-BA2A-4159-8D4E-8020FB64AAFD}" name="Column15770"/>
    <tableColumn id="15777" xr3:uid="{A6C02C24-7A37-46D3-B4A0-5B2A94F38E15}" name="Column15771"/>
    <tableColumn id="15778" xr3:uid="{25F02050-867A-4D85-A96B-4EFBD5E9CCA9}" name="Column15772"/>
    <tableColumn id="15779" xr3:uid="{1D9136C2-1623-40A5-A40A-8675DE65FDBA}" name="Column15773"/>
    <tableColumn id="15780" xr3:uid="{8645C370-6536-4FC7-B04C-67E32366DDCD}" name="Column15774"/>
    <tableColumn id="15781" xr3:uid="{04639C67-A815-4C1A-A7DF-267D6D6755F5}" name="Column15775"/>
    <tableColumn id="15782" xr3:uid="{7332AB01-3EF2-43D6-A0CF-8E6F4675B344}" name="Column15776"/>
    <tableColumn id="15783" xr3:uid="{B863BB73-B889-4CEA-B133-078DA6A5B4A3}" name="Column15777"/>
    <tableColumn id="15784" xr3:uid="{166FBBF3-8C9D-42D3-A3BE-2A34BABDC2A6}" name="Column15778"/>
    <tableColumn id="15785" xr3:uid="{8CB51541-0B76-4852-B80D-A76BDBCB9A87}" name="Column15779"/>
    <tableColumn id="15786" xr3:uid="{8DEBB2CC-9AD9-49AC-9473-9A9EAA996536}" name="Column15780"/>
    <tableColumn id="15787" xr3:uid="{2AA57671-0037-4C0C-8218-DDCA5E511EA4}" name="Column15781"/>
    <tableColumn id="15788" xr3:uid="{F1EBCD57-7115-4552-B5AF-4A5F7025B737}" name="Column15782"/>
    <tableColumn id="15789" xr3:uid="{0B3EDC6C-B22D-4DA8-B6CB-A870CD3D302C}" name="Column15783"/>
    <tableColumn id="15790" xr3:uid="{86A18CC4-2433-4F4B-8404-7661FC199782}" name="Column15784"/>
    <tableColumn id="15791" xr3:uid="{8F45C725-97FC-4B9B-A116-EC20A721C4BA}" name="Column15785"/>
    <tableColumn id="15792" xr3:uid="{DA068272-E8BA-4284-BCC0-266F249DC161}" name="Column15786"/>
    <tableColumn id="15793" xr3:uid="{EFB416A7-2DF5-4E5A-BC1C-6C8A827CE064}" name="Column15787"/>
    <tableColumn id="15794" xr3:uid="{299A0020-20D6-49AF-BEB4-229A1B794993}" name="Column15788"/>
    <tableColumn id="15795" xr3:uid="{3A88CC10-FFA8-4CE8-A712-ED9F2AD67437}" name="Column15789"/>
    <tableColumn id="15796" xr3:uid="{7B859806-0464-4690-8670-E84010DC8BD2}" name="Column15790"/>
    <tableColumn id="15797" xr3:uid="{0533B859-F262-4C69-BAD5-23072D20BCEA}" name="Column15791"/>
    <tableColumn id="15798" xr3:uid="{A7844DFA-4B12-4655-B62C-5FBF845EF26D}" name="Column15792"/>
    <tableColumn id="15799" xr3:uid="{AAEEDECC-385A-4AEF-9D30-33E1157C9A54}" name="Column15793"/>
    <tableColumn id="15800" xr3:uid="{CD8E5AD3-E9BC-45B8-9BE9-04133E48E130}" name="Column15794"/>
    <tableColumn id="15801" xr3:uid="{55FE0258-F452-4FBC-AC83-719819FDF3BD}" name="Column15795"/>
    <tableColumn id="15802" xr3:uid="{572C85C8-903F-47C2-A76D-028A0A81541C}" name="Column15796"/>
    <tableColumn id="15803" xr3:uid="{B16984AF-AE4D-4FB9-A109-13C9673F0978}" name="Column15797"/>
    <tableColumn id="15804" xr3:uid="{E4FB95CF-9127-4F06-B7F4-A9335424449C}" name="Column15798"/>
    <tableColumn id="15805" xr3:uid="{47A5369C-8CF9-49C8-A316-671B0863080A}" name="Column15799"/>
    <tableColumn id="15806" xr3:uid="{FFAF7FCA-5AD3-4991-9ACD-62A3B632A272}" name="Column15800"/>
    <tableColumn id="15807" xr3:uid="{BD6AF9C0-3836-44A4-8D11-C2ECF5407B47}" name="Column15801"/>
    <tableColumn id="15808" xr3:uid="{6C2BF0D3-6E6D-4CBD-8176-FD766E32C3D2}" name="Column15802"/>
    <tableColumn id="15809" xr3:uid="{0ED9BC96-A52E-4DFA-AE77-A08D5F491E21}" name="Column15803"/>
    <tableColumn id="15810" xr3:uid="{A4E73B6A-1438-4622-8F68-5862FF0B4202}" name="Column15804"/>
    <tableColumn id="15811" xr3:uid="{E42D780B-7BA1-46DD-A19C-29AF67021782}" name="Column15805"/>
    <tableColumn id="15812" xr3:uid="{D79126E0-A231-4AC7-B8E8-BF31C85A1ECC}" name="Column15806"/>
    <tableColumn id="15813" xr3:uid="{3034D176-3C31-4FAA-B4FF-62E3F4164361}" name="Column15807"/>
    <tableColumn id="15814" xr3:uid="{A9A4B790-17E9-4538-BF17-D5B873D6725B}" name="Column15808"/>
    <tableColumn id="15815" xr3:uid="{AD5BF838-BF28-49D1-9522-1686B9FF313E}" name="Column15809"/>
    <tableColumn id="15816" xr3:uid="{52106C5B-7AC2-4E69-A6C1-EBD19E67C133}" name="Column15810"/>
    <tableColumn id="15817" xr3:uid="{08BC7868-2D1B-4652-9237-124F3B48620A}" name="Column15811"/>
    <tableColumn id="15818" xr3:uid="{DEECAFD7-BFD1-4C8C-8224-665B71D05394}" name="Column15812"/>
    <tableColumn id="15819" xr3:uid="{CBBEB857-E358-4DFD-82B8-F581F36C8006}" name="Column15813"/>
    <tableColumn id="15820" xr3:uid="{FACD68F9-9473-4175-A2EC-9ADDF18BFE4C}" name="Column15814"/>
    <tableColumn id="15821" xr3:uid="{5D571967-11FD-405E-9FDD-4647800C3485}" name="Column15815"/>
    <tableColumn id="15822" xr3:uid="{E5789C61-21AF-41DC-9D91-A89FBA776175}" name="Column15816"/>
    <tableColumn id="15823" xr3:uid="{B6587E68-268A-4FCB-932C-B8DF48424727}" name="Column15817"/>
    <tableColumn id="15824" xr3:uid="{4B2E3FFF-0055-44AE-8BCA-BBE963187E37}" name="Column15818"/>
    <tableColumn id="15825" xr3:uid="{BFBE7A5A-E411-4B9E-B657-2A8B0BE27B06}" name="Column15819"/>
    <tableColumn id="15826" xr3:uid="{33D9E3D9-B7C6-46DD-9193-5EEC0CBE2338}" name="Column15820"/>
    <tableColumn id="15827" xr3:uid="{DFF40296-A546-423A-BA5C-AE737C4A8674}" name="Column15821"/>
    <tableColumn id="15828" xr3:uid="{42BEE5AF-660D-44CD-8F46-81BFA027110F}" name="Column15822"/>
    <tableColumn id="15829" xr3:uid="{C57A7BA2-B47C-4DA4-B32D-722B339C7E8A}" name="Column15823"/>
    <tableColumn id="15830" xr3:uid="{C53F3D9C-51A2-48EC-AFD8-3EB6F256B3F8}" name="Column15824"/>
    <tableColumn id="15831" xr3:uid="{D0F7F5B1-EDBC-4915-A720-FDC3792CBA9C}" name="Column15825"/>
    <tableColumn id="15832" xr3:uid="{15BD85E1-42CC-4E3D-80D0-06A8BB42F09F}" name="Column15826"/>
    <tableColumn id="15833" xr3:uid="{4007983F-D74C-4517-89C8-9CB0CEE972B2}" name="Column15827"/>
    <tableColumn id="15834" xr3:uid="{B6902756-5679-4EA3-B94E-1F4B7584A979}" name="Column15828"/>
    <tableColumn id="15835" xr3:uid="{8B4A96A4-C2A5-4BDF-A14C-2CA0CC8ACD43}" name="Column15829"/>
    <tableColumn id="15836" xr3:uid="{B0620B9A-9CB1-4A1A-BB7E-965CC2831B19}" name="Column15830"/>
    <tableColumn id="15837" xr3:uid="{0A37CFF2-904D-441A-AAEF-446003229999}" name="Column15831"/>
    <tableColumn id="15838" xr3:uid="{E20B2091-B7B2-4F80-8CA9-CECA8993FBD5}" name="Column15832"/>
    <tableColumn id="15839" xr3:uid="{BABBDCF0-BFDC-4380-8C98-06D4D8DC2AA4}" name="Column15833"/>
    <tableColumn id="15840" xr3:uid="{07AFCCAB-5B8E-4586-B9EC-ECBE5B404E5F}" name="Column15834"/>
    <tableColumn id="15841" xr3:uid="{49FBEA8E-1410-4960-8902-256F859B7AE7}" name="Column15835"/>
    <tableColumn id="15842" xr3:uid="{7CDDD3D7-073F-4516-B793-19FF07641FFA}" name="Column15836"/>
    <tableColumn id="15843" xr3:uid="{8D7000A5-DD12-4021-BA12-E37D74AA2A6A}" name="Column15837"/>
    <tableColumn id="15844" xr3:uid="{1E18880A-28EC-45CA-BC98-081526A289FB}" name="Column15838"/>
    <tableColumn id="15845" xr3:uid="{AE76091A-A418-4235-9393-3B80B20979F8}" name="Column15839"/>
    <tableColumn id="15846" xr3:uid="{B114E6C9-8569-497A-9F08-5933944F4E26}" name="Column15840"/>
    <tableColumn id="15847" xr3:uid="{39E98F28-6659-47CE-9F0B-1603284F85B5}" name="Column15841"/>
    <tableColumn id="15848" xr3:uid="{0B21EC28-ACDD-4066-8AEC-C46DA4A1B5FD}" name="Column15842"/>
    <tableColumn id="15849" xr3:uid="{00D59C12-4067-4D28-857B-B1943066FF27}" name="Column15843"/>
    <tableColumn id="15850" xr3:uid="{7FF6C304-23B3-4649-8678-1B360004F546}" name="Column15844"/>
    <tableColumn id="15851" xr3:uid="{95D0313E-3350-4183-9AE9-D7EE6AEE7C4B}" name="Column15845"/>
    <tableColumn id="15852" xr3:uid="{D0CC93F6-B699-449B-B2C1-B875CCC1AB95}" name="Column15846"/>
    <tableColumn id="15853" xr3:uid="{E351702E-BA90-4816-BBBB-E37432114188}" name="Column15847"/>
    <tableColumn id="15854" xr3:uid="{AF42734E-F312-4AAB-9853-F353A755CF5B}" name="Column15848"/>
    <tableColumn id="15855" xr3:uid="{2E7F26C6-EF8B-472C-BECE-AD7A99FA430A}" name="Column15849"/>
    <tableColumn id="15856" xr3:uid="{C06E14FF-AA7E-4AD7-A26C-963321087271}" name="Column15850"/>
    <tableColumn id="15857" xr3:uid="{F6FBFE92-87AD-4CC0-B8D3-D70DFFB4A7B4}" name="Column15851"/>
    <tableColumn id="15858" xr3:uid="{B31F1139-16C6-4317-8689-980F2740129E}" name="Column15852"/>
    <tableColumn id="15859" xr3:uid="{2E83EBE5-E257-4FD0-B941-CE5290B72B4F}" name="Column15853"/>
    <tableColumn id="15860" xr3:uid="{75C1CF49-99FC-43C9-AE3C-2E4A00018139}" name="Column15854"/>
    <tableColumn id="15861" xr3:uid="{BFE132FA-7029-4CEA-AE10-6C313172E4D4}" name="Column15855"/>
    <tableColumn id="15862" xr3:uid="{28B3890B-6F55-4C4A-8EDB-D77432EC78D2}" name="Column15856"/>
    <tableColumn id="15863" xr3:uid="{70F027C4-03C0-4369-9F8D-A1CD8D17443F}" name="Column15857"/>
    <tableColumn id="15864" xr3:uid="{9B680ECC-A963-4771-8645-AD6995353D12}" name="Column15858"/>
    <tableColumn id="15865" xr3:uid="{E0C6C3F9-0784-4AB1-A33C-2014C7EEE17C}" name="Column15859"/>
    <tableColumn id="15866" xr3:uid="{8C68A6B2-0FB5-4BE0-B09B-FBA03F4B607C}" name="Column15860"/>
    <tableColumn id="15867" xr3:uid="{83B57457-BEE0-4FE2-A63B-2988C4EB536B}" name="Column15861"/>
    <tableColumn id="15868" xr3:uid="{A196FA2B-91B1-40F2-851E-AD370FFFC6E8}" name="Column15862"/>
    <tableColumn id="15869" xr3:uid="{2DB8D2EF-1F6B-4D32-86B9-BA88C03CEAE9}" name="Column15863"/>
    <tableColumn id="15870" xr3:uid="{9C92D513-5135-46C9-8A76-5C8D5B1F6A30}" name="Column15864"/>
    <tableColumn id="15871" xr3:uid="{AF7DF381-2762-416C-841E-0DAE4615C71C}" name="Column15865"/>
    <tableColumn id="15872" xr3:uid="{B58F9B2F-B67F-453C-ADF9-EF7E6FB74971}" name="Column15866"/>
    <tableColumn id="15873" xr3:uid="{B4B11509-BD38-4694-B903-38F496CF42A7}" name="Column15867"/>
    <tableColumn id="15874" xr3:uid="{767D926F-8F01-4DD4-8CD9-CECA9478F0F9}" name="Column15868"/>
    <tableColumn id="15875" xr3:uid="{705534C1-CF73-4CA4-BD24-0B0CDCD86ECD}" name="Column15869"/>
    <tableColumn id="15876" xr3:uid="{D1EAEEC3-E4C3-4603-A615-309782D3F531}" name="Column15870"/>
    <tableColumn id="15877" xr3:uid="{F665B75E-27D7-4F2B-B156-2CD47D3E4325}" name="Column15871"/>
    <tableColumn id="15878" xr3:uid="{22475160-3AD1-49FE-9E9C-362673471726}" name="Column15872"/>
    <tableColumn id="15879" xr3:uid="{928794F2-EF01-493F-A3B3-628BB2A27FEB}" name="Column15873"/>
    <tableColumn id="15880" xr3:uid="{1E54EC4E-C369-42DB-A28D-39C2FE6D5F45}" name="Column15874"/>
    <tableColumn id="15881" xr3:uid="{9B490BDE-C058-4D12-BBDD-B9ECEE589512}" name="Column15875"/>
    <tableColumn id="15882" xr3:uid="{6E001CCD-FB36-48DD-B51F-867D387D4AC4}" name="Column15876"/>
    <tableColumn id="15883" xr3:uid="{8EFA3DE2-A79B-4610-8597-A3C9D1B82B79}" name="Column15877"/>
    <tableColumn id="15884" xr3:uid="{10788806-6EEB-44B4-B1CB-230E502BDF70}" name="Column15878"/>
    <tableColumn id="15885" xr3:uid="{DBCAB551-4D48-49C5-9B88-4A0D86CECB6E}" name="Column15879"/>
    <tableColumn id="15886" xr3:uid="{C22733FE-87A1-44F2-A28E-C2BA4FCEE456}" name="Column15880"/>
    <tableColumn id="15887" xr3:uid="{24FAB763-8389-4B56-B97A-9C5EBB189E6B}" name="Column15881"/>
    <tableColumn id="15888" xr3:uid="{DFE010F0-891A-4985-9352-50306F9E77B4}" name="Column15882"/>
    <tableColumn id="15889" xr3:uid="{C11DE471-63BC-4E8F-AD18-9C14486E530C}" name="Column15883"/>
    <tableColumn id="15890" xr3:uid="{E5EE0E49-1A62-4080-9AEC-FABB2E779BF1}" name="Column15884"/>
    <tableColumn id="15891" xr3:uid="{9EF82507-7997-4E69-BB4E-76568ACB5EEE}" name="Column15885"/>
    <tableColumn id="15892" xr3:uid="{DB4EE327-5118-4029-83D8-9223AFD8622A}" name="Column15886"/>
    <tableColumn id="15893" xr3:uid="{68F3F7BA-E6D1-41D6-A202-7AD0AA58A79B}" name="Column15887"/>
    <tableColumn id="15894" xr3:uid="{F1181930-8B11-40CB-B87E-BBE07144A71C}" name="Column15888"/>
    <tableColumn id="15895" xr3:uid="{9494ADFE-B833-4321-88A2-E95BE830FA37}" name="Column15889"/>
    <tableColumn id="15896" xr3:uid="{303C3137-94FB-4797-AAF9-6E01929D6F9F}" name="Column15890"/>
    <tableColumn id="15897" xr3:uid="{95B8B15F-83AC-43DD-87F8-594D5CC7B9B6}" name="Column15891"/>
    <tableColumn id="15898" xr3:uid="{E3275B8F-7A78-4FF1-966F-B895899EA2D6}" name="Column15892"/>
    <tableColumn id="15899" xr3:uid="{9B86F882-BE0A-4B3C-BFD5-8E0B0972B03B}" name="Column15893"/>
    <tableColumn id="15900" xr3:uid="{B365019F-820A-444A-9E6A-949CD449C915}" name="Column15894"/>
    <tableColumn id="15901" xr3:uid="{9FE08E6E-4678-4B50-8934-45B000A9DA2F}" name="Column15895"/>
    <tableColumn id="15902" xr3:uid="{F1185F6C-8B7F-4DC4-AF3E-7CEBB43487D2}" name="Column15896"/>
    <tableColumn id="15903" xr3:uid="{2D9F10B6-EE0C-4791-B2B3-973BE2A710DC}" name="Column15897"/>
    <tableColumn id="15904" xr3:uid="{5E5AC4B3-846F-43BD-9ACD-4C2F8BDC22AF}" name="Column15898"/>
    <tableColumn id="15905" xr3:uid="{5A7E9409-09E4-492F-9884-6C7D0BF1BA34}" name="Column15899"/>
    <tableColumn id="15906" xr3:uid="{4EAA2AC6-92E8-422B-89C8-E33EFFD29631}" name="Column15900"/>
    <tableColumn id="15907" xr3:uid="{B79DD0FE-DBDA-46CF-87AE-F37E6EFFE579}" name="Column15901"/>
    <tableColumn id="15908" xr3:uid="{C0AD3262-0B0E-43B7-81FF-3F5DBE0886D7}" name="Column15902"/>
    <tableColumn id="15909" xr3:uid="{BE27F2B3-551B-47A3-9A80-A93C8A7FA54B}" name="Column15903"/>
    <tableColumn id="15910" xr3:uid="{A94B81AB-0BCA-470B-BCA0-956EC2BB9C63}" name="Column15904"/>
    <tableColumn id="15911" xr3:uid="{34531DFC-10D4-4B11-AF27-F00F1CFAEE52}" name="Column15905"/>
    <tableColumn id="15912" xr3:uid="{5B44AFFA-CACC-4D0D-825F-BEA8B6370B84}" name="Column15906"/>
    <tableColumn id="15913" xr3:uid="{ABB0BB76-D77F-42FB-BE32-75240F76E53A}" name="Column15907"/>
    <tableColumn id="15914" xr3:uid="{8822DF0C-F1A8-4DFB-B6B6-3E3F9967B21E}" name="Column15908"/>
    <tableColumn id="15915" xr3:uid="{F43F5E1D-3F5F-400D-909C-A463C20004C2}" name="Column15909"/>
    <tableColumn id="15916" xr3:uid="{33BC0234-A8B3-462A-A973-53901571FBE0}" name="Column15910"/>
    <tableColumn id="15917" xr3:uid="{1841155B-4603-49D2-B412-8AC9F4C72744}" name="Column15911"/>
    <tableColumn id="15918" xr3:uid="{FD41F0D6-C755-4B0C-B3C5-EFB2DB5F8983}" name="Column15912"/>
    <tableColumn id="15919" xr3:uid="{47A7AC2E-5C0B-452A-8F55-B3A7307B090A}" name="Column15913"/>
    <tableColumn id="15920" xr3:uid="{70D70AF9-83D3-4506-AC86-5BDADABEA180}" name="Column15914"/>
    <tableColumn id="15921" xr3:uid="{38CC90DE-027C-42FF-B330-ED280022229F}" name="Column15915"/>
    <tableColumn id="15922" xr3:uid="{EEB4AA69-816B-40A1-8036-78211C59879A}" name="Column15916"/>
    <tableColumn id="15923" xr3:uid="{91660311-6905-4F2B-95E2-2FB6823F714C}" name="Column15917"/>
    <tableColumn id="15924" xr3:uid="{0D5633A6-1E5D-4458-81EC-9CB0B353E6E3}" name="Column15918"/>
    <tableColumn id="15925" xr3:uid="{72D3E790-8520-4402-B66C-2C607A7A4E9F}" name="Column15919"/>
    <tableColumn id="15926" xr3:uid="{7DC6E9D0-A208-447C-B82E-C909120A60BD}" name="Column15920"/>
    <tableColumn id="15927" xr3:uid="{A2CABD6C-E4B7-44CB-B884-CA7F3D0C3B36}" name="Column15921"/>
    <tableColumn id="15928" xr3:uid="{853C34EF-53EF-490E-8758-106EC22CC3B2}" name="Column15922"/>
    <tableColumn id="15929" xr3:uid="{296210E3-8E58-44A8-89AB-9F91C2CA001E}" name="Column15923"/>
    <tableColumn id="15930" xr3:uid="{73C16048-0306-4D5C-B5FC-9E3239504C00}" name="Column15924"/>
    <tableColumn id="15931" xr3:uid="{1CEEC787-BC25-4699-8282-161E437F86FD}" name="Column15925"/>
    <tableColumn id="15932" xr3:uid="{71B89C75-F9BB-4CCC-A8EC-30B06386900E}" name="Column15926"/>
    <tableColumn id="15933" xr3:uid="{9E8D2D6C-2FA0-484A-A096-7D00D8527221}" name="Column15927"/>
    <tableColumn id="15934" xr3:uid="{884BA91B-8970-4471-9757-B9E1302C3B04}" name="Column15928"/>
    <tableColumn id="15935" xr3:uid="{67861102-61CB-406B-908A-23C48C3ABC25}" name="Column15929"/>
    <tableColumn id="15936" xr3:uid="{693FA22E-EA6B-48D6-B764-AE62B73453F7}" name="Column15930"/>
    <tableColumn id="15937" xr3:uid="{8E37101F-969F-4914-B2D0-E017EC486202}" name="Column15931"/>
    <tableColumn id="15938" xr3:uid="{544DA0F9-66CD-4CAF-8747-BEEBCE183CFD}" name="Column15932"/>
    <tableColumn id="15939" xr3:uid="{60CDE227-41E9-4350-83ED-EECC1D5B98B9}" name="Column15933"/>
    <tableColumn id="15940" xr3:uid="{3BBCB270-EBD1-47D0-B06A-8A66C3272A8A}" name="Column15934"/>
    <tableColumn id="15941" xr3:uid="{105FD71A-87CE-4962-A361-BB4364382F2C}" name="Column15935"/>
    <tableColumn id="15942" xr3:uid="{2FEC4D1E-93A0-4217-9E61-7647028903E0}" name="Column15936"/>
    <tableColumn id="15943" xr3:uid="{5EE51A76-73E3-4226-9208-2835D92CDEC8}" name="Column15937"/>
    <tableColumn id="15944" xr3:uid="{927C5145-2B4A-45E8-8D9C-8197AFBF3C0B}" name="Column15938"/>
    <tableColumn id="15945" xr3:uid="{71437A28-FE38-40B3-91F9-6F0E3A7B30E5}" name="Column15939"/>
    <tableColumn id="15946" xr3:uid="{05E5AB09-632D-4BB1-9754-F1CB62738294}" name="Column15940"/>
    <tableColumn id="15947" xr3:uid="{EE7A3E0A-68AA-43F6-8954-D42FCF4EF972}" name="Column15941"/>
    <tableColumn id="15948" xr3:uid="{E34AD12B-E1C8-4343-B622-727E4C3268D2}" name="Column15942"/>
    <tableColumn id="15949" xr3:uid="{FD12CEC8-445E-42CD-9E53-EAB163DF1CB2}" name="Column15943"/>
    <tableColumn id="15950" xr3:uid="{C825B13E-86BA-4B01-BFEA-32F22FE3BEF3}" name="Column15944"/>
    <tableColumn id="15951" xr3:uid="{4909B271-A5B9-437D-AEBF-43B70452884D}" name="Column15945"/>
    <tableColumn id="15952" xr3:uid="{1077B341-448D-45CC-AD4D-DE385222A5C5}" name="Column15946"/>
    <tableColumn id="15953" xr3:uid="{7A72324C-2177-47DB-80FD-B2622CBFC7A0}" name="Column15947"/>
    <tableColumn id="15954" xr3:uid="{3E5BE3F1-3005-4AC3-9EE2-6E178BCB469C}" name="Column15948"/>
    <tableColumn id="15955" xr3:uid="{4A7DE86F-050D-40CE-8A16-55A2AC5F95FE}" name="Column15949"/>
    <tableColumn id="15956" xr3:uid="{365FF2F1-52FA-49CC-8A53-5DBB5795AAC3}" name="Column15950"/>
    <tableColumn id="15957" xr3:uid="{2B294707-D53C-4584-A354-E5D0AA74C916}" name="Column15951"/>
    <tableColumn id="15958" xr3:uid="{85536FEE-6054-415D-B78B-F6F9A2696251}" name="Column15952"/>
    <tableColumn id="15959" xr3:uid="{0C6D53F9-5209-457F-BECB-78697EF35148}" name="Column15953"/>
    <tableColumn id="15960" xr3:uid="{49E69158-4591-443A-BE4D-A8EB05BDDD84}" name="Column15954"/>
    <tableColumn id="15961" xr3:uid="{543B372F-8FD5-4856-9CC9-4123816008A5}" name="Column15955"/>
    <tableColumn id="15962" xr3:uid="{22095EF1-CA51-46E1-92E4-91519175620B}" name="Column15956"/>
    <tableColumn id="15963" xr3:uid="{321E2D97-50CF-4891-A5A0-1B9A86D692D5}" name="Column15957"/>
    <tableColumn id="15964" xr3:uid="{55267D4F-B5C1-499D-8C86-73C4AB12D831}" name="Column15958"/>
    <tableColumn id="15965" xr3:uid="{0EC4BF9E-DBAF-426C-BE62-EB6EE14CAEFD}" name="Column15959"/>
    <tableColumn id="15966" xr3:uid="{EC1E1890-EECE-4EF5-A699-FC2726BDD9BF}" name="Column15960"/>
    <tableColumn id="15967" xr3:uid="{B314A008-E72F-47AC-A921-A0B8CD137000}" name="Column15961"/>
    <tableColumn id="15968" xr3:uid="{13F143AD-FA9C-417F-A9C6-87B1CB1540FA}" name="Column15962"/>
    <tableColumn id="15969" xr3:uid="{1A4B8667-9108-4D03-8533-576CD29F8924}" name="Column15963"/>
    <tableColumn id="15970" xr3:uid="{A7C3FDB6-7F17-4E55-9300-AA2F73F9FBE4}" name="Column15964"/>
    <tableColumn id="15971" xr3:uid="{B81A32E4-4941-44D1-9535-5DD5C0A903D1}" name="Column15965"/>
    <tableColumn id="15972" xr3:uid="{F0125A3E-DE00-42D0-8A53-CB1B24AA1FA9}" name="Column15966"/>
    <tableColumn id="15973" xr3:uid="{C7C98CD3-CE3C-4676-B86B-11278AFC9AEE}" name="Column15967"/>
    <tableColumn id="15974" xr3:uid="{E05D8F4C-C6F6-4882-B32A-137EF650712A}" name="Column15968"/>
    <tableColumn id="15975" xr3:uid="{AC712097-27C3-4865-B23B-D9422C95DB1A}" name="Column15969"/>
    <tableColumn id="15976" xr3:uid="{3B8A0510-6E23-4BD6-9F3C-004B53A6BE57}" name="Column15970"/>
    <tableColumn id="15977" xr3:uid="{DE4E9252-EB24-48D0-8E8E-19E236850D92}" name="Column15971"/>
    <tableColumn id="15978" xr3:uid="{4BB2503C-C7E7-405D-80A6-F3A3F8F08A8C}" name="Column15972"/>
    <tableColumn id="15979" xr3:uid="{1CCB8383-4340-4BCC-9AE8-8A06830EA4CC}" name="Column15973"/>
    <tableColumn id="15980" xr3:uid="{EDD27857-46BF-4E5E-A5FD-8B4F8365D3FA}" name="Column15974"/>
    <tableColumn id="15981" xr3:uid="{489D510A-AB64-4787-9123-76D793012D70}" name="Column15975"/>
    <tableColumn id="15982" xr3:uid="{DCB5948C-54CD-4833-974E-37B1B4B34DCE}" name="Column15976"/>
    <tableColumn id="15983" xr3:uid="{9CC71FB2-F4E2-4EF4-8805-07FB63030FDF}" name="Column15977"/>
    <tableColumn id="15984" xr3:uid="{F10D3E4E-6EF6-4791-9A70-760B6C87BDAD}" name="Column15978"/>
    <tableColumn id="15985" xr3:uid="{72E356E3-A7BA-4A84-91FF-B32AC564797F}" name="Column15979"/>
    <tableColumn id="15986" xr3:uid="{C54BC3DB-3B55-4EF9-B861-63CF9080A2F6}" name="Column15980"/>
    <tableColumn id="15987" xr3:uid="{2BB7038C-B961-49CF-A365-9A6267F4E8B8}" name="Column15981"/>
    <tableColumn id="15988" xr3:uid="{E346583A-1253-4657-8F1D-765A3C8AFE1F}" name="Column15982"/>
    <tableColumn id="15989" xr3:uid="{DAEE6FD9-89F3-4E83-A2E1-6C328F444FB0}" name="Column15983"/>
    <tableColumn id="15990" xr3:uid="{12F2C656-F4D8-4223-A3DD-DCE7000BA3A5}" name="Column15984"/>
    <tableColumn id="15991" xr3:uid="{672ED226-6B58-422D-896F-ED03ED762E83}" name="Column15985"/>
    <tableColumn id="15992" xr3:uid="{259FF072-0E7E-4799-AA38-CF44D28D3B47}" name="Column15986"/>
    <tableColumn id="15993" xr3:uid="{2C503E74-5D3E-4693-A252-CA88F16437AA}" name="Column15987"/>
    <tableColumn id="15994" xr3:uid="{142BE223-BA6B-4620-A22B-782E2523DEF3}" name="Column15988"/>
    <tableColumn id="15995" xr3:uid="{412F1E7A-5E0C-43E5-9520-1E14BBB62756}" name="Column15989"/>
    <tableColumn id="15996" xr3:uid="{14F02B98-01CA-4113-8E9B-4766492DD47F}" name="Column15990"/>
    <tableColumn id="15997" xr3:uid="{1D2BD1BE-0317-4089-AE5E-3C3B2FE615A8}" name="Column15991"/>
    <tableColumn id="15998" xr3:uid="{F91248F4-06CF-4E0E-BAEE-2F649E1F38D7}" name="Column15992"/>
    <tableColumn id="15999" xr3:uid="{3927F6AF-6B6C-4DDB-A8EB-32F601ED24C5}" name="Column15993"/>
    <tableColumn id="16000" xr3:uid="{16AC1252-2DBD-4739-9FD3-815B2DF511D4}" name="Column15994"/>
    <tableColumn id="16001" xr3:uid="{75C9C3D2-A836-4061-8CB8-F42CC7FCCD70}" name="Column15995"/>
    <tableColumn id="16002" xr3:uid="{45CAE59E-D7C2-4D2D-8AE4-460277BA8EFC}" name="Column15996"/>
    <tableColumn id="16003" xr3:uid="{9B9445CB-5655-4410-B29F-F5B3106B2C36}" name="Column15997"/>
    <tableColumn id="16004" xr3:uid="{9CE23844-8E4E-4212-B52B-B4C423342D93}" name="Column15998"/>
    <tableColumn id="16005" xr3:uid="{377E1021-3ACE-4F54-8B48-41EF5205FBED}" name="Column15999"/>
    <tableColumn id="16006" xr3:uid="{70B95E54-C32D-4106-A824-0E8FE57D05C2}" name="Column16000"/>
    <tableColumn id="16007" xr3:uid="{27B81509-1831-409F-A3CD-80AE7C2AAB9E}" name="Column16001"/>
    <tableColumn id="16008" xr3:uid="{2C08516F-4A49-41ED-8DD8-49228B58991A}" name="Column16002"/>
    <tableColumn id="16009" xr3:uid="{32C3102E-C2F5-4D5D-9EFE-17E3160FBD6B}" name="Column16003"/>
    <tableColumn id="16010" xr3:uid="{185185D3-592E-4C1D-AD37-47E74F21956B}" name="Column16004"/>
    <tableColumn id="16011" xr3:uid="{6DB91877-BFB5-4B14-B1C8-2B38C7540D34}" name="Column16005"/>
    <tableColumn id="16012" xr3:uid="{A456FB67-6D47-4782-8E5F-9545F6A5E606}" name="Column16006"/>
    <tableColumn id="16013" xr3:uid="{3CFB5D44-A428-468D-8357-F59845006F54}" name="Column16007"/>
    <tableColumn id="16014" xr3:uid="{6DBFDC40-E2F9-43D0-8D75-E038CFBEC054}" name="Column16008"/>
    <tableColumn id="16015" xr3:uid="{36AD8EC0-A417-43FE-A6B0-F886613FFE0A}" name="Column16009"/>
    <tableColumn id="16016" xr3:uid="{BB3C9FEC-9513-438C-B434-ABF57C8720F9}" name="Column16010"/>
    <tableColumn id="16017" xr3:uid="{803DD5A3-F0C5-487A-B86D-FBA66978F138}" name="Column16011"/>
    <tableColumn id="16018" xr3:uid="{9532F20D-D0AD-4B20-AFDD-79B438C27E11}" name="Column16012"/>
    <tableColumn id="16019" xr3:uid="{43B794F7-982C-47EC-B71F-789F04454AF3}" name="Column16013"/>
    <tableColumn id="16020" xr3:uid="{A2C69E90-8AB0-486B-93E5-795222A611E5}" name="Column16014"/>
    <tableColumn id="16021" xr3:uid="{E54C5E1D-F6BB-4047-A74D-5F2D06EE0C58}" name="Column16015"/>
    <tableColumn id="16022" xr3:uid="{47141EE2-457A-4D30-88B2-E6A5BE3C94A2}" name="Column16016"/>
    <tableColumn id="16023" xr3:uid="{E14EF8A5-4938-4F37-A80D-4E53E67A4C82}" name="Column16017"/>
    <tableColumn id="16024" xr3:uid="{67A39070-C9DB-460D-96E4-C349D8F6A7B7}" name="Column16018"/>
    <tableColumn id="16025" xr3:uid="{0FB51898-FF41-4822-B575-A1332CD52757}" name="Column16019"/>
    <tableColumn id="16026" xr3:uid="{F2CB9E3B-2FC7-4C31-AF84-E311D0C41F4B}" name="Column16020"/>
    <tableColumn id="16027" xr3:uid="{1F15A09C-FBF1-4FAA-9DE7-066F9DD0A278}" name="Column16021"/>
    <tableColumn id="16028" xr3:uid="{503CC775-D6C3-49F2-B039-19FC2351D79B}" name="Column16022"/>
    <tableColumn id="16029" xr3:uid="{88F419AD-F4AF-4EAF-AB32-CFD6A7FEE578}" name="Column16023"/>
    <tableColumn id="16030" xr3:uid="{FFB0B0DE-ECC6-464A-8D9D-1BB8F7D195B6}" name="Column16024"/>
    <tableColumn id="16031" xr3:uid="{BDD82827-5B80-4EE5-BAE7-38D6599234FE}" name="Column16025"/>
    <tableColumn id="16032" xr3:uid="{31E0225D-9A3F-486D-9383-E722770920B3}" name="Column16026"/>
    <tableColumn id="16033" xr3:uid="{28A78B16-7F82-416F-B262-334B6C32040F}" name="Column16027"/>
    <tableColumn id="16034" xr3:uid="{FF22F9BB-06DE-4F6B-9DE3-C7F8F471A72B}" name="Column16028"/>
    <tableColumn id="16035" xr3:uid="{1EC7F4F2-2D2F-4994-862D-38FA2D023C0A}" name="Column16029"/>
    <tableColumn id="16036" xr3:uid="{1BAEE0AA-7FC5-465D-959C-25C7FD02511E}" name="Column16030"/>
    <tableColumn id="16037" xr3:uid="{414A760B-F2A0-4CBF-849D-4D689A6C87B7}" name="Column16031"/>
    <tableColumn id="16038" xr3:uid="{9A3564A5-3C59-46E3-8A67-236040613195}" name="Column16032"/>
    <tableColumn id="16039" xr3:uid="{6B0C46A9-13D4-4740-A82D-82D4B38855D2}" name="Column16033"/>
    <tableColumn id="16040" xr3:uid="{7AA5BFE9-7067-4AE6-B1AD-19EB42EF0CDA}" name="Column16034"/>
    <tableColumn id="16041" xr3:uid="{C81BC88F-5041-46EC-A3BF-7EC1D9FC22D2}" name="Column16035"/>
    <tableColumn id="16042" xr3:uid="{B92DE1B7-8421-41A0-8790-7D9787271747}" name="Column16036"/>
    <tableColumn id="16043" xr3:uid="{CB8B8804-61FA-4C1D-9B55-AE25E428294E}" name="Column16037"/>
    <tableColumn id="16044" xr3:uid="{7571BF92-1BFC-4776-A196-E2E97CE9003E}" name="Column16038"/>
    <tableColumn id="16045" xr3:uid="{0E1AF48A-7F96-46AA-B1DA-D9F32D87AF45}" name="Column16039"/>
    <tableColumn id="16046" xr3:uid="{166A5B58-96CD-4A10-8FED-E3C63B3FA8AA}" name="Column16040"/>
    <tableColumn id="16047" xr3:uid="{CD4E0D82-3C0B-4DA8-A12A-C8CEE99DB9C1}" name="Column16041"/>
    <tableColumn id="16048" xr3:uid="{778A70B2-0FB5-48E6-A6A3-41F1ED6AEEBF}" name="Column16042"/>
    <tableColumn id="16049" xr3:uid="{5F58CA73-4ADA-46CC-BA64-9C66BBE3B0DB}" name="Column16043"/>
    <tableColumn id="16050" xr3:uid="{BE9C1F55-5F21-4F46-A41E-CC1A0F6C038B}" name="Column16044"/>
    <tableColumn id="16051" xr3:uid="{A7EF3836-F459-4D6A-A7FF-163E909116A9}" name="Column16045"/>
    <tableColumn id="16052" xr3:uid="{FCABDD6A-31BA-4939-B363-CAA788B8ABD8}" name="Column16046"/>
    <tableColumn id="16053" xr3:uid="{D3F2DBF4-8FE1-439E-9518-696088C80C2F}" name="Column16047"/>
    <tableColumn id="16054" xr3:uid="{2E7B847C-4B3E-4C83-988C-D0ABFA8DDF72}" name="Column16048"/>
    <tableColumn id="16055" xr3:uid="{49B9F3C4-A11F-499B-9AB1-4DEB6EA89C32}" name="Column16049"/>
    <tableColumn id="16056" xr3:uid="{CB7A937B-495F-4669-9F12-CC5D12620EE4}" name="Column16050"/>
    <tableColumn id="16057" xr3:uid="{A6FC3FD3-9233-4249-BF45-F9E73A2256A7}" name="Column16051"/>
    <tableColumn id="16058" xr3:uid="{A6FED529-D4CD-4BEB-AFA0-21C319710D16}" name="Column16052"/>
    <tableColumn id="16059" xr3:uid="{BD7A4EEE-3A44-414C-ABD5-FCC8C4354532}" name="Column16053"/>
    <tableColumn id="16060" xr3:uid="{FF6B24EA-5B0A-493A-8E83-C48386AB9C50}" name="Column16054"/>
    <tableColumn id="16061" xr3:uid="{60C6530F-F3D1-4AF7-95D3-10F12C8E5039}" name="Column16055"/>
    <tableColumn id="16062" xr3:uid="{547D666A-29D2-425F-828F-E4E6B321B2B4}" name="Column16056"/>
    <tableColumn id="16063" xr3:uid="{DC585C22-8F17-4092-A9FE-83F6F00FCC22}" name="Column16057"/>
    <tableColumn id="16064" xr3:uid="{54E79816-E940-4E85-B3AB-9D6914A54C12}" name="Column16058"/>
    <tableColumn id="16065" xr3:uid="{9A36E2A9-FB2E-4486-88CA-7AD79A6FB4E1}" name="Column16059"/>
    <tableColumn id="16066" xr3:uid="{D4F652F6-950B-4338-90EB-8D658836DCD0}" name="Column16060"/>
    <tableColumn id="16067" xr3:uid="{38309FD1-CFB6-4E8A-8E3B-3574C6BB9463}" name="Column16061"/>
    <tableColumn id="16068" xr3:uid="{DDD70A91-0709-4246-8209-FBF3FD748944}" name="Column16062"/>
    <tableColumn id="16069" xr3:uid="{EAE48031-B4CC-44A2-A78F-A1E26EDE5D1A}" name="Column16063"/>
    <tableColumn id="16070" xr3:uid="{7F604CED-41BE-4B6C-B30A-B93BA86633EB}" name="Column16064"/>
    <tableColumn id="16071" xr3:uid="{73DD2B8F-486A-4AFB-AEE2-CB6CBEF28420}" name="Column16065"/>
    <tableColumn id="16072" xr3:uid="{E9185A03-5BE7-4A0C-BBFF-A7B1DD00A9D2}" name="Column16066"/>
    <tableColumn id="16073" xr3:uid="{47581251-CF66-4E81-B4F8-8B487C75FAD0}" name="Column16067"/>
    <tableColumn id="16074" xr3:uid="{A8E74AE2-F311-4241-AED9-4CE8ECC4DC85}" name="Column16068"/>
    <tableColumn id="16075" xr3:uid="{CC2582D1-7397-4449-908F-9DE31C9D184B}" name="Column16069"/>
    <tableColumn id="16076" xr3:uid="{E71FE540-DEBA-4563-91BD-F4C64FE272D3}" name="Column16070"/>
    <tableColumn id="16077" xr3:uid="{D5E7E717-73F1-4F5F-9117-EFFF75EEE650}" name="Column16071"/>
    <tableColumn id="16078" xr3:uid="{F16C9499-7C70-4236-B18B-9FABBFC98A5C}" name="Column16072"/>
    <tableColumn id="16079" xr3:uid="{E6008501-6245-4AC5-BD33-944E3CA9E7F1}" name="Column16073"/>
    <tableColumn id="16080" xr3:uid="{07B4BA2E-781E-440D-A908-7AED40486499}" name="Column16074"/>
    <tableColumn id="16081" xr3:uid="{605A8551-21AB-4EBB-BFEB-020753CFF148}" name="Column16075"/>
    <tableColumn id="16082" xr3:uid="{FCCC6B0D-A3C7-4786-8E6C-7A74DE64A3E9}" name="Column16076"/>
    <tableColumn id="16083" xr3:uid="{8F869982-BDA2-476F-BD9B-1E028DCC5010}" name="Column16077"/>
    <tableColumn id="16084" xr3:uid="{CF457EA5-1C1A-477D-A2C7-06D694BA6C30}" name="Column16078"/>
    <tableColumn id="16085" xr3:uid="{1371BDA0-67EE-4FC8-9879-591D18326568}" name="Column16079"/>
    <tableColumn id="16086" xr3:uid="{437EA889-FBC3-410F-B606-6A0CE9C07F19}" name="Column16080"/>
    <tableColumn id="16087" xr3:uid="{02A38FE7-E9E3-4AEE-B4E0-8F320A0F9E85}" name="Column16081"/>
    <tableColumn id="16088" xr3:uid="{5320F666-A6D7-4E0F-8C6F-DD1F0F139EEB}" name="Column16082"/>
    <tableColumn id="16089" xr3:uid="{5BBCD438-E0C4-4543-A4EB-FE3F19F9C82A}" name="Column16083"/>
    <tableColumn id="16090" xr3:uid="{33DF178D-DC34-43CE-9267-851747D293F6}" name="Column16084"/>
    <tableColumn id="16091" xr3:uid="{EB25D2D6-451B-4416-B55B-7653AD61F3D4}" name="Column16085"/>
    <tableColumn id="16092" xr3:uid="{48A4C4F6-5035-4EF1-8289-53AF59D1AFF1}" name="Column16086"/>
    <tableColumn id="16093" xr3:uid="{D9BB94FA-58A5-4E31-A33A-868DD725C91E}" name="Column16087"/>
    <tableColumn id="16094" xr3:uid="{4E96BE66-BF90-45E3-9532-FAD13F6F6EF7}" name="Column16088"/>
    <tableColumn id="16095" xr3:uid="{7BC9C77A-1964-4CCD-97B4-B523E0A8BA91}" name="Column16089"/>
    <tableColumn id="16096" xr3:uid="{38218CB4-89D9-4D80-9A27-A72729735BDE}" name="Column16090"/>
    <tableColumn id="16097" xr3:uid="{95D35A4C-DE0E-452D-B3B6-5492AF98C021}" name="Column16091"/>
    <tableColumn id="16098" xr3:uid="{93495D0B-90EC-4C8F-9D98-22BBF0E56338}" name="Column16092"/>
    <tableColumn id="16099" xr3:uid="{6B6472F6-DA79-4D69-AC37-D4ABEF109150}" name="Column16093"/>
    <tableColumn id="16100" xr3:uid="{868EA8BE-CA2A-49BC-ABD5-3494CE249987}" name="Column16094"/>
    <tableColumn id="16101" xr3:uid="{A0FD19BE-E3F7-4E90-B507-7B26B2908B5E}" name="Column16095"/>
    <tableColumn id="16102" xr3:uid="{8E20C27C-4CFC-44E5-A386-02D198AFD807}" name="Column16096"/>
    <tableColumn id="16103" xr3:uid="{A8E2231C-AF79-4FC8-AF67-D49187363855}" name="Column16097"/>
    <tableColumn id="16104" xr3:uid="{3268493F-92A3-40AC-8331-6080E80262A5}" name="Column16098"/>
    <tableColumn id="16105" xr3:uid="{86833C52-99A1-4152-A424-6C76DAA7DFC7}" name="Column16099"/>
    <tableColumn id="16106" xr3:uid="{7A335C63-7DA3-48E6-AEB6-163599874010}" name="Column16100"/>
    <tableColumn id="16107" xr3:uid="{ECD4035F-C91E-4CDF-A44F-54520809C9C0}" name="Column16101"/>
    <tableColumn id="16108" xr3:uid="{A60E7955-87F4-4638-9442-6ACD748B4D7E}" name="Column16102"/>
    <tableColumn id="16109" xr3:uid="{05A90D96-8581-48C4-8F1A-79F5EDD80776}" name="Column16103"/>
    <tableColumn id="16110" xr3:uid="{F092D826-C526-41AE-B55C-539C3F54A0F3}" name="Column16104"/>
    <tableColumn id="16111" xr3:uid="{5E1E0591-23D3-486B-95AD-509E615F4309}" name="Column16105"/>
    <tableColumn id="16112" xr3:uid="{AD14B83E-FA26-44E6-A5C4-665D5BE1008A}" name="Column16106"/>
    <tableColumn id="16113" xr3:uid="{54F1CD41-26F5-49F8-8643-16BC40C3B555}" name="Column16107"/>
    <tableColumn id="16114" xr3:uid="{408C5AD2-560D-4E5A-BF4D-DC20CA921646}" name="Column16108"/>
    <tableColumn id="16115" xr3:uid="{A339A8A6-493E-4183-81B9-C8A114B21880}" name="Column16109"/>
    <tableColumn id="16116" xr3:uid="{8C003080-3780-4488-A4A7-67E737AEE358}" name="Column16110"/>
    <tableColumn id="16117" xr3:uid="{B5563754-ECE9-48CD-A198-CFCEDC72E1E5}" name="Column16111"/>
    <tableColumn id="16118" xr3:uid="{0655794A-8166-4EF2-897E-EFC10385E547}" name="Column16112"/>
    <tableColumn id="16119" xr3:uid="{75848891-4B7A-4C49-9EA7-355AE014A870}" name="Column16113"/>
    <tableColumn id="16120" xr3:uid="{D39D7560-EC7D-4BB5-AFBA-CC36F86DB5A7}" name="Column16114"/>
    <tableColumn id="16121" xr3:uid="{DDB8FC53-AC63-4C7A-B116-6C81745B667F}" name="Column16115"/>
    <tableColumn id="16122" xr3:uid="{83962E3C-DB7E-4F2E-B480-7E31289D95CF}" name="Column16116"/>
    <tableColumn id="16123" xr3:uid="{55CED44D-C9F5-4AEF-B4E1-B69D83481DC3}" name="Column16117"/>
    <tableColumn id="16124" xr3:uid="{7382B725-4275-4712-91D5-6A2C86482978}" name="Column16118"/>
    <tableColumn id="16125" xr3:uid="{03742009-8C79-4735-ABEA-B8E0B1F674E5}" name="Column16119"/>
    <tableColumn id="16126" xr3:uid="{81D6E296-CDCA-4381-B851-F8CBEBB66345}" name="Column16120"/>
    <tableColumn id="16127" xr3:uid="{CE9E3369-B162-4986-8D59-D16BD716E2B3}" name="Column16121"/>
    <tableColumn id="16128" xr3:uid="{42611090-0675-47D5-9EF1-3D18D41D584E}" name="Column16122"/>
    <tableColumn id="16129" xr3:uid="{2FF04D0B-EC5B-4564-9205-94F399DF8404}" name="Column16123"/>
    <tableColumn id="16130" xr3:uid="{75F239AE-38BB-4A0F-9BB3-38A6D14779CF}" name="Column16124"/>
    <tableColumn id="16131" xr3:uid="{0AA10D27-12A5-43D7-B67E-E0BF79F61222}" name="Column16125"/>
    <tableColumn id="16132" xr3:uid="{1C7A2FBE-8E53-49D3-80AF-7DA13B356B2B}" name="Column16126"/>
    <tableColumn id="16133" xr3:uid="{5DFD2D03-AAE8-4E82-B33D-7D6835795F2C}" name="Column16127"/>
    <tableColumn id="16134" xr3:uid="{5BBE3C8E-6192-45F4-A1CB-06DB81303033}" name="Column16128"/>
    <tableColumn id="16135" xr3:uid="{EB873001-B748-488A-A6B6-1A1C13C30777}" name="Column16129"/>
    <tableColumn id="16136" xr3:uid="{FA1DFEDE-1505-4988-A79D-11E2968944A0}" name="Column16130"/>
    <tableColumn id="16137" xr3:uid="{4A9FFF3E-3A0C-4E89-AAC5-ABC4FC78B721}" name="Column16131"/>
    <tableColumn id="16138" xr3:uid="{EA8DA8F3-0E56-42A7-B903-C1C09F1CC0D3}" name="Column16132"/>
    <tableColumn id="16139" xr3:uid="{0D5470FF-1A98-4932-A2FF-BF491F9162D1}" name="Column16133"/>
    <tableColumn id="16140" xr3:uid="{749840C6-71FF-46A8-B39C-8014C463F48B}" name="Column16134"/>
    <tableColumn id="16141" xr3:uid="{BE2DD172-192C-4553-A34F-04930D7DBAE6}" name="Column16135"/>
    <tableColumn id="16142" xr3:uid="{8D5BD816-8FAF-4534-B116-024CCF058038}" name="Column16136"/>
    <tableColumn id="16143" xr3:uid="{348F5F60-2E94-41D5-A6CD-1F803E93C193}" name="Column16137"/>
    <tableColumn id="16144" xr3:uid="{7E4CEEA9-2C11-404E-A6EC-DC50C626FE87}" name="Column16138"/>
    <tableColumn id="16145" xr3:uid="{17CFB738-B8BF-4498-8217-68A2CFC615B8}" name="Column16139"/>
    <tableColumn id="16146" xr3:uid="{ABF908E5-EC28-46B1-9CA8-E4B0CEA92968}" name="Column16140"/>
    <tableColumn id="16147" xr3:uid="{CDD4CE82-8C2E-40E0-81E4-A339D28CB876}" name="Column16141"/>
    <tableColumn id="16148" xr3:uid="{7A53AEEB-4E60-4179-9032-DC43A44F636E}" name="Column16142"/>
    <tableColumn id="16149" xr3:uid="{4F057E49-9B72-4844-9C1F-71EA601D149B}" name="Column16143"/>
    <tableColumn id="16150" xr3:uid="{3360EF75-3E00-4B6F-8B44-BBD49461281E}" name="Column16144"/>
    <tableColumn id="16151" xr3:uid="{43434EAF-A555-4D44-A4D0-3948D1B30A6B}" name="Column16145"/>
    <tableColumn id="16152" xr3:uid="{F7371203-57DB-4FE9-9003-E3F810530C05}" name="Column16146"/>
    <tableColumn id="16153" xr3:uid="{6D0FBF05-BF0B-4CF8-AF9A-C4744EB4CD52}" name="Column16147"/>
    <tableColumn id="16154" xr3:uid="{7ECDA278-A772-43F4-A65B-18140684B84D}" name="Column16148"/>
    <tableColumn id="16155" xr3:uid="{1C915490-7E34-473B-ABF8-FA1A37E80569}" name="Column16149"/>
    <tableColumn id="16156" xr3:uid="{6AF1AF72-DB00-45B0-87DF-01DDA9A25231}" name="Column16150"/>
    <tableColumn id="16157" xr3:uid="{F041CBB6-8400-45E2-B10D-F56CF5EB05E6}" name="Column16151"/>
    <tableColumn id="16158" xr3:uid="{00C0D9EE-05D5-448F-942A-6CDC43E8B8FB}" name="Column16152"/>
    <tableColumn id="16159" xr3:uid="{77A8C85C-D21B-46B9-8D95-6925901092B1}" name="Column16153"/>
    <tableColumn id="16160" xr3:uid="{FB4B2A5E-7753-4C01-9178-3BCFA3131508}" name="Column16154"/>
    <tableColumn id="16161" xr3:uid="{9B2ED5DD-184F-42C0-9D45-3F2F9DFD598B}" name="Column16155"/>
    <tableColumn id="16162" xr3:uid="{49AE4C63-BF2F-497D-B366-51D2A060D56C}" name="Column16156"/>
    <tableColumn id="16163" xr3:uid="{7639EF88-CB67-453B-9B51-C9711ECBF766}" name="Column16157"/>
    <tableColumn id="16164" xr3:uid="{4CA752A9-E38E-4850-B572-FA8E5987A2AA}" name="Column16158"/>
    <tableColumn id="16165" xr3:uid="{08B09ED3-9DBA-4C7E-9E22-C62A993D1AA1}" name="Column16159"/>
    <tableColumn id="16166" xr3:uid="{90593675-2C61-4593-89CD-33F78457859F}" name="Column16160"/>
    <tableColumn id="16167" xr3:uid="{B6744184-2856-4355-9D53-5FD33E3347E3}" name="Column16161"/>
    <tableColumn id="16168" xr3:uid="{2FAC1940-B66F-47BB-85D9-35399F7E56BF}" name="Column16162"/>
    <tableColumn id="16169" xr3:uid="{2BB92F4B-C482-4CF0-B968-03073E5DACCD}" name="Column16163"/>
    <tableColumn id="16170" xr3:uid="{E1AB3110-92B8-4BA4-8CC6-064A67A95900}" name="Column16164"/>
    <tableColumn id="16171" xr3:uid="{BD81FCA4-A99E-44C4-88FE-C6B3C004BD66}" name="Column16165"/>
    <tableColumn id="16172" xr3:uid="{0B67B97A-F776-42A7-B215-4367A7B66492}" name="Column16166"/>
    <tableColumn id="16173" xr3:uid="{C21577A3-A0E5-4FD0-9D55-74BB78DCB297}" name="Column16167"/>
    <tableColumn id="16174" xr3:uid="{E70AA704-7308-459F-B4D6-C6EB43EDD79D}" name="Column16168"/>
    <tableColumn id="16175" xr3:uid="{107F2CF8-EFF7-4B73-97E7-B92101341E5D}" name="Column16169"/>
    <tableColumn id="16176" xr3:uid="{4976D13F-B69A-4976-9BB5-3AAF360A1169}" name="Column16170"/>
    <tableColumn id="16177" xr3:uid="{33D6F168-CB3B-4CB8-B6CE-CAA891F3145A}" name="Column16171"/>
    <tableColumn id="16178" xr3:uid="{4FE375EA-8FD2-4099-9DC5-4D24BFA2CC32}" name="Column16172"/>
    <tableColumn id="16179" xr3:uid="{6C29D092-523C-4B85-B367-878A4279DA3A}" name="Column16173"/>
    <tableColumn id="16180" xr3:uid="{54B77846-9C2D-453B-81EF-DAEF3D6D4043}" name="Column16174"/>
    <tableColumn id="16181" xr3:uid="{B714B268-A012-4F5D-8DA9-D734E97B7334}" name="Column16175"/>
    <tableColumn id="16182" xr3:uid="{715BFFCE-6EA6-4AE2-92A8-36222EFDE069}" name="Column16176"/>
    <tableColumn id="16183" xr3:uid="{0DF7C2F1-4DBD-403E-99AE-5A20FB050BE6}" name="Column16177"/>
    <tableColumn id="16184" xr3:uid="{5125B022-07E7-4258-BA86-9E46AAAD6DCF}" name="Column16178"/>
    <tableColumn id="16185" xr3:uid="{9DB4D3D4-1E01-417C-ADC7-1A5B2F1FCC1D}" name="Column16179"/>
    <tableColumn id="16186" xr3:uid="{CF2EE4D3-D80B-4B07-B051-342799084C7F}" name="Column16180"/>
    <tableColumn id="16187" xr3:uid="{78DB438E-AD8B-42F5-B429-064EFB29B3E6}" name="Column16181"/>
    <tableColumn id="16188" xr3:uid="{A97DFD68-87E5-40AE-9F56-3C3CE4DC94FD}" name="Column16182"/>
    <tableColumn id="16189" xr3:uid="{5356D2BD-ADA1-4AA8-8ACA-C3AD4A8842D6}" name="Column16183"/>
    <tableColumn id="16190" xr3:uid="{FB29A781-E9CA-4F12-919E-D34A806C09C9}" name="Column16184"/>
    <tableColumn id="16191" xr3:uid="{B3C00911-0967-4EFD-BA02-A0DD87CEFE40}" name="Column16185"/>
    <tableColumn id="16192" xr3:uid="{700C93C2-C401-44D2-9A89-047023E749C5}" name="Column16186"/>
    <tableColumn id="16193" xr3:uid="{DE28F3E4-137C-4328-9290-D7A71F4D92A1}" name="Column16187"/>
    <tableColumn id="16194" xr3:uid="{0FB727AD-3B16-437B-BCB0-B6DF45A6C6F3}" name="Column16188"/>
    <tableColumn id="16195" xr3:uid="{A8472DA9-C662-4352-8F21-EF5A24B21DF5}" name="Column16189"/>
    <tableColumn id="16196" xr3:uid="{561FFEE7-139B-4D81-AB4B-E6E2CD2868B4}" name="Column16190"/>
    <tableColumn id="16197" xr3:uid="{E22E893F-3CD0-4D1D-BA00-40B7F9B1FF4E}" name="Column16191"/>
    <tableColumn id="16198" xr3:uid="{FAB56F66-D6A2-46B2-858A-4D02666B9F35}" name="Column16192"/>
    <tableColumn id="16199" xr3:uid="{948AEBAD-D9EC-419E-BACD-AE8388557C43}" name="Column16193"/>
    <tableColumn id="16200" xr3:uid="{C3E7FEBD-8CD8-4E63-A857-B3FDC86BC5B2}" name="Column16194"/>
    <tableColumn id="16201" xr3:uid="{60B7AAEE-DC0C-4A49-A19E-37CD83119F07}" name="Column16195"/>
    <tableColumn id="16202" xr3:uid="{24CB7993-5EC4-4183-8B9A-EED55704B117}" name="Column16196"/>
    <tableColumn id="16203" xr3:uid="{54B32ABE-A0E0-48B3-902C-E8579EB9070E}" name="Column16197"/>
    <tableColumn id="16204" xr3:uid="{6A4BDE5D-D2F7-4C28-ACE5-96906DD2B62C}" name="Column16198"/>
    <tableColumn id="16205" xr3:uid="{6A6D303F-AEB3-498F-BA18-EE786C8F5B55}" name="Column16199"/>
    <tableColumn id="16206" xr3:uid="{05F1B91B-0BF8-4A1E-92FA-83A9E43E3CFB}" name="Column16200"/>
    <tableColumn id="16207" xr3:uid="{E385A5FB-B152-40AA-B077-E4FCC0BEE52B}" name="Column16201"/>
    <tableColumn id="16208" xr3:uid="{C2D7F65A-67AE-437D-AFD3-D1F36A1B4F0B}" name="Column16202"/>
    <tableColumn id="16209" xr3:uid="{5A943B42-06A1-4E55-8254-65DC93BEC566}" name="Column16203"/>
    <tableColumn id="16210" xr3:uid="{A32B2E90-7B5F-4072-94B8-EF31EF09DD7A}" name="Column16204"/>
    <tableColumn id="16211" xr3:uid="{88FB25A9-45CF-4DFB-B3DC-E0AAD4C4CB13}" name="Column16205"/>
    <tableColumn id="16212" xr3:uid="{7461A0BD-5C75-4BE1-BCF2-F9123490811B}" name="Column16206"/>
    <tableColumn id="16213" xr3:uid="{BEE03426-E5AC-490F-96BE-B24611622E76}" name="Column16207"/>
    <tableColumn id="16214" xr3:uid="{1955BEA6-88FD-4E2F-AA33-7A194ED0F138}" name="Column16208"/>
    <tableColumn id="16215" xr3:uid="{FC54FEB9-066A-42F9-8741-730B53FC136C}" name="Column16209"/>
    <tableColumn id="16216" xr3:uid="{CEC151C5-68DA-4331-88D1-C1D9638A172D}" name="Column16210"/>
    <tableColumn id="16217" xr3:uid="{903EA27E-A629-4097-908E-7CB719F04BD4}" name="Column16211"/>
    <tableColumn id="16218" xr3:uid="{48646666-F8E2-477A-B539-8D904005C3C1}" name="Column16212"/>
    <tableColumn id="16219" xr3:uid="{C155A5F0-98E2-457C-9AD3-EAF8042B86AD}" name="Column16213"/>
    <tableColumn id="16220" xr3:uid="{CDBE25F6-0620-4DF3-8BD4-7CBD480C1EF8}" name="Column16214"/>
    <tableColumn id="16221" xr3:uid="{4D1EB603-BB73-46A3-A2C6-75A011863D93}" name="Column16215"/>
    <tableColumn id="16222" xr3:uid="{F6F46C95-2BA7-4403-BADB-37A877285C2E}" name="Column16216"/>
    <tableColumn id="16223" xr3:uid="{A73F4327-14BF-418A-8A05-2DAFA7B8E1D5}" name="Column16217"/>
    <tableColumn id="16224" xr3:uid="{38221BA7-7C9A-439B-8BC1-70A7B371E23A}" name="Column16218"/>
    <tableColumn id="16225" xr3:uid="{8896206C-D7DF-4E71-AB13-E9D4D916B36A}" name="Column16219"/>
    <tableColumn id="16226" xr3:uid="{AC3C7309-B0D6-44E8-8B64-0471D0FF379C}" name="Column16220"/>
    <tableColumn id="16227" xr3:uid="{C4ED6D52-D326-4E10-9CA2-252B95EA87C0}" name="Column16221"/>
    <tableColumn id="16228" xr3:uid="{A216384B-61FA-43D3-8EDD-16514625F8A7}" name="Column16222"/>
    <tableColumn id="16229" xr3:uid="{5DB102DD-0268-4EBA-AB76-9D2F442043B5}" name="Column16223"/>
    <tableColumn id="16230" xr3:uid="{2A5945A4-DED8-4C5C-9FAC-57AEA5090516}" name="Column16224"/>
    <tableColumn id="16231" xr3:uid="{40483ED1-3B03-4AED-9CF8-81C7219D6DD7}" name="Column16225"/>
    <tableColumn id="16232" xr3:uid="{7A215A3D-7FCF-4849-BF2A-64E35C37F705}" name="Column16226"/>
    <tableColumn id="16233" xr3:uid="{F3DC584E-78C6-4E4E-AF40-A7483ECEF903}" name="Column16227"/>
    <tableColumn id="16234" xr3:uid="{1D1D8FA2-17B2-4A0E-9ADC-BBB4AEDAFF69}" name="Column16228"/>
    <tableColumn id="16235" xr3:uid="{89237DFC-1302-4988-9F1B-D26FDBC1DB6D}" name="Column16229"/>
    <tableColumn id="16236" xr3:uid="{464828A7-EDD4-47FD-BBF9-83ACFB522B5C}" name="Column16230"/>
    <tableColumn id="16237" xr3:uid="{E501F4A8-27A1-40E1-AD8B-5D2F754529C1}" name="Column16231"/>
    <tableColumn id="16238" xr3:uid="{AD877971-F7E9-4B49-9830-F6E856C2DD15}" name="Column16232"/>
    <tableColumn id="16239" xr3:uid="{FB01C0FA-2D92-421C-AB11-8AFF0AE098B0}" name="Column16233"/>
    <tableColumn id="16240" xr3:uid="{C40A5120-648C-4D3B-9921-38D505FBAE33}" name="Column16234"/>
    <tableColumn id="16241" xr3:uid="{3B110A1F-2691-4936-999F-7A4ED79EF437}" name="Column16235"/>
    <tableColumn id="16242" xr3:uid="{DB81B69B-276F-4DD8-ADA5-4E98A13E20DC}" name="Column16236"/>
    <tableColumn id="16243" xr3:uid="{8BCD0B6A-01B4-41CD-88B0-D63F5D9F1441}" name="Column16237"/>
    <tableColumn id="16244" xr3:uid="{95E46A01-4DC1-4AA6-BD91-5D2A787D5B9A}" name="Column16238"/>
    <tableColumn id="16245" xr3:uid="{7B785551-848E-4554-A069-2EC6C8AE3E15}" name="Column16239"/>
    <tableColumn id="16246" xr3:uid="{0207F7A6-8A58-4A72-BA37-F9F4466D56AA}" name="Column16240"/>
    <tableColumn id="16247" xr3:uid="{B0030386-DFEE-489F-9773-0AC4EA1A2DE9}" name="Column16241"/>
    <tableColumn id="16248" xr3:uid="{F0EC6E5E-43FC-4C12-90BF-36F53819ED3B}" name="Column16242"/>
    <tableColumn id="16249" xr3:uid="{8EAB4E99-D1C3-4422-B5E1-3BB975F23049}" name="Column16243"/>
    <tableColumn id="16250" xr3:uid="{8025C693-E98E-4808-94EE-8857A3661C05}" name="Column16244"/>
    <tableColumn id="16251" xr3:uid="{7EC1B8AC-43A3-4282-896D-8F39C1843EDA}" name="Column16245"/>
    <tableColumn id="16252" xr3:uid="{E392B5E4-E7B9-4F09-959C-0982AC972C8C}" name="Column16246"/>
    <tableColumn id="16253" xr3:uid="{AA214E59-7AAD-4C81-A695-5C50ABAA5232}" name="Column16247"/>
    <tableColumn id="16254" xr3:uid="{AA563F4B-8038-478F-BFE4-A38330F7B7D7}" name="Column16248"/>
    <tableColumn id="16255" xr3:uid="{7AC35A6A-3753-4905-94E4-FE54975AA165}" name="Column16249"/>
    <tableColumn id="16256" xr3:uid="{29130F57-49A4-4026-9261-42F10940D1A6}" name="Column16250"/>
    <tableColumn id="16257" xr3:uid="{E18AA0A6-96BB-4462-B622-035B753688FC}" name="Column16251"/>
    <tableColumn id="16258" xr3:uid="{3DCCCC80-11A3-4CE1-A8EC-8BE31498D514}" name="Column16252"/>
    <tableColumn id="16259" xr3:uid="{B6B9EC9F-E920-4E7C-B307-F5B3D75237DF}" name="Column16253"/>
    <tableColumn id="16260" xr3:uid="{49C01DCB-F2EC-4FC0-BAF9-989E44DE6C66}" name="Column16254"/>
    <tableColumn id="16261" xr3:uid="{E705780F-B0E7-4BDB-B123-2B98C8815484}" name="Column16255"/>
    <tableColumn id="16262" xr3:uid="{9F7DCA9C-C3A3-4086-9AA7-15111C0D02BB}" name="Column16256"/>
    <tableColumn id="16263" xr3:uid="{AE59F271-FFED-46BE-824B-60E22E791EDD}" name="Column16257"/>
    <tableColumn id="16264" xr3:uid="{90761223-B1F6-4B98-9062-E27C16710446}" name="Column16258"/>
    <tableColumn id="16265" xr3:uid="{16B4128C-22C1-485B-9E36-8F4CDC6FCEEE}" name="Column16259"/>
    <tableColumn id="16266" xr3:uid="{AA62BCE1-ED54-4DF8-A7E9-7F3AB73D916C}" name="Column16260"/>
    <tableColumn id="16267" xr3:uid="{D4977CCF-E7AE-4DFB-8703-812258252775}" name="Column16261"/>
    <tableColumn id="16268" xr3:uid="{585494AF-53BC-44A5-B165-6C964EFA3903}" name="Column16262"/>
    <tableColumn id="16269" xr3:uid="{36830A67-6636-4B5A-8DED-2F025868859A}" name="Column16263"/>
    <tableColumn id="16270" xr3:uid="{BBAE27DC-1562-4ED8-BF54-078E5C25EDAE}" name="Column16264"/>
    <tableColumn id="16271" xr3:uid="{CE87AE23-AD33-4743-8E5D-52BF516D4F55}" name="Column16265"/>
    <tableColumn id="16272" xr3:uid="{32759673-8C17-493B-9E59-98D91C87F322}" name="Column16266"/>
    <tableColumn id="16273" xr3:uid="{A067D14C-68CD-4CDC-8001-8EB2DC287759}" name="Column16267"/>
    <tableColumn id="16274" xr3:uid="{612ABA58-2637-4089-9A2A-D771C6CA6928}" name="Column16268"/>
    <tableColumn id="16275" xr3:uid="{D91C38E9-4066-4442-9AA0-8E1BDC76AD98}" name="Column16269"/>
    <tableColumn id="16276" xr3:uid="{02E91135-7CB6-489B-B4A2-EF2FDC7986F5}" name="Column16270"/>
    <tableColumn id="16277" xr3:uid="{01ED1576-C3A8-4E55-83C6-66A524D4E857}" name="Column16271"/>
    <tableColumn id="16278" xr3:uid="{4D49DBF7-8F36-4130-9BB1-0BFC466AE613}" name="Column16272"/>
    <tableColumn id="16279" xr3:uid="{12393A80-BF02-48FD-91E5-EA1D51586977}" name="Column16273"/>
    <tableColumn id="16280" xr3:uid="{AB4842E1-4E8E-4970-835F-40E92ED4BE79}" name="Column16274"/>
    <tableColumn id="16281" xr3:uid="{F7E64731-77F6-4A59-8911-A61CEE393566}" name="Column16275"/>
    <tableColumn id="16282" xr3:uid="{10DD63F2-DFB2-4668-812C-E2310C388DD4}" name="Column16276"/>
    <tableColumn id="16283" xr3:uid="{E06B6526-1667-4210-A112-1ABC83580475}" name="Column16277"/>
    <tableColumn id="16284" xr3:uid="{5C903E6E-7DA4-4145-8A44-34632277F96F}" name="Column16278"/>
    <tableColumn id="16285" xr3:uid="{38F2804A-6411-4650-A2CF-4ABBFCD957DE}" name="Column16279"/>
    <tableColumn id="16286" xr3:uid="{ED814E68-DD94-453E-9673-CE43D7D1F5B3}" name="Column16280"/>
    <tableColumn id="16287" xr3:uid="{4D4C90FE-66B4-4E99-8BB1-580B0D48C92C}" name="Column16281"/>
    <tableColumn id="16288" xr3:uid="{7693ABD8-9C96-4CD2-8013-B266C9DB8C3E}" name="Column16282"/>
    <tableColumn id="16289" xr3:uid="{CAD530FE-D1FA-427E-BFD2-9B867981A297}" name="Column16283"/>
    <tableColumn id="16290" xr3:uid="{71B8C62A-B517-4C8C-ABAE-44A063E51FC0}" name="Column16284"/>
    <tableColumn id="16291" xr3:uid="{67283B96-5AC3-45EB-867F-096847B2B9EE}" name="Column16285"/>
    <tableColumn id="16292" xr3:uid="{B573C2A6-65F4-4C27-93C9-7C00FF58E93B}" name="Column16286"/>
    <tableColumn id="16293" xr3:uid="{1F59725A-53D0-4C3D-A02E-65E95DADA6B6}" name="Column16287"/>
    <tableColumn id="16294" xr3:uid="{84DB51A6-CDEB-472B-89D1-A258676108B7}" name="Column16288"/>
    <tableColumn id="16295" xr3:uid="{12BD2471-789A-4AB9-9A56-559B5977FC95}" name="Column16289"/>
    <tableColumn id="16296" xr3:uid="{504FCBE6-76A8-4E9B-ACB4-D36A79EAA722}" name="Column16290"/>
    <tableColumn id="16297" xr3:uid="{55013295-5C90-4C1E-B140-FAB2278057D4}" name="Column16291"/>
    <tableColumn id="16298" xr3:uid="{A0D24767-99FA-4D36-814D-A75B3ECFD650}" name="Column16292"/>
    <tableColumn id="16299" xr3:uid="{A86CE65F-A356-4999-9514-0A329A53CD77}" name="Column16293"/>
    <tableColumn id="16300" xr3:uid="{926D7CDA-6FBD-4EA3-8EBE-3BE8A674815E}" name="Column16294"/>
    <tableColumn id="16301" xr3:uid="{347CD80E-42FC-4ADF-9617-8834EF89543C}" name="Column16295"/>
    <tableColumn id="16302" xr3:uid="{5B756191-A750-4570-9881-FBB65F79703F}" name="Column16296"/>
    <tableColumn id="16303" xr3:uid="{F02AC3A5-4454-4EAC-BD3B-135D98C51C4D}" name="Column16297"/>
    <tableColumn id="16304" xr3:uid="{911AE986-6B94-470D-BCD6-A6AFA97C6C50}" name="Column16298"/>
    <tableColumn id="16305" xr3:uid="{23F57BF6-DBBA-4568-A7EC-D79CBEEBDC54}" name="Column16299"/>
    <tableColumn id="16306" xr3:uid="{8E659F2C-E3D5-42DE-B621-6C65DF821EEF}" name="Column16300"/>
    <tableColumn id="16307" xr3:uid="{33F5E6EA-844C-41D1-87D3-04C6F9C71CD6}" name="Column16301"/>
    <tableColumn id="16308" xr3:uid="{4D2ED3A1-64C8-488B-BB46-EC7669CC205E}" name="Column16302"/>
    <tableColumn id="16309" xr3:uid="{554B4E0B-CDAF-40E8-A6E5-34548AC4050D}" name="Column16303"/>
    <tableColumn id="16310" xr3:uid="{80F98815-1C74-4666-BD2C-A36867188452}" name="Column16304"/>
    <tableColumn id="16311" xr3:uid="{93D9727D-E7F5-4EA0-8035-4D87DD576CA3}" name="Column16305"/>
    <tableColumn id="16312" xr3:uid="{B9701BE5-DA2C-4DA9-B86F-D56281F6445F}" name="Column16306"/>
    <tableColumn id="16313" xr3:uid="{923938E1-CFEF-4549-8E12-C5AD28F24DA8}" name="Column16307"/>
    <tableColumn id="16314" xr3:uid="{4B6E4D2D-31AC-46EF-A89F-EE423EA45257}" name="Column16308"/>
    <tableColumn id="16315" xr3:uid="{5D884623-ED57-4AD3-9026-8A719DAAB8DD}" name="Column16309"/>
    <tableColumn id="16316" xr3:uid="{5266FDA2-BDA7-4E02-A723-1559E7483566}" name="Column16310"/>
    <tableColumn id="16317" xr3:uid="{6A18E45E-68E1-4160-AAA6-A965C763DA65}" name="Column16311"/>
    <tableColumn id="16318" xr3:uid="{BD591BDB-AE78-4E7B-B5D8-B439D953DF9E}" name="Column16312"/>
    <tableColumn id="16319" xr3:uid="{F8C67C2D-C286-4230-99F4-4E0E4EC68E1C}" name="Column16313"/>
    <tableColumn id="16320" xr3:uid="{BDADE617-A74D-44E4-9543-84F458DCD5A2}" name="Column16314"/>
    <tableColumn id="16321" xr3:uid="{FE04C031-B5CB-4924-B815-5546612C9246}" name="Column16315"/>
    <tableColumn id="16322" xr3:uid="{F251DB52-06AC-4D12-BC5A-C943283DA341}" name="Column16316"/>
    <tableColumn id="16323" xr3:uid="{26589BF5-5F13-4C02-811D-119E564F19DE}" name="Column16317"/>
    <tableColumn id="16324" xr3:uid="{95DA0DF1-617C-4E6C-A566-1114CF902480}" name="Column16318"/>
    <tableColumn id="16325" xr3:uid="{3E0771FB-0756-4015-A3FF-590CFC33A16F}" name="Column16319"/>
    <tableColumn id="16326" xr3:uid="{FF2ABA22-2022-4348-836A-A5354AD82478}" name="Column16320"/>
    <tableColumn id="16327" xr3:uid="{51D75F6B-B881-497A-AD8F-9EDE07B4E415}" name="Column16321"/>
    <tableColumn id="16328" xr3:uid="{089F8808-6B9A-4231-967C-D135CCA8A41F}" name="Column16322"/>
    <tableColumn id="16329" xr3:uid="{F05A906D-3E5C-45CB-965B-D71115A63A8C}" name="Column16323"/>
    <tableColumn id="16330" xr3:uid="{2E51B432-B683-4E0F-AA9C-1DAAB65FE111}" name="Column16324"/>
    <tableColumn id="16331" xr3:uid="{95596780-9793-4874-8F2E-E983F5993A3C}" name="Column16325"/>
    <tableColumn id="16332" xr3:uid="{9234F1EB-D84E-4127-AF56-E34443567E9F}" name="Column16326"/>
    <tableColumn id="16333" xr3:uid="{F05BFF5F-767B-41A9-A914-78C183ECA36D}" name="Column16327"/>
    <tableColumn id="16334" xr3:uid="{378C8790-95E4-436B-AC1B-AB07DD31D977}" name="Column16328"/>
    <tableColumn id="16335" xr3:uid="{7684D5EB-7E7E-4FB5-BD19-FF441EB26143}" name="Column16329"/>
    <tableColumn id="16336" xr3:uid="{8EAF01F5-E15F-4C4A-A58C-1ACD483E5D63}" name="Column16330"/>
    <tableColumn id="16337" xr3:uid="{5EFCC386-991E-4273-98A7-51C63556E01E}" name="Column16331"/>
    <tableColumn id="16338" xr3:uid="{5EB8038E-23C9-4DC3-A74C-39601615A601}" name="Column16332"/>
    <tableColumn id="16339" xr3:uid="{EE87C2D3-C5E3-4A09-AD60-77799F14B919}" name="Column16333"/>
    <tableColumn id="16340" xr3:uid="{5879E789-9458-40C1-8D8E-0CB63EBD5BDB}" name="Column16334"/>
    <tableColumn id="16341" xr3:uid="{EFA1796D-5696-4063-9AA5-FE93F6EB4332}" name="Column16335"/>
    <tableColumn id="16342" xr3:uid="{4D4F168A-8449-4CE9-82F5-94081A44BC35}" name="Column16336"/>
    <tableColumn id="16343" xr3:uid="{B331E6B9-EC87-46E6-84C6-9DD4649A6BDE}" name="Column16337"/>
    <tableColumn id="16344" xr3:uid="{18C94BDF-7AFA-43FC-ACE2-40E1FD009178}" name="Column16338"/>
    <tableColumn id="16345" xr3:uid="{03B776B8-C392-4F8D-9C14-02B8800B2862}" name="Column16339"/>
    <tableColumn id="16346" xr3:uid="{4A3418A6-16F7-4DD1-9D97-0CBDA64C5855}" name="Column16340"/>
    <tableColumn id="16347" xr3:uid="{1321FF4C-93C2-43F3-87F4-32ABC2F5C680}" name="Column16341"/>
    <tableColumn id="16348" xr3:uid="{EF24F49A-1A2F-465B-89B6-852D23DF602B}" name="Column16342"/>
    <tableColumn id="16349" xr3:uid="{9AA9B8C6-895A-41E5-BB95-DC9DD0CB10E6}" name="Column16343"/>
    <tableColumn id="16350" xr3:uid="{838AC0ED-5B42-4CAC-A710-4C66D7FAE6AC}" name="Column16344"/>
    <tableColumn id="16351" xr3:uid="{0A6591E0-88C5-4E68-A732-1BE20950F24A}" name="Column16345"/>
    <tableColumn id="16352" xr3:uid="{F44D9264-E955-4144-A612-2A18EB68A8C7}" name="Column16346"/>
    <tableColumn id="16353" xr3:uid="{431B0F9E-F884-4C1F-8F7C-0459E107DC5B}" name="Column16347"/>
    <tableColumn id="16354" xr3:uid="{648B8411-89F5-466B-9C0E-8059C684CD70}" name="Column16348"/>
    <tableColumn id="16355" xr3:uid="{561FCBA8-E0AB-4376-8269-AE9B1ABD8A54}" name="Column16349"/>
    <tableColumn id="16356" xr3:uid="{86F78879-9B37-4308-A47C-BF663C2996E1}" name="Column16350"/>
    <tableColumn id="16357" xr3:uid="{05C839D9-8748-4599-8A35-5B6DF9F682E5}" name="Column16351"/>
    <tableColumn id="16358" xr3:uid="{24404FF4-C64D-48D9-AD38-0A60D7F99336}" name="Column16352"/>
    <tableColumn id="16359" xr3:uid="{1A52968B-FE71-46E5-A39C-AF162820B5D4}" name="Column16353"/>
    <tableColumn id="16360" xr3:uid="{5E45AC70-6184-4BEB-9A06-F2C3542CEC66}" name="Column16354"/>
    <tableColumn id="16361" xr3:uid="{66ACF670-EF14-4BA1-B2A0-850DE0D21130}" name="Column16355"/>
    <tableColumn id="16362" xr3:uid="{41767307-A35B-4B05-8133-D1CD66EEC4C2}" name="Column16356"/>
    <tableColumn id="16363" xr3:uid="{56A7F3F7-4FA4-4784-A67F-F37425676278}" name="Column16357"/>
    <tableColumn id="16364" xr3:uid="{C242CA4F-221A-41A8-A574-C2E41874E37A}" name="Column16358"/>
    <tableColumn id="16365" xr3:uid="{2A12D375-7EAF-4D0A-BB33-7F6C81BB439A}" name="Column16359"/>
    <tableColumn id="16366" xr3:uid="{298346CB-2786-4E0A-9B6C-2A0D8CACF8E4}" name="Column16360"/>
    <tableColumn id="16367" xr3:uid="{9B11C7B3-FA2F-4629-BDA1-8F934D37199B}" name="Column16361"/>
    <tableColumn id="16368" xr3:uid="{CA2E0DBC-B539-4D3F-A161-BB26FCF47337}" name="Column16362"/>
    <tableColumn id="16369" xr3:uid="{EC498182-EA55-4059-BB7A-2AF9C764CAC4}" name="Column16363"/>
    <tableColumn id="16370" xr3:uid="{E39C320B-8C95-4D39-9517-8CB5155334DE}" name="Column16364"/>
    <tableColumn id="16371" xr3:uid="{EAD52F09-7592-4654-ACC3-C1BDCC11372B}" name="Column16365"/>
    <tableColumn id="16372" xr3:uid="{AB81003F-F270-466F-87A6-ABD55577F19C}" name="Column16366"/>
    <tableColumn id="16373" xr3:uid="{85AE4F5F-3AC6-48F4-A8D5-0F3E0B6D3B10}" name="Column16367"/>
    <tableColumn id="16374" xr3:uid="{69D2CB60-1FE3-4A57-BCAE-A838B4E7E701}" name="Column16368"/>
    <tableColumn id="16375" xr3:uid="{F3A37715-A3BE-40E7-AC48-BCC48427F661}" name="Column16369"/>
    <tableColumn id="16376" xr3:uid="{3C95B933-30F1-4CCC-946F-81C25A853451}" name="Column16370"/>
    <tableColumn id="16377" xr3:uid="{FACEFC39-95EE-406C-8DF0-F900ABB51EFA}" name="Column16371"/>
    <tableColumn id="16378" xr3:uid="{132DF973-D6D0-40A6-9D70-1D2615C3DCAE}" name="Column16372"/>
    <tableColumn id="16379" xr3:uid="{BE5FF847-926F-444E-A78A-EADF4FE96CC0}" name="Column16373"/>
    <tableColumn id="16380" xr3:uid="{698EF70B-7D23-44AC-8834-637B2BA83227}" name="Column16374"/>
    <tableColumn id="16381" xr3:uid="{70583D9C-6528-462A-8363-C8BF08ED2F9F}" name="Column16375"/>
    <tableColumn id="16382" xr3:uid="{680A0F48-7A42-4BC8-B64C-9CFDAC77A7D1}" name="Column16376"/>
    <tableColumn id="16383" xr3:uid="{2C2E66C3-7FBE-4E51-87B8-CF497B0288FD}" name="Column16377"/>
    <tableColumn id="16384" xr3:uid="{1BD407F1-A495-41F3-B22F-5CD030A6CC8C}" name="Column163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805799-518A-4DD2-A6B0-A960A8E048F7}" name="Table1" displayName="Table1" ref="A1:J113" totalsRowShown="0" headerRowDxfId="2">
  <autoFilter ref="A1:J113" xr:uid="{0E805799-518A-4DD2-A6B0-A960A8E048F7}"/>
  <tableColumns count="10">
    <tableColumn id="1" xr3:uid="{CDCCE8DC-E0D7-46AC-9618-4384414C1760}" name="Product" dataDxfId="7"/>
    <tableColumn id="2" xr3:uid="{748889AD-8438-421C-AAFB-3C6D00416B93}" name="Current price" dataDxfId="6"/>
    <tableColumn id="3" xr3:uid="{8983118F-2496-47D3-A83C-0C807BD5F8B9}" name="old price" dataDxfId="5"/>
    <tableColumn id="4" xr3:uid="{3141EFA2-40FA-4F43-AF10-A2CA4C57328D}" name="Discount" dataDxfId="4"/>
    <tableColumn id="5" xr3:uid="{061CDD74-1FC9-4F00-99A3-13242727757B}" name="Review"/>
    <tableColumn id="6" xr3:uid="{FDAC3CDB-909C-4374-8AAF-E21A88407DE2}" name="Ratings"/>
    <tableColumn id="7" xr3:uid="{FFCD9D36-383A-4EFA-AE30-783EB12EECA0}" name="Rating category">
      <calculatedColumnFormula>IF(F2&lt;3,"Poor",IF(F2&lt;=4.5,"Average","Excellent"))</calculatedColumnFormula>
    </tableColumn>
    <tableColumn id="8" xr3:uid="{ADE831C2-D58D-4587-9BC3-27C5A38C2DDA}" name="Discount amount" dataDxfId="3">
      <calculatedColumnFormula>C2-B2</calculatedColumnFormula>
    </tableColumn>
    <tableColumn id="9" xr3:uid="{02078738-EABE-4CCE-9E23-690F5002B8FE}" name="Price category"/>
    <tableColumn id="10" xr3:uid="{BC29D827-1151-4E60-9054-410FDD0C1760}" name="Discount category">
      <calculatedColumnFormula>IF(D2&lt;20%,"Low Discount",IF(D2&lt;=40%,"Medium Discount","High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2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EA2C-D397-45CE-A261-FCC164170F23}">
  <dimension ref="A1:F116"/>
  <sheetViews>
    <sheetView topLeftCell="A102" workbookViewId="0">
      <selection activeCell="F102" sqref="F1:F1048576"/>
    </sheetView>
  </sheetViews>
  <sheetFormatPr defaultRowHeight="14.5" x14ac:dyDescent="0.35"/>
  <cols>
    <col min="1" max="1" width="86.1796875" bestFit="1" customWidth="1"/>
    <col min="2" max="2" width="18.1796875" bestFit="1" customWidth="1"/>
    <col min="5" max="5" width="6.453125" bestFit="1" customWidth="1"/>
  </cols>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140</v>
      </c>
      <c r="B45" t="s">
        <v>141</v>
      </c>
      <c r="C45" t="s">
        <v>142</v>
      </c>
      <c r="D45" s="1">
        <v>0.02</v>
      </c>
    </row>
    <row r="46" spans="1:6" x14ac:dyDescent="0.35">
      <c r="A46" t="s">
        <v>143</v>
      </c>
      <c r="B46" t="s">
        <v>12</v>
      </c>
      <c r="C46" t="s">
        <v>144</v>
      </c>
      <c r="D46" s="1">
        <v>0.5</v>
      </c>
    </row>
    <row r="47" spans="1:6" x14ac:dyDescent="0.35">
      <c r="A47" t="s">
        <v>145</v>
      </c>
      <c r="B47" t="s">
        <v>146</v>
      </c>
      <c r="C47" t="s">
        <v>147</v>
      </c>
      <c r="D47" s="1">
        <v>0.33</v>
      </c>
    </row>
    <row r="48" spans="1:6" x14ac:dyDescent="0.35">
      <c r="A48" t="s">
        <v>148</v>
      </c>
      <c r="B48" t="s">
        <v>149</v>
      </c>
      <c r="C48" t="s">
        <v>150</v>
      </c>
      <c r="D48" s="1">
        <v>0.49</v>
      </c>
    </row>
    <row r="49" spans="1:6" x14ac:dyDescent="0.35">
      <c r="A49" t="s">
        <v>151</v>
      </c>
      <c r="B49" t="s">
        <v>152</v>
      </c>
      <c r="C49" t="s">
        <v>153</v>
      </c>
      <c r="D49" s="1">
        <v>0.38</v>
      </c>
    </row>
    <row r="50" spans="1:6" x14ac:dyDescent="0.35">
      <c r="A50" t="s">
        <v>154</v>
      </c>
      <c r="B50" t="s">
        <v>155</v>
      </c>
      <c r="C50" t="s">
        <v>156</v>
      </c>
      <c r="D50" s="1">
        <v>0.61</v>
      </c>
    </row>
    <row r="51" spans="1:6" x14ac:dyDescent="0.35">
      <c r="A51" t="s">
        <v>157</v>
      </c>
      <c r="B51" t="s">
        <v>158</v>
      </c>
      <c r="C51" t="s">
        <v>159</v>
      </c>
      <c r="D51" s="1">
        <v>0.5</v>
      </c>
    </row>
    <row r="52" spans="1:6" x14ac:dyDescent="0.35">
      <c r="A52" t="s">
        <v>160</v>
      </c>
      <c r="B52" t="s">
        <v>161</v>
      </c>
      <c r="C52" t="s">
        <v>162</v>
      </c>
      <c r="D52" s="1">
        <v>0.02</v>
      </c>
    </row>
    <row r="53" spans="1:6" x14ac:dyDescent="0.35">
      <c r="A53" t="s">
        <v>163</v>
      </c>
      <c r="B53" t="s">
        <v>158</v>
      </c>
      <c r="C53" t="s">
        <v>164</v>
      </c>
      <c r="D53" s="1">
        <v>0.22</v>
      </c>
    </row>
    <row r="54" spans="1:6" x14ac:dyDescent="0.35">
      <c r="A54" t="s">
        <v>165</v>
      </c>
      <c r="B54" t="s">
        <v>166</v>
      </c>
      <c r="C54" t="s">
        <v>167</v>
      </c>
      <c r="D54" s="1">
        <v>0.03</v>
      </c>
    </row>
    <row r="55" spans="1:6" x14ac:dyDescent="0.35">
      <c r="A55" t="s">
        <v>168</v>
      </c>
      <c r="B55" t="s">
        <v>43</v>
      </c>
      <c r="C55" t="s">
        <v>169</v>
      </c>
      <c r="D55" s="1">
        <v>0.41</v>
      </c>
    </row>
    <row r="56" spans="1:6" x14ac:dyDescent="0.35">
      <c r="A56" t="s">
        <v>170</v>
      </c>
      <c r="B56" t="s">
        <v>171</v>
      </c>
      <c r="C56" t="s">
        <v>172</v>
      </c>
      <c r="D56" s="1">
        <v>0.45</v>
      </c>
    </row>
    <row r="57" spans="1:6" x14ac:dyDescent="0.35">
      <c r="A57" t="s">
        <v>173</v>
      </c>
      <c r="B57" t="s">
        <v>174</v>
      </c>
      <c r="C57" t="s">
        <v>169</v>
      </c>
      <c r="D57" s="1">
        <v>0.48</v>
      </c>
    </row>
    <row r="58" spans="1:6" x14ac:dyDescent="0.35">
      <c r="A58" t="s">
        <v>175</v>
      </c>
      <c r="B58" t="s">
        <v>43</v>
      </c>
      <c r="C58" t="s">
        <v>176</v>
      </c>
      <c r="D58" s="1">
        <v>0.49</v>
      </c>
    </row>
    <row r="59" spans="1:6" x14ac:dyDescent="0.35">
      <c r="A59" t="s">
        <v>177</v>
      </c>
      <c r="B59" t="s">
        <v>178</v>
      </c>
      <c r="C59" t="s">
        <v>179</v>
      </c>
      <c r="D59" s="1">
        <v>0.27</v>
      </c>
    </row>
    <row r="60" spans="1:6" x14ac:dyDescent="0.35">
      <c r="A60" t="s">
        <v>170</v>
      </c>
      <c r="B60" t="s">
        <v>180</v>
      </c>
      <c r="C60" t="s">
        <v>181</v>
      </c>
      <c r="D60" s="1">
        <v>0.55000000000000004</v>
      </c>
    </row>
    <row r="61" spans="1:6" x14ac:dyDescent="0.35">
      <c r="A61" t="s">
        <v>182</v>
      </c>
      <c r="B61" t="s">
        <v>183</v>
      </c>
      <c r="C61" t="s">
        <v>184</v>
      </c>
      <c r="D61" s="1">
        <v>0.13</v>
      </c>
      <c r="E61">
        <v>-6</v>
      </c>
      <c r="F61" t="s">
        <v>185</v>
      </c>
    </row>
    <row r="62" spans="1:6" x14ac:dyDescent="0.35">
      <c r="A62" t="s">
        <v>186</v>
      </c>
      <c r="B62" t="s">
        <v>187</v>
      </c>
      <c r="C62" t="s">
        <v>188</v>
      </c>
      <c r="D62" s="1">
        <v>0.54</v>
      </c>
      <c r="E62">
        <v>-10</v>
      </c>
      <c r="F62" t="s">
        <v>189</v>
      </c>
    </row>
    <row r="63" spans="1:6" x14ac:dyDescent="0.35">
      <c r="A63" t="s">
        <v>190</v>
      </c>
      <c r="B63" t="s">
        <v>191</v>
      </c>
      <c r="C63" t="s">
        <v>192</v>
      </c>
      <c r="D63" s="1">
        <v>0.55000000000000004</v>
      </c>
      <c r="E63">
        <v>-13</v>
      </c>
      <c r="F63" t="s">
        <v>193</v>
      </c>
    </row>
    <row r="64" spans="1:6" x14ac:dyDescent="0.35">
      <c r="A64" t="s">
        <v>194</v>
      </c>
      <c r="B64" t="s">
        <v>195</v>
      </c>
      <c r="C64" t="s">
        <v>196</v>
      </c>
      <c r="D64" s="1">
        <v>0.49</v>
      </c>
      <c r="E64">
        <v>-69</v>
      </c>
      <c r="F64" t="s">
        <v>197</v>
      </c>
    </row>
    <row r="65" spans="1:6" x14ac:dyDescent="0.35">
      <c r="A65" t="s">
        <v>198</v>
      </c>
      <c r="B65" t="s">
        <v>199</v>
      </c>
      <c r="C65" t="s">
        <v>200</v>
      </c>
      <c r="D65" s="1">
        <v>0.52</v>
      </c>
      <c r="E65">
        <v>-15</v>
      </c>
      <c r="F65" t="s">
        <v>201</v>
      </c>
    </row>
    <row r="66" spans="1:6" x14ac:dyDescent="0.35">
      <c r="A66" t="s">
        <v>202</v>
      </c>
      <c r="B66" t="s">
        <v>203</v>
      </c>
      <c r="C66" t="s">
        <v>204</v>
      </c>
      <c r="D66" s="1">
        <v>0.22</v>
      </c>
      <c r="E66">
        <v>-16</v>
      </c>
      <c r="F66" t="s">
        <v>205</v>
      </c>
    </row>
    <row r="67" spans="1:6" x14ac:dyDescent="0.35">
      <c r="A67" t="s">
        <v>206</v>
      </c>
      <c r="B67" t="s">
        <v>45</v>
      </c>
      <c r="C67" t="s">
        <v>207</v>
      </c>
      <c r="D67" s="1">
        <v>0.45</v>
      </c>
      <c r="E67">
        <v>-6</v>
      </c>
      <c r="F67" t="s">
        <v>208</v>
      </c>
    </row>
    <row r="68" spans="1:6" x14ac:dyDescent="0.35">
      <c r="A68" t="s">
        <v>209</v>
      </c>
      <c r="B68" t="s">
        <v>210</v>
      </c>
      <c r="C68" t="s">
        <v>144</v>
      </c>
      <c r="D68" s="1">
        <v>0.5</v>
      </c>
      <c r="E68">
        <v>-7</v>
      </c>
      <c r="F68" t="s">
        <v>211</v>
      </c>
    </row>
    <row r="69" spans="1:6" x14ac:dyDescent="0.35">
      <c r="A69" t="s">
        <v>212</v>
      </c>
      <c r="B69" t="s">
        <v>213</v>
      </c>
      <c r="C69" t="s">
        <v>214</v>
      </c>
      <c r="D69" s="1">
        <v>0.39</v>
      </c>
      <c r="E69">
        <v>-5</v>
      </c>
      <c r="F69" t="s">
        <v>189</v>
      </c>
    </row>
    <row r="70" spans="1:6" x14ac:dyDescent="0.35">
      <c r="A70" t="s">
        <v>215</v>
      </c>
      <c r="B70" t="s">
        <v>104</v>
      </c>
      <c r="C70" t="s">
        <v>216</v>
      </c>
      <c r="D70" s="1">
        <v>0.45</v>
      </c>
      <c r="E70">
        <v>-17</v>
      </c>
      <c r="F70" t="s">
        <v>217</v>
      </c>
    </row>
    <row r="71" spans="1:6" x14ac:dyDescent="0.35">
      <c r="A71" t="s">
        <v>218</v>
      </c>
      <c r="B71" t="s">
        <v>219</v>
      </c>
      <c r="C71" t="s">
        <v>220</v>
      </c>
      <c r="D71" s="1">
        <v>0.28999999999999998</v>
      </c>
      <c r="E71">
        <v>-5</v>
      </c>
      <c r="F71" t="s">
        <v>189</v>
      </c>
    </row>
    <row r="72" spans="1:6" x14ac:dyDescent="0.35">
      <c r="A72" t="s">
        <v>221</v>
      </c>
      <c r="B72" t="s">
        <v>222</v>
      </c>
      <c r="C72" t="s">
        <v>223</v>
      </c>
      <c r="D72" s="1">
        <v>0.43</v>
      </c>
      <c r="E72">
        <v>-6</v>
      </c>
      <c r="F72" t="s">
        <v>211</v>
      </c>
    </row>
    <row r="73" spans="1:6" x14ac:dyDescent="0.35">
      <c r="A73" t="s">
        <v>224</v>
      </c>
      <c r="B73" t="s">
        <v>225</v>
      </c>
      <c r="C73" t="s">
        <v>226</v>
      </c>
      <c r="D73" s="1">
        <v>0.43</v>
      </c>
      <c r="E73">
        <v>-5</v>
      </c>
      <c r="F73" t="s">
        <v>189</v>
      </c>
    </row>
    <row r="74" spans="1:6" x14ac:dyDescent="0.35">
      <c r="A74" t="s">
        <v>227</v>
      </c>
      <c r="B74" t="s">
        <v>228</v>
      </c>
      <c r="C74" t="s">
        <v>207</v>
      </c>
      <c r="D74" s="1">
        <v>0.47</v>
      </c>
      <c r="E74">
        <v>-6</v>
      </c>
      <c r="F74" t="s">
        <v>208</v>
      </c>
    </row>
    <row r="75" spans="1:6" x14ac:dyDescent="0.35">
      <c r="A75" t="s">
        <v>229</v>
      </c>
      <c r="B75" t="s">
        <v>230</v>
      </c>
      <c r="C75" t="s">
        <v>231</v>
      </c>
      <c r="D75" s="1">
        <v>0.47</v>
      </c>
      <c r="E75">
        <v>-7</v>
      </c>
      <c r="F75" t="s">
        <v>193</v>
      </c>
    </row>
    <row r="76" spans="1:6" x14ac:dyDescent="0.35">
      <c r="A76" t="s">
        <v>232</v>
      </c>
      <c r="B76" t="s">
        <v>233</v>
      </c>
      <c r="C76" t="s">
        <v>234</v>
      </c>
      <c r="D76" s="1">
        <v>0.47</v>
      </c>
    </row>
    <row r="77" spans="1:6" x14ac:dyDescent="0.35">
      <c r="A77" t="s">
        <v>235</v>
      </c>
      <c r="B77" t="s">
        <v>236</v>
      </c>
      <c r="C77" t="s">
        <v>152</v>
      </c>
      <c r="D77" s="1">
        <v>0.43</v>
      </c>
    </row>
    <row r="78" spans="1:6" x14ac:dyDescent="0.35">
      <c r="A78" t="s">
        <v>237</v>
      </c>
      <c r="B78" t="s">
        <v>238</v>
      </c>
      <c r="C78" t="s">
        <v>239</v>
      </c>
      <c r="D78" s="1">
        <v>0.04</v>
      </c>
    </row>
    <row r="79" spans="1:6" x14ac:dyDescent="0.35">
      <c r="A79" t="s">
        <v>240</v>
      </c>
      <c r="B79" t="s">
        <v>241</v>
      </c>
      <c r="C79" t="s">
        <v>242</v>
      </c>
      <c r="D79" s="1">
        <v>0.49</v>
      </c>
    </row>
    <row r="80" spans="1:6" x14ac:dyDescent="0.35">
      <c r="A80" t="s">
        <v>243</v>
      </c>
      <c r="B80" t="s">
        <v>244</v>
      </c>
      <c r="C80" t="s">
        <v>15</v>
      </c>
      <c r="D80" s="1">
        <v>0.46</v>
      </c>
      <c r="E80">
        <v>-1</v>
      </c>
      <c r="F80" t="s">
        <v>189</v>
      </c>
    </row>
    <row r="81" spans="1:6" x14ac:dyDescent="0.35">
      <c r="A81" t="s">
        <v>245</v>
      </c>
      <c r="B81" t="s">
        <v>246</v>
      </c>
      <c r="C81" t="s">
        <v>247</v>
      </c>
      <c r="D81" s="1">
        <v>0.49</v>
      </c>
      <c r="E81">
        <v>-1</v>
      </c>
      <c r="F81" t="s">
        <v>59</v>
      </c>
    </row>
    <row r="82" spans="1:6" x14ac:dyDescent="0.35">
      <c r="A82" t="s">
        <v>248</v>
      </c>
      <c r="B82" t="s">
        <v>249</v>
      </c>
      <c r="C82" t="s">
        <v>250</v>
      </c>
      <c r="D82" s="1">
        <v>0.36</v>
      </c>
    </row>
    <row r="83" spans="1:6" x14ac:dyDescent="0.35">
      <c r="A83" t="s">
        <v>251</v>
      </c>
      <c r="B83" t="s">
        <v>252</v>
      </c>
      <c r="C83" t="s">
        <v>162</v>
      </c>
      <c r="D83" s="1">
        <v>0.02</v>
      </c>
    </row>
    <row r="84" spans="1:6" x14ac:dyDescent="0.35">
      <c r="A84" t="s">
        <v>253</v>
      </c>
      <c r="B84" t="s">
        <v>254</v>
      </c>
      <c r="C84" t="s">
        <v>91</v>
      </c>
      <c r="D84" s="1">
        <v>0.49</v>
      </c>
      <c r="E84">
        <v>-1</v>
      </c>
      <c r="F84" t="s">
        <v>29</v>
      </c>
    </row>
    <row r="85" spans="1:6" x14ac:dyDescent="0.35">
      <c r="A85" t="s">
        <v>154</v>
      </c>
      <c r="B85" t="s">
        <v>255</v>
      </c>
      <c r="C85" t="s">
        <v>222</v>
      </c>
      <c r="D85" s="1">
        <v>0.49</v>
      </c>
    </row>
    <row r="86" spans="1:6" x14ac:dyDescent="0.35">
      <c r="A86" t="s">
        <v>256</v>
      </c>
      <c r="B86" t="s">
        <v>257</v>
      </c>
      <c r="C86" t="s">
        <v>162</v>
      </c>
      <c r="D86" s="1">
        <v>0.14000000000000001</v>
      </c>
    </row>
    <row r="87" spans="1:6" x14ac:dyDescent="0.35">
      <c r="A87" t="s">
        <v>258</v>
      </c>
      <c r="B87" t="s">
        <v>259</v>
      </c>
      <c r="C87" t="s">
        <v>260</v>
      </c>
      <c r="D87" s="1">
        <v>0.49</v>
      </c>
    </row>
    <row r="88" spans="1:6" x14ac:dyDescent="0.35">
      <c r="A88" t="s">
        <v>261</v>
      </c>
      <c r="B88" t="s">
        <v>43</v>
      </c>
      <c r="C88" t="s">
        <v>172</v>
      </c>
      <c r="D88" s="1">
        <v>0.11</v>
      </c>
    </row>
    <row r="89" spans="1:6" x14ac:dyDescent="0.35">
      <c r="A89" t="s">
        <v>175</v>
      </c>
      <c r="B89" t="s">
        <v>262</v>
      </c>
      <c r="C89" t="s">
        <v>263</v>
      </c>
      <c r="D89" s="1">
        <v>0.49</v>
      </c>
    </row>
    <row r="90" spans="1:6" x14ac:dyDescent="0.35">
      <c r="A90" t="s">
        <v>264</v>
      </c>
      <c r="B90" t="s">
        <v>265</v>
      </c>
      <c r="C90" t="s">
        <v>162</v>
      </c>
      <c r="D90" s="1">
        <v>0.14000000000000001</v>
      </c>
    </row>
    <row r="91" spans="1:6" x14ac:dyDescent="0.35">
      <c r="A91" t="s">
        <v>266</v>
      </c>
      <c r="B91" t="s">
        <v>267</v>
      </c>
      <c r="C91" t="s">
        <v>268</v>
      </c>
      <c r="D91" s="1">
        <v>0.43</v>
      </c>
    </row>
    <row r="92" spans="1:6" x14ac:dyDescent="0.35">
      <c r="A92" t="s">
        <v>269</v>
      </c>
      <c r="B92" t="s">
        <v>270</v>
      </c>
      <c r="C92" t="s">
        <v>271</v>
      </c>
      <c r="D92" s="1">
        <v>0.5</v>
      </c>
    </row>
    <row r="93" spans="1:6" x14ac:dyDescent="0.35">
      <c r="A93" t="s">
        <v>272</v>
      </c>
      <c r="B93" t="s">
        <v>273</v>
      </c>
      <c r="C93" t="s">
        <v>184</v>
      </c>
      <c r="D93" s="1">
        <v>0.48</v>
      </c>
    </row>
    <row r="94" spans="1:6" x14ac:dyDescent="0.35">
      <c r="A94" t="s">
        <v>274</v>
      </c>
      <c r="B94" t="s">
        <v>275</v>
      </c>
      <c r="C94" t="s">
        <v>276</v>
      </c>
      <c r="D94" s="1">
        <v>0.48</v>
      </c>
    </row>
    <row r="95" spans="1:6" x14ac:dyDescent="0.35">
      <c r="A95" t="s">
        <v>277</v>
      </c>
      <c r="B95" t="s">
        <v>226</v>
      </c>
      <c r="C95" t="s">
        <v>162</v>
      </c>
      <c r="D95" s="1">
        <v>0.47</v>
      </c>
    </row>
    <row r="96" spans="1:6" x14ac:dyDescent="0.35">
      <c r="A96" t="s">
        <v>278</v>
      </c>
      <c r="B96" t="s">
        <v>152</v>
      </c>
      <c r="C96" t="s">
        <v>279</v>
      </c>
      <c r="D96" s="1">
        <v>0.5</v>
      </c>
    </row>
    <row r="97" spans="1:6" x14ac:dyDescent="0.35">
      <c r="A97" t="s">
        <v>280</v>
      </c>
      <c r="B97" t="s">
        <v>281</v>
      </c>
      <c r="C97" t="s">
        <v>161</v>
      </c>
      <c r="D97" s="1">
        <v>0.08</v>
      </c>
    </row>
    <row r="98" spans="1:6" x14ac:dyDescent="0.35">
      <c r="A98" t="s">
        <v>282</v>
      </c>
      <c r="B98" t="s">
        <v>283</v>
      </c>
      <c r="C98" t="s">
        <v>167</v>
      </c>
      <c r="D98" s="1">
        <v>0.02</v>
      </c>
    </row>
    <row r="99" spans="1:6" x14ac:dyDescent="0.35">
      <c r="A99" t="s">
        <v>284</v>
      </c>
      <c r="B99" t="s">
        <v>285</v>
      </c>
      <c r="C99" t="s">
        <v>286</v>
      </c>
      <c r="D99" s="1">
        <v>0.49</v>
      </c>
    </row>
    <row r="100" spans="1:6" x14ac:dyDescent="0.35">
      <c r="A100" t="s">
        <v>287</v>
      </c>
      <c r="B100" t="s">
        <v>288</v>
      </c>
      <c r="C100" t="s">
        <v>67</v>
      </c>
      <c r="D100" s="1">
        <v>0.04</v>
      </c>
    </row>
    <row r="101" spans="1:6" x14ac:dyDescent="0.35">
      <c r="A101" t="s">
        <v>289</v>
      </c>
      <c r="B101" t="s">
        <v>290</v>
      </c>
      <c r="C101" t="s">
        <v>291</v>
      </c>
      <c r="D101" s="1">
        <v>0.49</v>
      </c>
    </row>
    <row r="102" spans="1:6" x14ac:dyDescent="0.35">
      <c r="A102" t="s">
        <v>292</v>
      </c>
      <c r="B102" t="s">
        <v>293</v>
      </c>
      <c r="C102" t="s">
        <v>294</v>
      </c>
      <c r="D102" s="1">
        <v>0.42</v>
      </c>
    </row>
    <row r="103" spans="1:6" x14ac:dyDescent="0.35">
      <c r="A103" t="s">
        <v>295</v>
      </c>
      <c r="B103" t="s">
        <v>296</v>
      </c>
      <c r="C103" t="s">
        <v>297</v>
      </c>
      <c r="D103" s="1">
        <v>0.21</v>
      </c>
      <c r="E103">
        <v>-1</v>
      </c>
      <c r="F103" t="s">
        <v>59</v>
      </c>
    </row>
    <row r="104" spans="1:6" x14ac:dyDescent="0.35">
      <c r="A104" t="s">
        <v>298</v>
      </c>
      <c r="B104" t="s">
        <v>299</v>
      </c>
      <c r="C104" t="s">
        <v>300</v>
      </c>
      <c r="D104" s="1">
        <v>0.41</v>
      </c>
    </row>
    <row r="105" spans="1:6" x14ac:dyDescent="0.35">
      <c r="A105" t="s">
        <v>301</v>
      </c>
      <c r="B105" t="s">
        <v>302</v>
      </c>
      <c r="C105" t="s">
        <v>303</v>
      </c>
      <c r="D105" s="1">
        <v>0.01</v>
      </c>
    </row>
    <row r="106" spans="1:6" x14ac:dyDescent="0.35">
      <c r="A106" t="s">
        <v>304</v>
      </c>
      <c r="B106" t="s">
        <v>305</v>
      </c>
      <c r="C106" t="s">
        <v>306</v>
      </c>
      <c r="D106" s="1">
        <v>0.24</v>
      </c>
    </row>
    <row r="107" spans="1:6" x14ac:dyDescent="0.35">
      <c r="A107" t="s">
        <v>307</v>
      </c>
      <c r="B107" t="s">
        <v>308</v>
      </c>
      <c r="C107" t="s">
        <v>309</v>
      </c>
      <c r="D107" s="1">
        <v>0.34</v>
      </c>
    </row>
    <row r="108" spans="1:6" x14ac:dyDescent="0.35">
      <c r="A108" t="s">
        <v>310</v>
      </c>
      <c r="B108" t="s">
        <v>146</v>
      </c>
      <c r="C108" t="s">
        <v>311</v>
      </c>
      <c r="D108" s="1">
        <v>0.34</v>
      </c>
    </row>
    <row r="109" spans="1:6" x14ac:dyDescent="0.35">
      <c r="A109" t="s">
        <v>312</v>
      </c>
      <c r="B109" t="s">
        <v>313</v>
      </c>
      <c r="C109" t="s">
        <v>162</v>
      </c>
      <c r="D109" s="1">
        <v>0.02</v>
      </c>
    </row>
    <row r="110" spans="1:6" x14ac:dyDescent="0.35">
      <c r="A110" t="s">
        <v>314</v>
      </c>
      <c r="B110" t="s">
        <v>315</v>
      </c>
      <c r="C110" t="s">
        <v>239</v>
      </c>
      <c r="D110" s="1">
        <v>0.02</v>
      </c>
    </row>
    <row r="111" spans="1:6" x14ac:dyDescent="0.35">
      <c r="A111" t="s">
        <v>316</v>
      </c>
      <c r="B111" t="s">
        <v>155</v>
      </c>
      <c r="C111" t="s">
        <v>317</v>
      </c>
      <c r="D111" s="1">
        <v>0.64</v>
      </c>
    </row>
    <row r="112" spans="1:6" x14ac:dyDescent="0.35">
      <c r="A112" t="s">
        <v>318</v>
      </c>
      <c r="B112" t="s">
        <v>242</v>
      </c>
      <c r="C112" t="s">
        <v>172</v>
      </c>
      <c r="D112" s="1">
        <v>0.5</v>
      </c>
      <c r="E112">
        <v>-1</v>
      </c>
      <c r="F112" t="s">
        <v>319</v>
      </c>
    </row>
    <row r="113" spans="1:4" x14ac:dyDescent="0.35">
      <c r="A113" t="s">
        <v>320</v>
      </c>
      <c r="B113" t="s">
        <v>321</v>
      </c>
      <c r="C113" t="s">
        <v>322</v>
      </c>
      <c r="D113" s="1">
        <v>0.47</v>
      </c>
    </row>
    <row r="114" spans="1:4" x14ac:dyDescent="0.35">
      <c r="A114" t="s">
        <v>323</v>
      </c>
    </row>
    <row r="115" spans="1:4" x14ac:dyDescent="0.35">
      <c r="A115" t="s">
        <v>323</v>
      </c>
    </row>
    <row r="116" spans="1:4" x14ac:dyDescent="0.35">
      <c r="A116" t="s">
        <v>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9D67-DF46-4A13-B0C6-70691EA52951}">
  <dimension ref="A1:XFD116"/>
  <sheetViews>
    <sheetView topLeftCell="A76" workbookViewId="0">
      <selection sqref="A1:XFD1048576"/>
    </sheetView>
  </sheetViews>
  <sheetFormatPr defaultRowHeight="14.5" x14ac:dyDescent="0.35"/>
  <cols>
    <col min="1" max="1" width="9.36328125" customWidth="1"/>
    <col min="2" max="2" width="13.81640625" customWidth="1"/>
    <col min="3" max="3" width="10.08984375" customWidth="1"/>
    <col min="4" max="4" width="10.36328125" customWidth="1"/>
    <col min="5" max="5" width="8.81640625" customWidth="1"/>
    <col min="6" max="6" width="9.26953125" customWidth="1"/>
    <col min="7" max="15" width="10.453125" customWidth="1"/>
    <col min="16" max="105" width="11.453125" customWidth="1"/>
    <col min="106" max="1005" width="12.453125" customWidth="1"/>
    <col min="1006" max="10005" width="13.453125" customWidth="1"/>
    <col min="10006" max="16384" width="14.453125" customWidth="1"/>
  </cols>
  <sheetData>
    <row r="1" spans="1:16384" x14ac:dyDescent="0.35">
      <c r="A1" t="s">
        <v>16726</v>
      </c>
      <c r="B1" t="s">
        <v>1</v>
      </c>
      <c r="C1" t="s">
        <v>2</v>
      </c>
      <c r="D1" t="s">
        <v>3</v>
      </c>
      <c r="E1" t="s">
        <v>4</v>
      </c>
      <c r="F1" t="s">
        <v>5</v>
      </c>
      <c r="G1" t="s">
        <v>325</v>
      </c>
      <c r="H1" t="s">
        <v>326</v>
      </c>
      <c r="I1" t="s">
        <v>327</v>
      </c>
      <c r="J1" t="s">
        <v>328</v>
      </c>
      <c r="K1" t="s">
        <v>329</v>
      </c>
      <c r="L1" t="s">
        <v>330</v>
      </c>
      <c r="M1" t="s">
        <v>331</v>
      </c>
      <c r="N1" t="s">
        <v>332</v>
      </c>
      <c r="O1" t="s">
        <v>333</v>
      </c>
      <c r="P1" t="s">
        <v>334</v>
      </c>
      <c r="Q1" t="s">
        <v>335</v>
      </c>
      <c r="R1" t="s">
        <v>336</v>
      </c>
      <c r="S1" t="s">
        <v>337</v>
      </c>
      <c r="T1" t="s">
        <v>338</v>
      </c>
      <c r="U1" t="s">
        <v>339</v>
      </c>
      <c r="V1" t="s">
        <v>340</v>
      </c>
      <c r="W1" t="s">
        <v>341</v>
      </c>
      <c r="X1" t="s">
        <v>342</v>
      </c>
      <c r="Y1" t="s">
        <v>343</v>
      </c>
      <c r="Z1" t="s">
        <v>344</v>
      </c>
      <c r="AA1" t="s">
        <v>345</v>
      </c>
      <c r="AB1" t="s">
        <v>346</v>
      </c>
      <c r="AC1" t="s">
        <v>347</v>
      </c>
      <c r="AD1" t="s">
        <v>348</v>
      </c>
      <c r="AE1" t="s">
        <v>349</v>
      </c>
      <c r="AF1" t="s">
        <v>350</v>
      </c>
      <c r="AG1" t="s">
        <v>351</v>
      </c>
      <c r="AH1" t="s">
        <v>352</v>
      </c>
      <c r="AI1" t="s">
        <v>353</v>
      </c>
      <c r="AJ1" t="s">
        <v>354</v>
      </c>
      <c r="AK1" t="s">
        <v>355</v>
      </c>
      <c r="AL1" t="s">
        <v>356</v>
      </c>
      <c r="AM1" t="s">
        <v>357</v>
      </c>
      <c r="AN1" t="s">
        <v>358</v>
      </c>
      <c r="AO1" t="s">
        <v>359</v>
      </c>
      <c r="AP1" t="s">
        <v>360</v>
      </c>
      <c r="AQ1" t="s">
        <v>361</v>
      </c>
      <c r="AR1" t="s">
        <v>362</v>
      </c>
      <c r="AS1" t="s">
        <v>363</v>
      </c>
      <c r="AT1" t="s">
        <v>364</v>
      </c>
      <c r="AU1" t="s">
        <v>365</v>
      </c>
      <c r="AV1" t="s">
        <v>366</v>
      </c>
      <c r="AW1" t="s">
        <v>367</v>
      </c>
      <c r="AX1" t="s">
        <v>368</v>
      </c>
      <c r="AY1" t="s">
        <v>369</v>
      </c>
      <c r="AZ1" t="s">
        <v>370</v>
      </c>
      <c r="BA1" t="s">
        <v>371</v>
      </c>
      <c r="BB1" t="s">
        <v>372</v>
      </c>
      <c r="BC1" t="s">
        <v>373</v>
      </c>
      <c r="BD1" t="s">
        <v>374</v>
      </c>
      <c r="BE1" t="s">
        <v>375</v>
      </c>
      <c r="BF1" t="s">
        <v>376</v>
      </c>
      <c r="BG1" t="s">
        <v>377</v>
      </c>
      <c r="BH1" t="s">
        <v>378</v>
      </c>
      <c r="BI1" t="s">
        <v>379</v>
      </c>
      <c r="BJ1" t="s">
        <v>380</v>
      </c>
      <c r="BK1" t="s">
        <v>381</v>
      </c>
      <c r="BL1" t="s">
        <v>382</v>
      </c>
      <c r="BM1" t="s">
        <v>383</v>
      </c>
      <c r="BN1" t="s">
        <v>384</v>
      </c>
      <c r="BO1" t="s">
        <v>385</v>
      </c>
      <c r="BP1" t="s">
        <v>386</v>
      </c>
      <c r="BQ1" t="s">
        <v>387</v>
      </c>
      <c r="BR1" t="s">
        <v>388</v>
      </c>
      <c r="BS1" t="s">
        <v>389</v>
      </c>
      <c r="BT1" t="s">
        <v>390</v>
      </c>
      <c r="BU1" t="s">
        <v>391</v>
      </c>
      <c r="BV1" t="s">
        <v>392</v>
      </c>
      <c r="BW1" t="s">
        <v>393</v>
      </c>
      <c r="BX1" t="s">
        <v>394</v>
      </c>
      <c r="BY1" t="s">
        <v>395</v>
      </c>
      <c r="BZ1" t="s">
        <v>396</v>
      </c>
      <c r="CA1" t="s">
        <v>397</v>
      </c>
      <c r="CB1" t="s">
        <v>398</v>
      </c>
      <c r="CC1" t="s">
        <v>399</v>
      </c>
      <c r="CD1" t="s">
        <v>400</v>
      </c>
      <c r="CE1" t="s">
        <v>401</v>
      </c>
      <c r="CF1" t="s">
        <v>402</v>
      </c>
      <c r="CG1" t="s">
        <v>403</v>
      </c>
      <c r="CH1" t="s">
        <v>404</v>
      </c>
      <c r="CI1" t="s">
        <v>405</v>
      </c>
      <c r="CJ1" t="s">
        <v>406</v>
      </c>
      <c r="CK1" t="s">
        <v>407</v>
      </c>
      <c r="CL1" t="s">
        <v>408</v>
      </c>
      <c r="CM1" t="s">
        <v>409</v>
      </c>
      <c r="CN1" t="s">
        <v>410</v>
      </c>
      <c r="CO1" t="s">
        <v>411</v>
      </c>
      <c r="CP1" t="s">
        <v>412</v>
      </c>
      <c r="CQ1" t="s">
        <v>413</v>
      </c>
      <c r="CR1" t="s">
        <v>414</v>
      </c>
      <c r="CS1" t="s">
        <v>415</v>
      </c>
      <c r="CT1" t="s">
        <v>416</v>
      </c>
      <c r="CU1" t="s">
        <v>417</v>
      </c>
      <c r="CV1" t="s">
        <v>418</v>
      </c>
      <c r="CW1" t="s">
        <v>419</v>
      </c>
      <c r="CX1" t="s">
        <v>420</v>
      </c>
      <c r="CY1" t="s">
        <v>421</v>
      </c>
      <c r="CZ1" t="s">
        <v>422</v>
      </c>
      <c r="DA1" t="s">
        <v>423</v>
      </c>
      <c r="DB1" t="s">
        <v>424</v>
      </c>
      <c r="DC1" t="s">
        <v>425</v>
      </c>
      <c r="DD1" t="s">
        <v>426</v>
      </c>
      <c r="DE1" t="s">
        <v>427</v>
      </c>
      <c r="DF1" t="s">
        <v>428</v>
      </c>
      <c r="DG1" t="s">
        <v>429</v>
      </c>
      <c r="DH1" t="s">
        <v>430</v>
      </c>
      <c r="DI1" t="s">
        <v>431</v>
      </c>
      <c r="DJ1" t="s">
        <v>432</v>
      </c>
      <c r="DK1" t="s">
        <v>433</v>
      </c>
      <c r="DL1" t="s">
        <v>434</v>
      </c>
      <c r="DM1" t="s">
        <v>435</v>
      </c>
      <c r="DN1" t="s">
        <v>436</v>
      </c>
      <c r="DO1" t="s">
        <v>437</v>
      </c>
      <c r="DP1" t="s">
        <v>438</v>
      </c>
      <c r="DQ1" t="s">
        <v>439</v>
      </c>
      <c r="DR1" t="s">
        <v>440</v>
      </c>
      <c r="DS1" t="s">
        <v>441</v>
      </c>
      <c r="DT1" t="s">
        <v>442</v>
      </c>
      <c r="DU1" t="s">
        <v>443</v>
      </c>
      <c r="DV1" t="s">
        <v>444</v>
      </c>
      <c r="DW1" t="s">
        <v>445</v>
      </c>
      <c r="DX1" t="s">
        <v>446</v>
      </c>
      <c r="DY1" t="s">
        <v>447</v>
      </c>
      <c r="DZ1" t="s">
        <v>448</v>
      </c>
      <c r="EA1" t="s">
        <v>449</v>
      </c>
      <c r="EB1" t="s">
        <v>450</v>
      </c>
      <c r="EC1" t="s">
        <v>451</v>
      </c>
      <c r="ED1" t="s">
        <v>452</v>
      </c>
      <c r="EE1" t="s">
        <v>453</v>
      </c>
      <c r="EF1" t="s">
        <v>454</v>
      </c>
      <c r="EG1" t="s">
        <v>455</v>
      </c>
      <c r="EH1" t="s">
        <v>456</v>
      </c>
      <c r="EI1" t="s">
        <v>457</v>
      </c>
      <c r="EJ1" t="s">
        <v>458</v>
      </c>
      <c r="EK1" t="s">
        <v>459</v>
      </c>
      <c r="EL1" t="s">
        <v>460</v>
      </c>
      <c r="EM1" t="s">
        <v>461</v>
      </c>
      <c r="EN1" t="s">
        <v>462</v>
      </c>
      <c r="EO1" t="s">
        <v>463</v>
      </c>
      <c r="EP1" t="s">
        <v>464</v>
      </c>
      <c r="EQ1" t="s">
        <v>465</v>
      </c>
      <c r="ER1" t="s">
        <v>466</v>
      </c>
      <c r="ES1" t="s">
        <v>467</v>
      </c>
      <c r="ET1" t="s">
        <v>468</v>
      </c>
      <c r="EU1" t="s">
        <v>469</v>
      </c>
      <c r="EV1" t="s">
        <v>470</v>
      </c>
      <c r="EW1" t="s">
        <v>471</v>
      </c>
      <c r="EX1" t="s">
        <v>472</v>
      </c>
      <c r="EY1" t="s">
        <v>473</v>
      </c>
      <c r="EZ1" t="s">
        <v>474</v>
      </c>
      <c r="FA1" t="s">
        <v>475</v>
      </c>
      <c r="FB1" t="s">
        <v>476</v>
      </c>
      <c r="FC1" t="s">
        <v>477</v>
      </c>
      <c r="FD1" t="s">
        <v>478</v>
      </c>
      <c r="FE1" t="s">
        <v>479</v>
      </c>
      <c r="FF1" t="s">
        <v>480</v>
      </c>
      <c r="FG1" t="s">
        <v>481</v>
      </c>
      <c r="FH1" t="s">
        <v>482</v>
      </c>
      <c r="FI1" t="s">
        <v>483</v>
      </c>
      <c r="FJ1" t="s">
        <v>484</v>
      </c>
      <c r="FK1" t="s">
        <v>485</v>
      </c>
      <c r="FL1" t="s">
        <v>486</v>
      </c>
      <c r="FM1" t="s">
        <v>487</v>
      </c>
      <c r="FN1" t="s">
        <v>488</v>
      </c>
      <c r="FO1" t="s">
        <v>489</v>
      </c>
      <c r="FP1" t="s">
        <v>490</v>
      </c>
      <c r="FQ1" t="s">
        <v>491</v>
      </c>
      <c r="FR1" t="s">
        <v>492</v>
      </c>
      <c r="FS1" t="s">
        <v>493</v>
      </c>
      <c r="FT1" t="s">
        <v>494</v>
      </c>
      <c r="FU1" t="s">
        <v>495</v>
      </c>
      <c r="FV1" t="s">
        <v>496</v>
      </c>
      <c r="FW1" t="s">
        <v>497</v>
      </c>
      <c r="FX1" t="s">
        <v>498</v>
      </c>
      <c r="FY1" t="s">
        <v>499</v>
      </c>
      <c r="FZ1" t="s">
        <v>500</v>
      </c>
      <c r="GA1" t="s">
        <v>501</v>
      </c>
      <c r="GB1" t="s">
        <v>502</v>
      </c>
      <c r="GC1" t="s">
        <v>503</v>
      </c>
      <c r="GD1" t="s">
        <v>504</v>
      </c>
      <c r="GE1" t="s">
        <v>505</v>
      </c>
      <c r="GF1" t="s">
        <v>506</v>
      </c>
      <c r="GG1" t="s">
        <v>507</v>
      </c>
      <c r="GH1" t="s">
        <v>508</v>
      </c>
      <c r="GI1" t="s">
        <v>509</v>
      </c>
      <c r="GJ1" t="s">
        <v>510</v>
      </c>
      <c r="GK1" t="s">
        <v>511</v>
      </c>
      <c r="GL1" t="s">
        <v>512</v>
      </c>
      <c r="GM1" t="s">
        <v>513</v>
      </c>
      <c r="GN1" t="s">
        <v>514</v>
      </c>
      <c r="GO1" t="s">
        <v>515</v>
      </c>
      <c r="GP1" t="s">
        <v>516</v>
      </c>
      <c r="GQ1" t="s">
        <v>517</v>
      </c>
      <c r="GR1" t="s">
        <v>518</v>
      </c>
      <c r="GS1" t="s">
        <v>519</v>
      </c>
      <c r="GT1" t="s">
        <v>520</v>
      </c>
      <c r="GU1" t="s">
        <v>521</v>
      </c>
      <c r="GV1" t="s">
        <v>522</v>
      </c>
      <c r="GW1" t="s">
        <v>523</v>
      </c>
      <c r="GX1" t="s">
        <v>524</v>
      </c>
      <c r="GY1" t="s">
        <v>525</v>
      </c>
      <c r="GZ1" t="s">
        <v>526</v>
      </c>
      <c r="HA1" t="s">
        <v>527</v>
      </c>
      <c r="HB1" t="s">
        <v>528</v>
      </c>
      <c r="HC1" t="s">
        <v>529</v>
      </c>
      <c r="HD1" t="s">
        <v>530</v>
      </c>
      <c r="HE1" t="s">
        <v>531</v>
      </c>
      <c r="HF1" t="s">
        <v>532</v>
      </c>
      <c r="HG1" t="s">
        <v>533</v>
      </c>
      <c r="HH1" t="s">
        <v>534</v>
      </c>
      <c r="HI1" t="s">
        <v>535</v>
      </c>
      <c r="HJ1" t="s">
        <v>536</v>
      </c>
      <c r="HK1" t="s">
        <v>537</v>
      </c>
      <c r="HL1" t="s">
        <v>538</v>
      </c>
      <c r="HM1" t="s">
        <v>539</v>
      </c>
      <c r="HN1" t="s">
        <v>540</v>
      </c>
      <c r="HO1" t="s">
        <v>541</v>
      </c>
      <c r="HP1" t="s">
        <v>542</v>
      </c>
      <c r="HQ1" t="s">
        <v>543</v>
      </c>
      <c r="HR1" t="s">
        <v>544</v>
      </c>
      <c r="HS1" t="s">
        <v>545</v>
      </c>
      <c r="HT1" t="s">
        <v>546</v>
      </c>
      <c r="HU1" t="s">
        <v>547</v>
      </c>
      <c r="HV1" t="s">
        <v>548</v>
      </c>
      <c r="HW1" t="s">
        <v>549</v>
      </c>
      <c r="HX1" t="s">
        <v>550</v>
      </c>
      <c r="HY1" t="s">
        <v>551</v>
      </c>
      <c r="HZ1" t="s">
        <v>552</v>
      </c>
      <c r="IA1" t="s">
        <v>553</v>
      </c>
      <c r="IB1" t="s">
        <v>554</v>
      </c>
      <c r="IC1" t="s">
        <v>555</v>
      </c>
      <c r="ID1" t="s">
        <v>556</v>
      </c>
      <c r="IE1" t="s">
        <v>557</v>
      </c>
      <c r="IF1" t="s">
        <v>558</v>
      </c>
      <c r="IG1" t="s">
        <v>559</v>
      </c>
      <c r="IH1" t="s">
        <v>560</v>
      </c>
      <c r="II1" t="s">
        <v>561</v>
      </c>
      <c r="IJ1" t="s">
        <v>562</v>
      </c>
      <c r="IK1" t="s">
        <v>563</v>
      </c>
      <c r="IL1" t="s">
        <v>564</v>
      </c>
      <c r="IM1" t="s">
        <v>565</v>
      </c>
      <c r="IN1" t="s">
        <v>566</v>
      </c>
      <c r="IO1" t="s">
        <v>567</v>
      </c>
      <c r="IP1" t="s">
        <v>568</v>
      </c>
      <c r="IQ1" t="s">
        <v>569</v>
      </c>
      <c r="IR1" t="s">
        <v>570</v>
      </c>
      <c r="IS1" t="s">
        <v>571</v>
      </c>
      <c r="IT1" t="s">
        <v>572</v>
      </c>
      <c r="IU1" t="s">
        <v>573</v>
      </c>
      <c r="IV1" t="s">
        <v>574</v>
      </c>
      <c r="IW1" t="s">
        <v>575</v>
      </c>
      <c r="IX1" t="s">
        <v>576</v>
      </c>
      <c r="IY1" t="s">
        <v>577</v>
      </c>
      <c r="IZ1" t="s">
        <v>578</v>
      </c>
      <c r="JA1" t="s">
        <v>579</v>
      </c>
      <c r="JB1" t="s">
        <v>580</v>
      </c>
      <c r="JC1" t="s">
        <v>581</v>
      </c>
      <c r="JD1" t="s">
        <v>582</v>
      </c>
      <c r="JE1" t="s">
        <v>583</v>
      </c>
      <c r="JF1" t="s">
        <v>584</v>
      </c>
      <c r="JG1" t="s">
        <v>585</v>
      </c>
      <c r="JH1" t="s">
        <v>586</v>
      </c>
      <c r="JI1" t="s">
        <v>587</v>
      </c>
      <c r="JJ1" t="s">
        <v>588</v>
      </c>
      <c r="JK1" t="s">
        <v>589</v>
      </c>
      <c r="JL1" t="s">
        <v>590</v>
      </c>
      <c r="JM1" t="s">
        <v>591</v>
      </c>
      <c r="JN1" t="s">
        <v>592</v>
      </c>
      <c r="JO1" t="s">
        <v>593</v>
      </c>
      <c r="JP1" t="s">
        <v>594</v>
      </c>
      <c r="JQ1" t="s">
        <v>595</v>
      </c>
      <c r="JR1" t="s">
        <v>596</v>
      </c>
      <c r="JS1" t="s">
        <v>597</v>
      </c>
      <c r="JT1" t="s">
        <v>598</v>
      </c>
      <c r="JU1" t="s">
        <v>599</v>
      </c>
      <c r="JV1" t="s">
        <v>600</v>
      </c>
      <c r="JW1" t="s">
        <v>601</v>
      </c>
      <c r="JX1" t="s">
        <v>602</v>
      </c>
      <c r="JY1" t="s">
        <v>603</v>
      </c>
      <c r="JZ1" t="s">
        <v>604</v>
      </c>
      <c r="KA1" t="s">
        <v>605</v>
      </c>
      <c r="KB1" t="s">
        <v>606</v>
      </c>
      <c r="KC1" t="s">
        <v>607</v>
      </c>
      <c r="KD1" t="s">
        <v>608</v>
      </c>
      <c r="KE1" t="s">
        <v>609</v>
      </c>
      <c r="KF1" t="s">
        <v>610</v>
      </c>
      <c r="KG1" t="s">
        <v>611</v>
      </c>
      <c r="KH1" t="s">
        <v>612</v>
      </c>
      <c r="KI1" t="s">
        <v>613</v>
      </c>
      <c r="KJ1" t="s">
        <v>614</v>
      </c>
      <c r="KK1" t="s">
        <v>615</v>
      </c>
      <c r="KL1" t="s">
        <v>616</v>
      </c>
      <c r="KM1" t="s">
        <v>617</v>
      </c>
      <c r="KN1" t="s">
        <v>618</v>
      </c>
      <c r="KO1" t="s">
        <v>619</v>
      </c>
      <c r="KP1" t="s">
        <v>620</v>
      </c>
      <c r="KQ1" t="s">
        <v>621</v>
      </c>
      <c r="KR1" t="s">
        <v>622</v>
      </c>
      <c r="KS1" t="s">
        <v>623</v>
      </c>
      <c r="KT1" t="s">
        <v>624</v>
      </c>
      <c r="KU1" t="s">
        <v>625</v>
      </c>
      <c r="KV1" t="s">
        <v>626</v>
      </c>
      <c r="KW1" t="s">
        <v>627</v>
      </c>
      <c r="KX1" t="s">
        <v>628</v>
      </c>
      <c r="KY1" t="s">
        <v>629</v>
      </c>
      <c r="KZ1" t="s">
        <v>630</v>
      </c>
      <c r="LA1" t="s">
        <v>631</v>
      </c>
      <c r="LB1" t="s">
        <v>632</v>
      </c>
      <c r="LC1" t="s">
        <v>633</v>
      </c>
      <c r="LD1" t="s">
        <v>634</v>
      </c>
      <c r="LE1" t="s">
        <v>635</v>
      </c>
      <c r="LF1" t="s">
        <v>636</v>
      </c>
      <c r="LG1" t="s">
        <v>637</v>
      </c>
      <c r="LH1" t="s">
        <v>638</v>
      </c>
      <c r="LI1" t="s">
        <v>639</v>
      </c>
      <c r="LJ1" t="s">
        <v>640</v>
      </c>
      <c r="LK1" t="s">
        <v>641</v>
      </c>
      <c r="LL1" t="s">
        <v>642</v>
      </c>
      <c r="LM1" t="s">
        <v>643</v>
      </c>
      <c r="LN1" t="s">
        <v>644</v>
      </c>
      <c r="LO1" t="s">
        <v>645</v>
      </c>
      <c r="LP1" t="s">
        <v>646</v>
      </c>
      <c r="LQ1" t="s">
        <v>647</v>
      </c>
      <c r="LR1" t="s">
        <v>648</v>
      </c>
      <c r="LS1" t="s">
        <v>649</v>
      </c>
      <c r="LT1" t="s">
        <v>650</v>
      </c>
      <c r="LU1" t="s">
        <v>651</v>
      </c>
      <c r="LV1" t="s">
        <v>652</v>
      </c>
      <c r="LW1" t="s">
        <v>653</v>
      </c>
      <c r="LX1" t="s">
        <v>654</v>
      </c>
      <c r="LY1" t="s">
        <v>655</v>
      </c>
      <c r="LZ1" t="s">
        <v>656</v>
      </c>
      <c r="MA1" t="s">
        <v>657</v>
      </c>
      <c r="MB1" t="s">
        <v>658</v>
      </c>
      <c r="MC1" t="s">
        <v>659</v>
      </c>
      <c r="MD1" t="s">
        <v>660</v>
      </c>
      <c r="ME1" t="s">
        <v>661</v>
      </c>
      <c r="MF1" t="s">
        <v>662</v>
      </c>
      <c r="MG1" t="s">
        <v>663</v>
      </c>
      <c r="MH1" t="s">
        <v>664</v>
      </c>
      <c r="MI1" t="s">
        <v>665</v>
      </c>
      <c r="MJ1" t="s">
        <v>666</v>
      </c>
      <c r="MK1" t="s">
        <v>667</v>
      </c>
      <c r="ML1" t="s">
        <v>668</v>
      </c>
      <c r="MM1" t="s">
        <v>669</v>
      </c>
      <c r="MN1" t="s">
        <v>670</v>
      </c>
      <c r="MO1" t="s">
        <v>671</v>
      </c>
      <c r="MP1" t="s">
        <v>672</v>
      </c>
      <c r="MQ1" t="s">
        <v>673</v>
      </c>
      <c r="MR1" t="s">
        <v>674</v>
      </c>
      <c r="MS1" t="s">
        <v>675</v>
      </c>
      <c r="MT1" t="s">
        <v>676</v>
      </c>
      <c r="MU1" t="s">
        <v>677</v>
      </c>
      <c r="MV1" t="s">
        <v>678</v>
      </c>
      <c r="MW1" t="s">
        <v>679</v>
      </c>
      <c r="MX1" t="s">
        <v>680</v>
      </c>
      <c r="MY1" t="s">
        <v>681</v>
      </c>
      <c r="MZ1" t="s">
        <v>682</v>
      </c>
      <c r="NA1" t="s">
        <v>683</v>
      </c>
      <c r="NB1" t="s">
        <v>684</v>
      </c>
      <c r="NC1" t="s">
        <v>685</v>
      </c>
      <c r="ND1" t="s">
        <v>686</v>
      </c>
      <c r="NE1" t="s">
        <v>687</v>
      </c>
      <c r="NF1" t="s">
        <v>688</v>
      </c>
      <c r="NG1" t="s">
        <v>689</v>
      </c>
      <c r="NH1" t="s">
        <v>690</v>
      </c>
      <c r="NI1" t="s">
        <v>691</v>
      </c>
      <c r="NJ1" t="s">
        <v>692</v>
      </c>
      <c r="NK1" t="s">
        <v>693</v>
      </c>
      <c r="NL1" t="s">
        <v>694</v>
      </c>
      <c r="NM1" t="s">
        <v>695</v>
      </c>
      <c r="NN1" t="s">
        <v>696</v>
      </c>
      <c r="NO1" t="s">
        <v>697</v>
      </c>
      <c r="NP1" t="s">
        <v>698</v>
      </c>
      <c r="NQ1" t="s">
        <v>699</v>
      </c>
      <c r="NR1" t="s">
        <v>700</v>
      </c>
      <c r="NS1" t="s">
        <v>701</v>
      </c>
      <c r="NT1" t="s">
        <v>702</v>
      </c>
      <c r="NU1" t="s">
        <v>703</v>
      </c>
      <c r="NV1" t="s">
        <v>704</v>
      </c>
      <c r="NW1" t="s">
        <v>705</v>
      </c>
      <c r="NX1" t="s">
        <v>706</v>
      </c>
      <c r="NY1" t="s">
        <v>707</v>
      </c>
      <c r="NZ1" t="s">
        <v>708</v>
      </c>
      <c r="OA1" t="s">
        <v>709</v>
      </c>
      <c r="OB1" t="s">
        <v>710</v>
      </c>
      <c r="OC1" t="s">
        <v>711</v>
      </c>
      <c r="OD1" t="s">
        <v>712</v>
      </c>
      <c r="OE1" t="s">
        <v>713</v>
      </c>
      <c r="OF1" t="s">
        <v>714</v>
      </c>
      <c r="OG1" t="s">
        <v>715</v>
      </c>
      <c r="OH1" t="s">
        <v>716</v>
      </c>
      <c r="OI1" t="s">
        <v>717</v>
      </c>
      <c r="OJ1" t="s">
        <v>718</v>
      </c>
      <c r="OK1" t="s">
        <v>719</v>
      </c>
      <c r="OL1" t="s">
        <v>720</v>
      </c>
      <c r="OM1" t="s">
        <v>721</v>
      </c>
      <c r="ON1" t="s">
        <v>722</v>
      </c>
      <c r="OO1" t="s">
        <v>723</v>
      </c>
      <c r="OP1" t="s">
        <v>724</v>
      </c>
      <c r="OQ1" t="s">
        <v>725</v>
      </c>
      <c r="OR1" t="s">
        <v>726</v>
      </c>
      <c r="OS1" t="s">
        <v>727</v>
      </c>
      <c r="OT1" t="s">
        <v>728</v>
      </c>
      <c r="OU1" t="s">
        <v>729</v>
      </c>
      <c r="OV1" t="s">
        <v>730</v>
      </c>
      <c r="OW1" t="s">
        <v>731</v>
      </c>
      <c r="OX1" t="s">
        <v>732</v>
      </c>
      <c r="OY1" t="s">
        <v>733</v>
      </c>
      <c r="OZ1" t="s">
        <v>734</v>
      </c>
      <c r="PA1" t="s">
        <v>735</v>
      </c>
      <c r="PB1" t="s">
        <v>736</v>
      </c>
      <c r="PC1" t="s">
        <v>737</v>
      </c>
      <c r="PD1" t="s">
        <v>738</v>
      </c>
      <c r="PE1" t="s">
        <v>739</v>
      </c>
      <c r="PF1" t="s">
        <v>740</v>
      </c>
      <c r="PG1" t="s">
        <v>741</v>
      </c>
      <c r="PH1" t="s">
        <v>742</v>
      </c>
      <c r="PI1" t="s">
        <v>743</v>
      </c>
      <c r="PJ1" t="s">
        <v>744</v>
      </c>
      <c r="PK1" t="s">
        <v>745</v>
      </c>
      <c r="PL1" t="s">
        <v>746</v>
      </c>
      <c r="PM1" t="s">
        <v>747</v>
      </c>
      <c r="PN1" t="s">
        <v>748</v>
      </c>
      <c r="PO1" t="s">
        <v>749</v>
      </c>
      <c r="PP1" t="s">
        <v>750</v>
      </c>
      <c r="PQ1" t="s">
        <v>751</v>
      </c>
      <c r="PR1" t="s">
        <v>752</v>
      </c>
      <c r="PS1" t="s">
        <v>753</v>
      </c>
      <c r="PT1" t="s">
        <v>754</v>
      </c>
      <c r="PU1" t="s">
        <v>755</v>
      </c>
      <c r="PV1" t="s">
        <v>756</v>
      </c>
      <c r="PW1" t="s">
        <v>757</v>
      </c>
      <c r="PX1" t="s">
        <v>758</v>
      </c>
      <c r="PY1" t="s">
        <v>759</v>
      </c>
      <c r="PZ1" t="s">
        <v>760</v>
      </c>
      <c r="QA1" t="s">
        <v>761</v>
      </c>
      <c r="QB1" t="s">
        <v>762</v>
      </c>
      <c r="QC1" t="s">
        <v>763</v>
      </c>
      <c r="QD1" t="s">
        <v>764</v>
      </c>
      <c r="QE1" t="s">
        <v>765</v>
      </c>
      <c r="QF1" t="s">
        <v>766</v>
      </c>
      <c r="QG1" t="s">
        <v>767</v>
      </c>
      <c r="QH1" t="s">
        <v>768</v>
      </c>
      <c r="QI1" t="s">
        <v>769</v>
      </c>
      <c r="QJ1" t="s">
        <v>770</v>
      </c>
      <c r="QK1" t="s">
        <v>771</v>
      </c>
      <c r="QL1" t="s">
        <v>772</v>
      </c>
      <c r="QM1" t="s">
        <v>773</v>
      </c>
      <c r="QN1" t="s">
        <v>774</v>
      </c>
      <c r="QO1" t="s">
        <v>775</v>
      </c>
      <c r="QP1" t="s">
        <v>776</v>
      </c>
      <c r="QQ1" t="s">
        <v>777</v>
      </c>
      <c r="QR1" t="s">
        <v>778</v>
      </c>
      <c r="QS1" t="s">
        <v>779</v>
      </c>
      <c r="QT1" t="s">
        <v>780</v>
      </c>
      <c r="QU1" t="s">
        <v>781</v>
      </c>
      <c r="QV1" t="s">
        <v>782</v>
      </c>
      <c r="QW1" t="s">
        <v>783</v>
      </c>
      <c r="QX1" t="s">
        <v>784</v>
      </c>
      <c r="QY1" t="s">
        <v>785</v>
      </c>
      <c r="QZ1" t="s">
        <v>786</v>
      </c>
      <c r="RA1" t="s">
        <v>787</v>
      </c>
      <c r="RB1" t="s">
        <v>788</v>
      </c>
      <c r="RC1" t="s">
        <v>789</v>
      </c>
      <c r="RD1" t="s">
        <v>790</v>
      </c>
      <c r="RE1" t="s">
        <v>791</v>
      </c>
      <c r="RF1" t="s">
        <v>792</v>
      </c>
      <c r="RG1" t="s">
        <v>793</v>
      </c>
      <c r="RH1" t="s">
        <v>794</v>
      </c>
      <c r="RI1" t="s">
        <v>795</v>
      </c>
      <c r="RJ1" t="s">
        <v>796</v>
      </c>
      <c r="RK1" t="s">
        <v>797</v>
      </c>
      <c r="RL1" t="s">
        <v>798</v>
      </c>
      <c r="RM1" t="s">
        <v>799</v>
      </c>
      <c r="RN1" t="s">
        <v>800</v>
      </c>
      <c r="RO1" t="s">
        <v>801</v>
      </c>
      <c r="RP1" t="s">
        <v>802</v>
      </c>
      <c r="RQ1" t="s">
        <v>803</v>
      </c>
      <c r="RR1" t="s">
        <v>804</v>
      </c>
      <c r="RS1" t="s">
        <v>805</v>
      </c>
      <c r="RT1" t="s">
        <v>806</v>
      </c>
      <c r="RU1" t="s">
        <v>807</v>
      </c>
      <c r="RV1" t="s">
        <v>808</v>
      </c>
      <c r="RW1" t="s">
        <v>809</v>
      </c>
      <c r="RX1" t="s">
        <v>810</v>
      </c>
      <c r="RY1" t="s">
        <v>811</v>
      </c>
      <c r="RZ1" t="s">
        <v>812</v>
      </c>
      <c r="SA1" t="s">
        <v>813</v>
      </c>
      <c r="SB1" t="s">
        <v>814</v>
      </c>
      <c r="SC1" t="s">
        <v>815</v>
      </c>
      <c r="SD1" t="s">
        <v>816</v>
      </c>
      <c r="SE1" t="s">
        <v>817</v>
      </c>
      <c r="SF1" t="s">
        <v>818</v>
      </c>
      <c r="SG1" t="s">
        <v>819</v>
      </c>
      <c r="SH1" t="s">
        <v>820</v>
      </c>
      <c r="SI1" t="s">
        <v>821</v>
      </c>
      <c r="SJ1" t="s">
        <v>822</v>
      </c>
      <c r="SK1" t="s">
        <v>823</v>
      </c>
      <c r="SL1" t="s">
        <v>824</v>
      </c>
      <c r="SM1" t="s">
        <v>825</v>
      </c>
      <c r="SN1" t="s">
        <v>826</v>
      </c>
      <c r="SO1" t="s">
        <v>827</v>
      </c>
      <c r="SP1" t="s">
        <v>828</v>
      </c>
      <c r="SQ1" t="s">
        <v>829</v>
      </c>
      <c r="SR1" t="s">
        <v>830</v>
      </c>
      <c r="SS1" t="s">
        <v>831</v>
      </c>
      <c r="ST1" t="s">
        <v>832</v>
      </c>
      <c r="SU1" t="s">
        <v>833</v>
      </c>
      <c r="SV1" t="s">
        <v>834</v>
      </c>
      <c r="SW1" t="s">
        <v>835</v>
      </c>
      <c r="SX1" t="s">
        <v>836</v>
      </c>
      <c r="SY1" t="s">
        <v>837</v>
      </c>
      <c r="SZ1" t="s">
        <v>838</v>
      </c>
      <c r="TA1" t="s">
        <v>839</v>
      </c>
      <c r="TB1" t="s">
        <v>840</v>
      </c>
      <c r="TC1" t="s">
        <v>841</v>
      </c>
      <c r="TD1" t="s">
        <v>842</v>
      </c>
      <c r="TE1" t="s">
        <v>843</v>
      </c>
      <c r="TF1" t="s">
        <v>844</v>
      </c>
      <c r="TG1" t="s">
        <v>845</v>
      </c>
      <c r="TH1" t="s">
        <v>846</v>
      </c>
      <c r="TI1" t="s">
        <v>847</v>
      </c>
      <c r="TJ1" t="s">
        <v>848</v>
      </c>
      <c r="TK1" t="s">
        <v>849</v>
      </c>
      <c r="TL1" t="s">
        <v>850</v>
      </c>
      <c r="TM1" t="s">
        <v>851</v>
      </c>
      <c r="TN1" t="s">
        <v>852</v>
      </c>
      <c r="TO1" t="s">
        <v>853</v>
      </c>
      <c r="TP1" t="s">
        <v>854</v>
      </c>
      <c r="TQ1" t="s">
        <v>855</v>
      </c>
      <c r="TR1" t="s">
        <v>856</v>
      </c>
      <c r="TS1" t="s">
        <v>857</v>
      </c>
      <c r="TT1" t="s">
        <v>858</v>
      </c>
      <c r="TU1" t="s">
        <v>859</v>
      </c>
      <c r="TV1" t="s">
        <v>860</v>
      </c>
      <c r="TW1" t="s">
        <v>861</v>
      </c>
      <c r="TX1" t="s">
        <v>862</v>
      </c>
      <c r="TY1" t="s">
        <v>863</v>
      </c>
      <c r="TZ1" t="s">
        <v>864</v>
      </c>
      <c r="UA1" t="s">
        <v>865</v>
      </c>
      <c r="UB1" t="s">
        <v>866</v>
      </c>
      <c r="UC1" t="s">
        <v>867</v>
      </c>
      <c r="UD1" t="s">
        <v>868</v>
      </c>
      <c r="UE1" t="s">
        <v>869</v>
      </c>
      <c r="UF1" t="s">
        <v>870</v>
      </c>
      <c r="UG1" t="s">
        <v>871</v>
      </c>
      <c r="UH1" t="s">
        <v>872</v>
      </c>
      <c r="UI1" t="s">
        <v>873</v>
      </c>
      <c r="UJ1" t="s">
        <v>874</v>
      </c>
      <c r="UK1" t="s">
        <v>875</v>
      </c>
      <c r="UL1" t="s">
        <v>876</v>
      </c>
      <c r="UM1" t="s">
        <v>877</v>
      </c>
      <c r="UN1" t="s">
        <v>878</v>
      </c>
      <c r="UO1" t="s">
        <v>879</v>
      </c>
      <c r="UP1" t="s">
        <v>880</v>
      </c>
      <c r="UQ1" t="s">
        <v>881</v>
      </c>
      <c r="UR1" t="s">
        <v>882</v>
      </c>
      <c r="US1" t="s">
        <v>883</v>
      </c>
      <c r="UT1" t="s">
        <v>884</v>
      </c>
      <c r="UU1" t="s">
        <v>885</v>
      </c>
      <c r="UV1" t="s">
        <v>886</v>
      </c>
      <c r="UW1" t="s">
        <v>887</v>
      </c>
      <c r="UX1" t="s">
        <v>888</v>
      </c>
      <c r="UY1" t="s">
        <v>889</v>
      </c>
      <c r="UZ1" t="s">
        <v>890</v>
      </c>
      <c r="VA1" t="s">
        <v>891</v>
      </c>
      <c r="VB1" t="s">
        <v>892</v>
      </c>
      <c r="VC1" t="s">
        <v>893</v>
      </c>
      <c r="VD1" t="s">
        <v>894</v>
      </c>
      <c r="VE1" t="s">
        <v>895</v>
      </c>
      <c r="VF1" t="s">
        <v>896</v>
      </c>
      <c r="VG1" t="s">
        <v>897</v>
      </c>
      <c r="VH1" t="s">
        <v>898</v>
      </c>
      <c r="VI1" t="s">
        <v>899</v>
      </c>
      <c r="VJ1" t="s">
        <v>900</v>
      </c>
      <c r="VK1" t="s">
        <v>901</v>
      </c>
      <c r="VL1" t="s">
        <v>902</v>
      </c>
      <c r="VM1" t="s">
        <v>903</v>
      </c>
      <c r="VN1" t="s">
        <v>904</v>
      </c>
      <c r="VO1" t="s">
        <v>905</v>
      </c>
      <c r="VP1" t="s">
        <v>906</v>
      </c>
      <c r="VQ1" t="s">
        <v>907</v>
      </c>
      <c r="VR1" t="s">
        <v>908</v>
      </c>
      <c r="VS1" t="s">
        <v>909</v>
      </c>
      <c r="VT1" t="s">
        <v>910</v>
      </c>
      <c r="VU1" t="s">
        <v>911</v>
      </c>
      <c r="VV1" t="s">
        <v>912</v>
      </c>
      <c r="VW1" t="s">
        <v>913</v>
      </c>
      <c r="VX1" t="s">
        <v>914</v>
      </c>
      <c r="VY1" t="s">
        <v>915</v>
      </c>
      <c r="VZ1" t="s">
        <v>916</v>
      </c>
      <c r="WA1" t="s">
        <v>917</v>
      </c>
      <c r="WB1" t="s">
        <v>918</v>
      </c>
      <c r="WC1" t="s">
        <v>919</v>
      </c>
      <c r="WD1" t="s">
        <v>920</v>
      </c>
      <c r="WE1" t="s">
        <v>921</v>
      </c>
      <c r="WF1" t="s">
        <v>922</v>
      </c>
      <c r="WG1" t="s">
        <v>923</v>
      </c>
      <c r="WH1" t="s">
        <v>924</v>
      </c>
      <c r="WI1" t="s">
        <v>925</v>
      </c>
      <c r="WJ1" t="s">
        <v>926</v>
      </c>
      <c r="WK1" t="s">
        <v>927</v>
      </c>
      <c r="WL1" t="s">
        <v>928</v>
      </c>
      <c r="WM1" t="s">
        <v>929</v>
      </c>
      <c r="WN1" t="s">
        <v>930</v>
      </c>
      <c r="WO1" t="s">
        <v>931</v>
      </c>
      <c r="WP1" t="s">
        <v>932</v>
      </c>
      <c r="WQ1" t="s">
        <v>933</v>
      </c>
      <c r="WR1" t="s">
        <v>934</v>
      </c>
      <c r="WS1" t="s">
        <v>935</v>
      </c>
      <c r="WT1" t="s">
        <v>936</v>
      </c>
      <c r="WU1" t="s">
        <v>937</v>
      </c>
      <c r="WV1" t="s">
        <v>938</v>
      </c>
      <c r="WW1" t="s">
        <v>939</v>
      </c>
      <c r="WX1" t="s">
        <v>940</v>
      </c>
      <c r="WY1" t="s">
        <v>941</v>
      </c>
      <c r="WZ1" t="s">
        <v>942</v>
      </c>
      <c r="XA1" t="s">
        <v>943</v>
      </c>
      <c r="XB1" t="s">
        <v>944</v>
      </c>
      <c r="XC1" t="s">
        <v>945</v>
      </c>
      <c r="XD1" t="s">
        <v>946</v>
      </c>
      <c r="XE1" t="s">
        <v>947</v>
      </c>
      <c r="XF1" t="s">
        <v>948</v>
      </c>
      <c r="XG1" t="s">
        <v>949</v>
      </c>
      <c r="XH1" t="s">
        <v>950</v>
      </c>
      <c r="XI1" t="s">
        <v>951</v>
      </c>
      <c r="XJ1" t="s">
        <v>952</v>
      </c>
      <c r="XK1" t="s">
        <v>953</v>
      </c>
      <c r="XL1" t="s">
        <v>954</v>
      </c>
      <c r="XM1" t="s">
        <v>955</v>
      </c>
      <c r="XN1" t="s">
        <v>956</v>
      </c>
      <c r="XO1" t="s">
        <v>957</v>
      </c>
      <c r="XP1" t="s">
        <v>958</v>
      </c>
      <c r="XQ1" t="s">
        <v>959</v>
      </c>
      <c r="XR1" t="s">
        <v>960</v>
      </c>
      <c r="XS1" t="s">
        <v>961</v>
      </c>
      <c r="XT1" t="s">
        <v>962</v>
      </c>
      <c r="XU1" t="s">
        <v>963</v>
      </c>
      <c r="XV1" t="s">
        <v>964</v>
      </c>
      <c r="XW1" t="s">
        <v>965</v>
      </c>
      <c r="XX1" t="s">
        <v>966</v>
      </c>
      <c r="XY1" t="s">
        <v>967</v>
      </c>
      <c r="XZ1" t="s">
        <v>968</v>
      </c>
      <c r="YA1" t="s">
        <v>969</v>
      </c>
      <c r="YB1" t="s">
        <v>970</v>
      </c>
      <c r="YC1" t="s">
        <v>971</v>
      </c>
      <c r="YD1" t="s">
        <v>972</v>
      </c>
      <c r="YE1" t="s">
        <v>973</v>
      </c>
      <c r="YF1" t="s">
        <v>974</v>
      </c>
      <c r="YG1" t="s">
        <v>975</v>
      </c>
      <c r="YH1" t="s">
        <v>976</v>
      </c>
      <c r="YI1" t="s">
        <v>977</v>
      </c>
      <c r="YJ1" t="s">
        <v>978</v>
      </c>
      <c r="YK1" t="s">
        <v>979</v>
      </c>
      <c r="YL1" t="s">
        <v>980</v>
      </c>
      <c r="YM1" t="s">
        <v>981</v>
      </c>
      <c r="YN1" t="s">
        <v>982</v>
      </c>
      <c r="YO1" t="s">
        <v>983</v>
      </c>
      <c r="YP1" t="s">
        <v>984</v>
      </c>
      <c r="YQ1" t="s">
        <v>985</v>
      </c>
      <c r="YR1" t="s">
        <v>986</v>
      </c>
      <c r="YS1" t="s">
        <v>987</v>
      </c>
      <c r="YT1" t="s">
        <v>988</v>
      </c>
      <c r="YU1" t="s">
        <v>989</v>
      </c>
      <c r="YV1" t="s">
        <v>990</v>
      </c>
      <c r="YW1" t="s">
        <v>991</v>
      </c>
      <c r="YX1" t="s">
        <v>992</v>
      </c>
      <c r="YY1" t="s">
        <v>993</v>
      </c>
      <c r="YZ1" t="s">
        <v>994</v>
      </c>
      <c r="ZA1" t="s">
        <v>995</v>
      </c>
      <c r="ZB1" t="s">
        <v>996</v>
      </c>
      <c r="ZC1" t="s">
        <v>997</v>
      </c>
      <c r="ZD1" t="s">
        <v>998</v>
      </c>
      <c r="ZE1" t="s">
        <v>999</v>
      </c>
      <c r="ZF1" t="s">
        <v>1000</v>
      </c>
      <c r="ZG1" t="s">
        <v>1001</v>
      </c>
      <c r="ZH1" t="s">
        <v>1002</v>
      </c>
      <c r="ZI1" t="s">
        <v>1003</v>
      </c>
      <c r="ZJ1" t="s">
        <v>1004</v>
      </c>
      <c r="ZK1" t="s">
        <v>1005</v>
      </c>
      <c r="ZL1" t="s">
        <v>1006</v>
      </c>
      <c r="ZM1" t="s">
        <v>1007</v>
      </c>
      <c r="ZN1" t="s">
        <v>1008</v>
      </c>
      <c r="ZO1" t="s">
        <v>1009</v>
      </c>
      <c r="ZP1" t="s">
        <v>1010</v>
      </c>
      <c r="ZQ1" t="s">
        <v>1011</v>
      </c>
      <c r="ZR1" t="s">
        <v>1012</v>
      </c>
      <c r="ZS1" t="s">
        <v>1013</v>
      </c>
      <c r="ZT1" t="s">
        <v>1014</v>
      </c>
      <c r="ZU1" t="s">
        <v>1015</v>
      </c>
      <c r="ZV1" t="s">
        <v>1016</v>
      </c>
      <c r="ZW1" t="s">
        <v>1017</v>
      </c>
      <c r="ZX1" t="s">
        <v>1018</v>
      </c>
      <c r="ZY1" t="s">
        <v>1019</v>
      </c>
      <c r="ZZ1" t="s">
        <v>1020</v>
      </c>
      <c r="AAA1" t="s">
        <v>1021</v>
      </c>
      <c r="AAB1" t="s">
        <v>1022</v>
      </c>
      <c r="AAC1" t="s">
        <v>1023</v>
      </c>
      <c r="AAD1" t="s">
        <v>1024</v>
      </c>
      <c r="AAE1" t="s">
        <v>1025</v>
      </c>
      <c r="AAF1" t="s">
        <v>1026</v>
      </c>
      <c r="AAG1" t="s">
        <v>1027</v>
      </c>
      <c r="AAH1" t="s">
        <v>1028</v>
      </c>
      <c r="AAI1" t="s">
        <v>1029</v>
      </c>
      <c r="AAJ1" t="s">
        <v>1030</v>
      </c>
      <c r="AAK1" t="s">
        <v>1031</v>
      </c>
      <c r="AAL1" t="s">
        <v>1032</v>
      </c>
      <c r="AAM1" t="s">
        <v>1033</v>
      </c>
      <c r="AAN1" t="s">
        <v>1034</v>
      </c>
      <c r="AAO1" t="s">
        <v>1035</v>
      </c>
      <c r="AAP1" t="s">
        <v>1036</v>
      </c>
      <c r="AAQ1" t="s">
        <v>1037</v>
      </c>
      <c r="AAR1" t="s">
        <v>1038</v>
      </c>
      <c r="AAS1" t="s">
        <v>1039</v>
      </c>
      <c r="AAT1" t="s">
        <v>1040</v>
      </c>
      <c r="AAU1" t="s">
        <v>1041</v>
      </c>
      <c r="AAV1" t="s">
        <v>1042</v>
      </c>
      <c r="AAW1" t="s">
        <v>1043</v>
      </c>
      <c r="AAX1" t="s">
        <v>1044</v>
      </c>
      <c r="AAY1" t="s">
        <v>1045</v>
      </c>
      <c r="AAZ1" t="s">
        <v>1046</v>
      </c>
      <c r="ABA1" t="s">
        <v>1047</v>
      </c>
      <c r="ABB1" t="s">
        <v>1048</v>
      </c>
      <c r="ABC1" t="s">
        <v>1049</v>
      </c>
      <c r="ABD1" t="s">
        <v>1050</v>
      </c>
      <c r="ABE1" t="s">
        <v>1051</v>
      </c>
      <c r="ABF1" t="s">
        <v>1052</v>
      </c>
      <c r="ABG1" t="s">
        <v>1053</v>
      </c>
      <c r="ABH1" t="s">
        <v>1054</v>
      </c>
      <c r="ABI1" t="s">
        <v>1055</v>
      </c>
      <c r="ABJ1" t="s">
        <v>1056</v>
      </c>
      <c r="ABK1" t="s">
        <v>1057</v>
      </c>
      <c r="ABL1" t="s">
        <v>1058</v>
      </c>
      <c r="ABM1" t="s">
        <v>1059</v>
      </c>
      <c r="ABN1" t="s">
        <v>1060</v>
      </c>
      <c r="ABO1" t="s">
        <v>1061</v>
      </c>
      <c r="ABP1" t="s">
        <v>1062</v>
      </c>
      <c r="ABQ1" t="s">
        <v>1063</v>
      </c>
      <c r="ABR1" t="s">
        <v>1064</v>
      </c>
      <c r="ABS1" t="s">
        <v>1065</v>
      </c>
      <c r="ABT1" t="s">
        <v>1066</v>
      </c>
      <c r="ABU1" t="s">
        <v>1067</v>
      </c>
      <c r="ABV1" t="s">
        <v>1068</v>
      </c>
      <c r="ABW1" t="s">
        <v>1069</v>
      </c>
      <c r="ABX1" t="s">
        <v>1070</v>
      </c>
      <c r="ABY1" t="s">
        <v>1071</v>
      </c>
      <c r="ABZ1" t="s">
        <v>1072</v>
      </c>
      <c r="ACA1" t="s">
        <v>1073</v>
      </c>
      <c r="ACB1" t="s">
        <v>1074</v>
      </c>
      <c r="ACC1" t="s">
        <v>1075</v>
      </c>
      <c r="ACD1" t="s">
        <v>1076</v>
      </c>
      <c r="ACE1" t="s">
        <v>1077</v>
      </c>
      <c r="ACF1" t="s">
        <v>1078</v>
      </c>
      <c r="ACG1" t="s">
        <v>1079</v>
      </c>
      <c r="ACH1" t="s">
        <v>1080</v>
      </c>
      <c r="ACI1" t="s">
        <v>1081</v>
      </c>
      <c r="ACJ1" t="s">
        <v>1082</v>
      </c>
      <c r="ACK1" t="s">
        <v>1083</v>
      </c>
      <c r="ACL1" t="s">
        <v>1084</v>
      </c>
      <c r="ACM1" t="s">
        <v>1085</v>
      </c>
      <c r="ACN1" t="s">
        <v>1086</v>
      </c>
      <c r="ACO1" t="s">
        <v>1087</v>
      </c>
      <c r="ACP1" t="s">
        <v>1088</v>
      </c>
      <c r="ACQ1" t="s">
        <v>1089</v>
      </c>
      <c r="ACR1" t="s">
        <v>1090</v>
      </c>
      <c r="ACS1" t="s">
        <v>1091</v>
      </c>
      <c r="ACT1" t="s">
        <v>1092</v>
      </c>
      <c r="ACU1" t="s">
        <v>1093</v>
      </c>
      <c r="ACV1" t="s">
        <v>1094</v>
      </c>
      <c r="ACW1" t="s">
        <v>1095</v>
      </c>
      <c r="ACX1" t="s">
        <v>1096</v>
      </c>
      <c r="ACY1" t="s">
        <v>1097</v>
      </c>
      <c r="ACZ1" t="s">
        <v>1098</v>
      </c>
      <c r="ADA1" t="s">
        <v>1099</v>
      </c>
      <c r="ADB1" t="s">
        <v>1100</v>
      </c>
      <c r="ADC1" t="s">
        <v>1101</v>
      </c>
      <c r="ADD1" t="s">
        <v>1102</v>
      </c>
      <c r="ADE1" t="s">
        <v>1103</v>
      </c>
      <c r="ADF1" t="s">
        <v>1104</v>
      </c>
      <c r="ADG1" t="s">
        <v>1105</v>
      </c>
      <c r="ADH1" t="s">
        <v>1106</v>
      </c>
      <c r="ADI1" t="s">
        <v>1107</v>
      </c>
      <c r="ADJ1" t="s">
        <v>1108</v>
      </c>
      <c r="ADK1" t="s">
        <v>1109</v>
      </c>
      <c r="ADL1" t="s">
        <v>1110</v>
      </c>
      <c r="ADM1" t="s">
        <v>1111</v>
      </c>
      <c r="ADN1" t="s">
        <v>1112</v>
      </c>
      <c r="ADO1" t="s">
        <v>1113</v>
      </c>
      <c r="ADP1" t="s">
        <v>1114</v>
      </c>
      <c r="ADQ1" t="s">
        <v>1115</v>
      </c>
      <c r="ADR1" t="s">
        <v>1116</v>
      </c>
      <c r="ADS1" t="s">
        <v>1117</v>
      </c>
      <c r="ADT1" t="s">
        <v>1118</v>
      </c>
      <c r="ADU1" t="s">
        <v>1119</v>
      </c>
      <c r="ADV1" t="s">
        <v>1120</v>
      </c>
      <c r="ADW1" t="s">
        <v>1121</v>
      </c>
      <c r="ADX1" t="s">
        <v>1122</v>
      </c>
      <c r="ADY1" t="s">
        <v>1123</v>
      </c>
      <c r="ADZ1" t="s">
        <v>1124</v>
      </c>
      <c r="AEA1" t="s">
        <v>1125</v>
      </c>
      <c r="AEB1" t="s">
        <v>1126</v>
      </c>
      <c r="AEC1" t="s">
        <v>1127</v>
      </c>
      <c r="AED1" t="s">
        <v>1128</v>
      </c>
      <c r="AEE1" t="s">
        <v>1129</v>
      </c>
      <c r="AEF1" t="s">
        <v>1130</v>
      </c>
      <c r="AEG1" t="s">
        <v>1131</v>
      </c>
      <c r="AEH1" t="s">
        <v>1132</v>
      </c>
      <c r="AEI1" t="s">
        <v>1133</v>
      </c>
      <c r="AEJ1" t="s">
        <v>1134</v>
      </c>
      <c r="AEK1" t="s">
        <v>1135</v>
      </c>
      <c r="AEL1" t="s">
        <v>1136</v>
      </c>
      <c r="AEM1" t="s">
        <v>1137</v>
      </c>
      <c r="AEN1" t="s">
        <v>1138</v>
      </c>
      <c r="AEO1" t="s">
        <v>1139</v>
      </c>
      <c r="AEP1" t="s">
        <v>1140</v>
      </c>
      <c r="AEQ1" t="s">
        <v>1141</v>
      </c>
      <c r="AER1" t="s">
        <v>1142</v>
      </c>
      <c r="AES1" t="s">
        <v>1143</v>
      </c>
      <c r="AET1" t="s">
        <v>1144</v>
      </c>
      <c r="AEU1" t="s">
        <v>1145</v>
      </c>
      <c r="AEV1" t="s">
        <v>1146</v>
      </c>
      <c r="AEW1" t="s">
        <v>1147</v>
      </c>
      <c r="AEX1" t="s">
        <v>1148</v>
      </c>
      <c r="AEY1" t="s">
        <v>1149</v>
      </c>
      <c r="AEZ1" t="s">
        <v>1150</v>
      </c>
      <c r="AFA1" t="s">
        <v>1151</v>
      </c>
      <c r="AFB1" t="s">
        <v>1152</v>
      </c>
      <c r="AFC1" t="s">
        <v>1153</v>
      </c>
      <c r="AFD1" t="s">
        <v>1154</v>
      </c>
      <c r="AFE1" t="s">
        <v>1155</v>
      </c>
      <c r="AFF1" t="s">
        <v>1156</v>
      </c>
      <c r="AFG1" t="s">
        <v>1157</v>
      </c>
      <c r="AFH1" t="s">
        <v>1158</v>
      </c>
      <c r="AFI1" t="s">
        <v>1159</v>
      </c>
      <c r="AFJ1" t="s">
        <v>1160</v>
      </c>
      <c r="AFK1" t="s">
        <v>1161</v>
      </c>
      <c r="AFL1" t="s">
        <v>1162</v>
      </c>
      <c r="AFM1" t="s">
        <v>1163</v>
      </c>
      <c r="AFN1" t="s">
        <v>1164</v>
      </c>
      <c r="AFO1" t="s">
        <v>1165</v>
      </c>
      <c r="AFP1" t="s">
        <v>1166</v>
      </c>
      <c r="AFQ1" t="s">
        <v>1167</v>
      </c>
      <c r="AFR1" t="s">
        <v>1168</v>
      </c>
      <c r="AFS1" t="s">
        <v>1169</v>
      </c>
      <c r="AFT1" t="s">
        <v>1170</v>
      </c>
      <c r="AFU1" t="s">
        <v>1171</v>
      </c>
      <c r="AFV1" t="s">
        <v>1172</v>
      </c>
      <c r="AFW1" t="s">
        <v>1173</v>
      </c>
      <c r="AFX1" t="s">
        <v>1174</v>
      </c>
      <c r="AFY1" t="s">
        <v>1175</v>
      </c>
      <c r="AFZ1" t="s">
        <v>1176</v>
      </c>
      <c r="AGA1" t="s">
        <v>1177</v>
      </c>
      <c r="AGB1" t="s">
        <v>1178</v>
      </c>
      <c r="AGC1" t="s">
        <v>1179</v>
      </c>
      <c r="AGD1" t="s">
        <v>1180</v>
      </c>
      <c r="AGE1" t="s">
        <v>1181</v>
      </c>
      <c r="AGF1" t="s">
        <v>1182</v>
      </c>
      <c r="AGG1" t="s">
        <v>1183</v>
      </c>
      <c r="AGH1" t="s">
        <v>1184</v>
      </c>
      <c r="AGI1" t="s">
        <v>1185</v>
      </c>
      <c r="AGJ1" t="s">
        <v>1186</v>
      </c>
      <c r="AGK1" t="s">
        <v>1187</v>
      </c>
      <c r="AGL1" t="s">
        <v>1188</v>
      </c>
      <c r="AGM1" t="s">
        <v>1189</v>
      </c>
      <c r="AGN1" t="s">
        <v>1190</v>
      </c>
      <c r="AGO1" t="s">
        <v>1191</v>
      </c>
      <c r="AGP1" t="s">
        <v>1192</v>
      </c>
      <c r="AGQ1" t="s">
        <v>1193</v>
      </c>
      <c r="AGR1" t="s">
        <v>1194</v>
      </c>
      <c r="AGS1" t="s">
        <v>1195</v>
      </c>
      <c r="AGT1" t="s">
        <v>1196</v>
      </c>
      <c r="AGU1" t="s">
        <v>1197</v>
      </c>
      <c r="AGV1" t="s">
        <v>1198</v>
      </c>
      <c r="AGW1" t="s">
        <v>1199</v>
      </c>
      <c r="AGX1" t="s">
        <v>1200</v>
      </c>
      <c r="AGY1" t="s">
        <v>1201</v>
      </c>
      <c r="AGZ1" t="s">
        <v>1202</v>
      </c>
      <c r="AHA1" t="s">
        <v>1203</v>
      </c>
      <c r="AHB1" t="s">
        <v>1204</v>
      </c>
      <c r="AHC1" t="s">
        <v>1205</v>
      </c>
      <c r="AHD1" t="s">
        <v>1206</v>
      </c>
      <c r="AHE1" t="s">
        <v>1207</v>
      </c>
      <c r="AHF1" t="s">
        <v>1208</v>
      </c>
      <c r="AHG1" t="s">
        <v>1209</v>
      </c>
      <c r="AHH1" t="s">
        <v>1210</v>
      </c>
      <c r="AHI1" t="s">
        <v>1211</v>
      </c>
      <c r="AHJ1" t="s">
        <v>1212</v>
      </c>
      <c r="AHK1" t="s">
        <v>1213</v>
      </c>
      <c r="AHL1" t="s">
        <v>1214</v>
      </c>
      <c r="AHM1" t="s">
        <v>1215</v>
      </c>
      <c r="AHN1" t="s">
        <v>1216</v>
      </c>
      <c r="AHO1" t="s">
        <v>1217</v>
      </c>
      <c r="AHP1" t="s">
        <v>1218</v>
      </c>
      <c r="AHQ1" t="s">
        <v>1219</v>
      </c>
      <c r="AHR1" t="s">
        <v>1220</v>
      </c>
      <c r="AHS1" t="s">
        <v>1221</v>
      </c>
      <c r="AHT1" t="s">
        <v>1222</v>
      </c>
      <c r="AHU1" t="s">
        <v>1223</v>
      </c>
      <c r="AHV1" t="s">
        <v>1224</v>
      </c>
      <c r="AHW1" t="s">
        <v>1225</v>
      </c>
      <c r="AHX1" t="s">
        <v>1226</v>
      </c>
      <c r="AHY1" t="s">
        <v>1227</v>
      </c>
      <c r="AHZ1" t="s">
        <v>1228</v>
      </c>
      <c r="AIA1" t="s">
        <v>1229</v>
      </c>
      <c r="AIB1" t="s">
        <v>1230</v>
      </c>
      <c r="AIC1" t="s">
        <v>1231</v>
      </c>
      <c r="AID1" t="s">
        <v>1232</v>
      </c>
      <c r="AIE1" t="s">
        <v>1233</v>
      </c>
      <c r="AIF1" t="s">
        <v>1234</v>
      </c>
      <c r="AIG1" t="s">
        <v>1235</v>
      </c>
      <c r="AIH1" t="s">
        <v>1236</v>
      </c>
      <c r="AII1" t="s">
        <v>1237</v>
      </c>
      <c r="AIJ1" t="s">
        <v>1238</v>
      </c>
      <c r="AIK1" t="s">
        <v>1239</v>
      </c>
      <c r="AIL1" t="s">
        <v>1240</v>
      </c>
      <c r="AIM1" t="s">
        <v>1241</v>
      </c>
      <c r="AIN1" t="s">
        <v>1242</v>
      </c>
      <c r="AIO1" t="s">
        <v>1243</v>
      </c>
      <c r="AIP1" t="s">
        <v>1244</v>
      </c>
      <c r="AIQ1" t="s">
        <v>1245</v>
      </c>
      <c r="AIR1" t="s">
        <v>1246</v>
      </c>
      <c r="AIS1" t="s">
        <v>1247</v>
      </c>
      <c r="AIT1" t="s">
        <v>1248</v>
      </c>
      <c r="AIU1" t="s">
        <v>1249</v>
      </c>
      <c r="AIV1" t="s">
        <v>1250</v>
      </c>
      <c r="AIW1" t="s">
        <v>1251</v>
      </c>
      <c r="AIX1" t="s">
        <v>1252</v>
      </c>
      <c r="AIY1" t="s">
        <v>1253</v>
      </c>
      <c r="AIZ1" t="s">
        <v>1254</v>
      </c>
      <c r="AJA1" t="s">
        <v>1255</v>
      </c>
      <c r="AJB1" t="s">
        <v>1256</v>
      </c>
      <c r="AJC1" t="s">
        <v>1257</v>
      </c>
      <c r="AJD1" t="s">
        <v>1258</v>
      </c>
      <c r="AJE1" t="s">
        <v>1259</v>
      </c>
      <c r="AJF1" t="s">
        <v>1260</v>
      </c>
      <c r="AJG1" t="s">
        <v>1261</v>
      </c>
      <c r="AJH1" t="s">
        <v>1262</v>
      </c>
      <c r="AJI1" t="s">
        <v>1263</v>
      </c>
      <c r="AJJ1" t="s">
        <v>1264</v>
      </c>
      <c r="AJK1" t="s">
        <v>1265</v>
      </c>
      <c r="AJL1" t="s">
        <v>1266</v>
      </c>
      <c r="AJM1" t="s">
        <v>1267</v>
      </c>
      <c r="AJN1" t="s">
        <v>1268</v>
      </c>
      <c r="AJO1" t="s">
        <v>1269</v>
      </c>
      <c r="AJP1" t="s">
        <v>1270</v>
      </c>
      <c r="AJQ1" t="s">
        <v>1271</v>
      </c>
      <c r="AJR1" t="s">
        <v>1272</v>
      </c>
      <c r="AJS1" t="s">
        <v>1273</v>
      </c>
      <c r="AJT1" t="s">
        <v>1274</v>
      </c>
      <c r="AJU1" t="s">
        <v>1275</v>
      </c>
      <c r="AJV1" t="s">
        <v>1276</v>
      </c>
      <c r="AJW1" t="s">
        <v>1277</v>
      </c>
      <c r="AJX1" t="s">
        <v>1278</v>
      </c>
      <c r="AJY1" t="s">
        <v>1279</v>
      </c>
      <c r="AJZ1" t="s">
        <v>1280</v>
      </c>
      <c r="AKA1" t="s">
        <v>1281</v>
      </c>
      <c r="AKB1" t="s">
        <v>1282</v>
      </c>
      <c r="AKC1" t="s">
        <v>1283</v>
      </c>
      <c r="AKD1" t="s">
        <v>1284</v>
      </c>
      <c r="AKE1" t="s">
        <v>1285</v>
      </c>
      <c r="AKF1" t="s">
        <v>1286</v>
      </c>
      <c r="AKG1" t="s">
        <v>1287</v>
      </c>
      <c r="AKH1" t="s">
        <v>1288</v>
      </c>
      <c r="AKI1" t="s">
        <v>1289</v>
      </c>
      <c r="AKJ1" t="s">
        <v>1290</v>
      </c>
      <c r="AKK1" t="s">
        <v>1291</v>
      </c>
      <c r="AKL1" t="s">
        <v>1292</v>
      </c>
      <c r="AKM1" t="s">
        <v>1293</v>
      </c>
      <c r="AKN1" t="s">
        <v>1294</v>
      </c>
      <c r="AKO1" t="s">
        <v>1295</v>
      </c>
      <c r="AKP1" t="s">
        <v>1296</v>
      </c>
      <c r="AKQ1" t="s">
        <v>1297</v>
      </c>
      <c r="AKR1" t="s">
        <v>1298</v>
      </c>
      <c r="AKS1" t="s">
        <v>1299</v>
      </c>
      <c r="AKT1" t="s">
        <v>1300</v>
      </c>
      <c r="AKU1" t="s">
        <v>1301</v>
      </c>
      <c r="AKV1" t="s">
        <v>1302</v>
      </c>
      <c r="AKW1" t="s">
        <v>1303</v>
      </c>
      <c r="AKX1" t="s">
        <v>1304</v>
      </c>
      <c r="AKY1" t="s">
        <v>1305</v>
      </c>
      <c r="AKZ1" t="s">
        <v>1306</v>
      </c>
      <c r="ALA1" t="s">
        <v>1307</v>
      </c>
      <c r="ALB1" t="s">
        <v>1308</v>
      </c>
      <c r="ALC1" t="s">
        <v>1309</v>
      </c>
      <c r="ALD1" t="s">
        <v>1310</v>
      </c>
      <c r="ALE1" t="s">
        <v>1311</v>
      </c>
      <c r="ALF1" t="s">
        <v>1312</v>
      </c>
      <c r="ALG1" t="s">
        <v>1313</v>
      </c>
      <c r="ALH1" t="s">
        <v>1314</v>
      </c>
      <c r="ALI1" t="s">
        <v>1315</v>
      </c>
      <c r="ALJ1" t="s">
        <v>1316</v>
      </c>
      <c r="ALK1" t="s">
        <v>1317</v>
      </c>
      <c r="ALL1" t="s">
        <v>1318</v>
      </c>
      <c r="ALM1" t="s">
        <v>1319</v>
      </c>
      <c r="ALN1" t="s">
        <v>1320</v>
      </c>
      <c r="ALO1" t="s">
        <v>1321</v>
      </c>
      <c r="ALP1" t="s">
        <v>1322</v>
      </c>
      <c r="ALQ1" t="s">
        <v>1323</v>
      </c>
      <c r="ALR1" t="s">
        <v>1324</v>
      </c>
      <c r="ALS1" t="s">
        <v>1325</v>
      </c>
      <c r="ALT1" t="s">
        <v>1326</v>
      </c>
      <c r="ALU1" t="s">
        <v>1327</v>
      </c>
      <c r="ALV1" t="s">
        <v>1328</v>
      </c>
      <c r="ALW1" t="s">
        <v>1329</v>
      </c>
      <c r="ALX1" t="s">
        <v>1330</v>
      </c>
      <c r="ALY1" t="s">
        <v>1331</v>
      </c>
      <c r="ALZ1" t="s">
        <v>1332</v>
      </c>
      <c r="AMA1" t="s">
        <v>1333</v>
      </c>
      <c r="AMB1" t="s">
        <v>1334</v>
      </c>
      <c r="AMC1" t="s">
        <v>1335</v>
      </c>
      <c r="AMD1" t="s">
        <v>1336</v>
      </c>
      <c r="AME1" t="s">
        <v>1337</v>
      </c>
      <c r="AMF1" t="s">
        <v>1338</v>
      </c>
      <c r="AMG1" t="s">
        <v>1339</v>
      </c>
      <c r="AMH1" t="s">
        <v>1340</v>
      </c>
      <c r="AMI1" t="s">
        <v>1341</v>
      </c>
      <c r="AMJ1" t="s">
        <v>1342</v>
      </c>
      <c r="AMK1" t="s">
        <v>1343</v>
      </c>
      <c r="AML1" t="s">
        <v>1344</v>
      </c>
      <c r="AMM1" t="s">
        <v>1345</v>
      </c>
      <c r="AMN1" t="s">
        <v>1346</v>
      </c>
      <c r="AMO1" t="s">
        <v>1347</v>
      </c>
      <c r="AMP1" t="s">
        <v>1348</v>
      </c>
      <c r="AMQ1" t="s">
        <v>1349</v>
      </c>
      <c r="AMR1" t="s">
        <v>1350</v>
      </c>
      <c r="AMS1" t="s">
        <v>1351</v>
      </c>
      <c r="AMT1" t="s">
        <v>1352</v>
      </c>
      <c r="AMU1" t="s">
        <v>1353</v>
      </c>
      <c r="AMV1" t="s">
        <v>1354</v>
      </c>
      <c r="AMW1" t="s">
        <v>1355</v>
      </c>
      <c r="AMX1" t="s">
        <v>1356</v>
      </c>
      <c r="AMY1" t="s">
        <v>1357</v>
      </c>
      <c r="AMZ1" t="s">
        <v>1358</v>
      </c>
      <c r="ANA1" t="s">
        <v>1359</v>
      </c>
      <c r="ANB1" t="s">
        <v>1360</v>
      </c>
      <c r="ANC1" t="s">
        <v>1361</v>
      </c>
      <c r="AND1" t="s">
        <v>1362</v>
      </c>
      <c r="ANE1" t="s">
        <v>1363</v>
      </c>
      <c r="ANF1" t="s">
        <v>1364</v>
      </c>
      <c r="ANG1" t="s">
        <v>1365</v>
      </c>
      <c r="ANH1" t="s">
        <v>1366</v>
      </c>
      <c r="ANI1" t="s">
        <v>1367</v>
      </c>
      <c r="ANJ1" t="s">
        <v>1368</v>
      </c>
      <c r="ANK1" t="s">
        <v>1369</v>
      </c>
      <c r="ANL1" t="s">
        <v>1370</v>
      </c>
      <c r="ANM1" t="s">
        <v>1371</v>
      </c>
      <c r="ANN1" t="s">
        <v>1372</v>
      </c>
      <c r="ANO1" t="s">
        <v>1373</v>
      </c>
      <c r="ANP1" t="s">
        <v>1374</v>
      </c>
      <c r="ANQ1" t="s">
        <v>1375</v>
      </c>
      <c r="ANR1" t="s">
        <v>1376</v>
      </c>
      <c r="ANS1" t="s">
        <v>1377</v>
      </c>
      <c r="ANT1" t="s">
        <v>1378</v>
      </c>
      <c r="ANU1" t="s">
        <v>1379</v>
      </c>
      <c r="ANV1" t="s">
        <v>1380</v>
      </c>
      <c r="ANW1" t="s">
        <v>1381</v>
      </c>
      <c r="ANX1" t="s">
        <v>1382</v>
      </c>
      <c r="ANY1" t="s">
        <v>1383</v>
      </c>
      <c r="ANZ1" t="s">
        <v>1384</v>
      </c>
      <c r="AOA1" t="s">
        <v>1385</v>
      </c>
      <c r="AOB1" t="s">
        <v>1386</v>
      </c>
      <c r="AOC1" t="s">
        <v>1387</v>
      </c>
      <c r="AOD1" t="s">
        <v>1388</v>
      </c>
      <c r="AOE1" t="s">
        <v>1389</v>
      </c>
      <c r="AOF1" t="s">
        <v>1390</v>
      </c>
      <c r="AOG1" t="s">
        <v>1391</v>
      </c>
      <c r="AOH1" t="s">
        <v>1392</v>
      </c>
      <c r="AOI1" t="s">
        <v>1393</v>
      </c>
      <c r="AOJ1" t="s">
        <v>1394</v>
      </c>
      <c r="AOK1" t="s">
        <v>1395</v>
      </c>
      <c r="AOL1" t="s">
        <v>1396</v>
      </c>
      <c r="AOM1" t="s">
        <v>1397</v>
      </c>
      <c r="AON1" t="s">
        <v>1398</v>
      </c>
      <c r="AOO1" t="s">
        <v>1399</v>
      </c>
      <c r="AOP1" t="s">
        <v>1400</v>
      </c>
      <c r="AOQ1" t="s">
        <v>1401</v>
      </c>
      <c r="AOR1" t="s">
        <v>1402</v>
      </c>
      <c r="AOS1" t="s">
        <v>1403</v>
      </c>
      <c r="AOT1" t="s">
        <v>1404</v>
      </c>
      <c r="AOU1" t="s">
        <v>1405</v>
      </c>
      <c r="AOV1" t="s">
        <v>1406</v>
      </c>
      <c r="AOW1" t="s">
        <v>1407</v>
      </c>
      <c r="AOX1" t="s">
        <v>1408</v>
      </c>
      <c r="AOY1" t="s">
        <v>1409</v>
      </c>
      <c r="AOZ1" t="s">
        <v>1410</v>
      </c>
      <c r="APA1" t="s">
        <v>1411</v>
      </c>
      <c r="APB1" t="s">
        <v>1412</v>
      </c>
      <c r="APC1" t="s">
        <v>1413</v>
      </c>
      <c r="APD1" t="s">
        <v>1414</v>
      </c>
      <c r="APE1" t="s">
        <v>1415</v>
      </c>
      <c r="APF1" t="s">
        <v>1416</v>
      </c>
      <c r="APG1" t="s">
        <v>1417</v>
      </c>
      <c r="APH1" t="s">
        <v>1418</v>
      </c>
      <c r="API1" t="s">
        <v>1419</v>
      </c>
      <c r="APJ1" t="s">
        <v>1420</v>
      </c>
      <c r="APK1" t="s">
        <v>1421</v>
      </c>
      <c r="APL1" t="s">
        <v>1422</v>
      </c>
      <c r="APM1" t="s">
        <v>1423</v>
      </c>
      <c r="APN1" t="s">
        <v>1424</v>
      </c>
      <c r="APO1" t="s">
        <v>1425</v>
      </c>
      <c r="APP1" t="s">
        <v>1426</v>
      </c>
      <c r="APQ1" t="s">
        <v>1427</v>
      </c>
      <c r="APR1" t="s">
        <v>1428</v>
      </c>
      <c r="APS1" t="s">
        <v>1429</v>
      </c>
      <c r="APT1" t="s">
        <v>1430</v>
      </c>
      <c r="APU1" t="s">
        <v>1431</v>
      </c>
      <c r="APV1" t="s">
        <v>1432</v>
      </c>
      <c r="APW1" t="s">
        <v>1433</v>
      </c>
      <c r="APX1" t="s">
        <v>1434</v>
      </c>
      <c r="APY1" t="s">
        <v>1435</v>
      </c>
      <c r="APZ1" t="s">
        <v>1436</v>
      </c>
      <c r="AQA1" t="s">
        <v>1437</v>
      </c>
      <c r="AQB1" t="s">
        <v>1438</v>
      </c>
      <c r="AQC1" t="s">
        <v>1439</v>
      </c>
      <c r="AQD1" t="s">
        <v>1440</v>
      </c>
      <c r="AQE1" t="s">
        <v>1441</v>
      </c>
      <c r="AQF1" t="s">
        <v>1442</v>
      </c>
      <c r="AQG1" t="s">
        <v>1443</v>
      </c>
      <c r="AQH1" t="s">
        <v>1444</v>
      </c>
      <c r="AQI1" t="s">
        <v>1445</v>
      </c>
      <c r="AQJ1" t="s">
        <v>1446</v>
      </c>
      <c r="AQK1" t="s">
        <v>1447</v>
      </c>
      <c r="AQL1" t="s">
        <v>1448</v>
      </c>
      <c r="AQM1" t="s">
        <v>1449</v>
      </c>
      <c r="AQN1" t="s">
        <v>1450</v>
      </c>
      <c r="AQO1" t="s">
        <v>1451</v>
      </c>
      <c r="AQP1" t="s">
        <v>1452</v>
      </c>
      <c r="AQQ1" t="s">
        <v>1453</v>
      </c>
      <c r="AQR1" t="s">
        <v>1454</v>
      </c>
      <c r="AQS1" t="s">
        <v>1455</v>
      </c>
      <c r="AQT1" t="s">
        <v>1456</v>
      </c>
      <c r="AQU1" t="s">
        <v>1457</v>
      </c>
      <c r="AQV1" t="s">
        <v>1458</v>
      </c>
      <c r="AQW1" t="s">
        <v>1459</v>
      </c>
      <c r="AQX1" t="s">
        <v>1460</v>
      </c>
      <c r="AQY1" t="s">
        <v>1461</v>
      </c>
      <c r="AQZ1" t="s">
        <v>1462</v>
      </c>
      <c r="ARA1" t="s">
        <v>1463</v>
      </c>
      <c r="ARB1" t="s">
        <v>1464</v>
      </c>
      <c r="ARC1" t="s">
        <v>1465</v>
      </c>
      <c r="ARD1" t="s">
        <v>1466</v>
      </c>
      <c r="ARE1" t="s">
        <v>1467</v>
      </c>
      <c r="ARF1" t="s">
        <v>1468</v>
      </c>
      <c r="ARG1" t="s">
        <v>1469</v>
      </c>
      <c r="ARH1" t="s">
        <v>1470</v>
      </c>
      <c r="ARI1" t="s">
        <v>1471</v>
      </c>
      <c r="ARJ1" t="s">
        <v>1472</v>
      </c>
      <c r="ARK1" t="s">
        <v>1473</v>
      </c>
      <c r="ARL1" t="s">
        <v>1474</v>
      </c>
      <c r="ARM1" t="s">
        <v>1475</v>
      </c>
      <c r="ARN1" t="s">
        <v>1476</v>
      </c>
      <c r="ARO1" t="s">
        <v>1477</v>
      </c>
      <c r="ARP1" t="s">
        <v>1478</v>
      </c>
      <c r="ARQ1" t="s">
        <v>1479</v>
      </c>
      <c r="ARR1" t="s">
        <v>1480</v>
      </c>
      <c r="ARS1" t="s">
        <v>1481</v>
      </c>
      <c r="ART1" t="s">
        <v>1482</v>
      </c>
      <c r="ARU1" t="s">
        <v>1483</v>
      </c>
      <c r="ARV1" t="s">
        <v>1484</v>
      </c>
      <c r="ARW1" t="s">
        <v>1485</v>
      </c>
      <c r="ARX1" t="s">
        <v>1486</v>
      </c>
      <c r="ARY1" t="s">
        <v>1487</v>
      </c>
      <c r="ARZ1" t="s">
        <v>1488</v>
      </c>
      <c r="ASA1" t="s">
        <v>1489</v>
      </c>
      <c r="ASB1" t="s">
        <v>1490</v>
      </c>
      <c r="ASC1" t="s">
        <v>1491</v>
      </c>
      <c r="ASD1" t="s">
        <v>1492</v>
      </c>
      <c r="ASE1" t="s">
        <v>1493</v>
      </c>
      <c r="ASF1" t="s">
        <v>1494</v>
      </c>
      <c r="ASG1" t="s">
        <v>1495</v>
      </c>
      <c r="ASH1" t="s">
        <v>1496</v>
      </c>
      <c r="ASI1" t="s">
        <v>1497</v>
      </c>
      <c r="ASJ1" t="s">
        <v>1498</v>
      </c>
      <c r="ASK1" t="s">
        <v>1499</v>
      </c>
      <c r="ASL1" t="s">
        <v>1500</v>
      </c>
      <c r="ASM1" t="s">
        <v>1501</v>
      </c>
      <c r="ASN1" t="s">
        <v>1502</v>
      </c>
      <c r="ASO1" t="s">
        <v>1503</v>
      </c>
      <c r="ASP1" t="s">
        <v>1504</v>
      </c>
      <c r="ASQ1" t="s">
        <v>1505</v>
      </c>
      <c r="ASR1" t="s">
        <v>1506</v>
      </c>
      <c r="ASS1" t="s">
        <v>1507</v>
      </c>
      <c r="AST1" t="s">
        <v>1508</v>
      </c>
      <c r="ASU1" t="s">
        <v>1509</v>
      </c>
      <c r="ASV1" t="s">
        <v>1510</v>
      </c>
      <c r="ASW1" t="s">
        <v>1511</v>
      </c>
      <c r="ASX1" t="s">
        <v>1512</v>
      </c>
      <c r="ASY1" t="s">
        <v>1513</v>
      </c>
      <c r="ASZ1" t="s">
        <v>1514</v>
      </c>
      <c r="ATA1" t="s">
        <v>1515</v>
      </c>
      <c r="ATB1" t="s">
        <v>1516</v>
      </c>
      <c r="ATC1" t="s">
        <v>1517</v>
      </c>
      <c r="ATD1" t="s">
        <v>1518</v>
      </c>
      <c r="ATE1" t="s">
        <v>1519</v>
      </c>
      <c r="ATF1" t="s">
        <v>1520</v>
      </c>
      <c r="ATG1" t="s">
        <v>1521</v>
      </c>
      <c r="ATH1" t="s">
        <v>1522</v>
      </c>
      <c r="ATI1" t="s">
        <v>1523</v>
      </c>
      <c r="ATJ1" t="s">
        <v>1524</v>
      </c>
      <c r="ATK1" t="s">
        <v>1525</v>
      </c>
      <c r="ATL1" t="s">
        <v>1526</v>
      </c>
      <c r="ATM1" t="s">
        <v>1527</v>
      </c>
      <c r="ATN1" t="s">
        <v>1528</v>
      </c>
      <c r="ATO1" t="s">
        <v>1529</v>
      </c>
      <c r="ATP1" t="s">
        <v>1530</v>
      </c>
      <c r="ATQ1" t="s">
        <v>1531</v>
      </c>
      <c r="ATR1" t="s">
        <v>1532</v>
      </c>
      <c r="ATS1" t="s">
        <v>1533</v>
      </c>
      <c r="ATT1" t="s">
        <v>1534</v>
      </c>
      <c r="ATU1" t="s">
        <v>1535</v>
      </c>
      <c r="ATV1" t="s">
        <v>1536</v>
      </c>
      <c r="ATW1" t="s">
        <v>1537</v>
      </c>
      <c r="ATX1" t="s">
        <v>1538</v>
      </c>
      <c r="ATY1" t="s">
        <v>1539</v>
      </c>
      <c r="ATZ1" t="s">
        <v>1540</v>
      </c>
      <c r="AUA1" t="s">
        <v>1541</v>
      </c>
      <c r="AUB1" t="s">
        <v>1542</v>
      </c>
      <c r="AUC1" t="s">
        <v>1543</v>
      </c>
      <c r="AUD1" t="s">
        <v>1544</v>
      </c>
      <c r="AUE1" t="s">
        <v>1545</v>
      </c>
      <c r="AUF1" t="s">
        <v>1546</v>
      </c>
      <c r="AUG1" t="s">
        <v>1547</v>
      </c>
      <c r="AUH1" t="s">
        <v>1548</v>
      </c>
      <c r="AUI1" t="s">
        <v>1549</v>
      </c>
      <c r="AUJ1" t="s">
        <v>1550</v>
      </c>
      <c r="AUK1" t="s">
        <v>1551</v>
      </c>
      <c r="AUL1" t="s">
        <v>1552</v>
      </c>
      <c r="AUM1" t="s">
        <v>1553</v>
      </c>
      <c r="AUN1" t="s">
        <v>1554</v>
      </c>
      <c r="AUO1" t="s">
        <v>1555</v>
      </c>
      <c r="AUP1" t="s">
        <v>1556</v>
      </c>
      <c r="AUQ1" t="s">
        <v>1557</v>
      </c>
      <c r="AUR1" t="s">
        <v>1558</v>
      </c>
      <c r="AUS1" t="s">
        <v>1559</v>
      </c>
      <c r="AUT1" t="s">
        <v>1560</v>
      </c>
      <c r="AUU1" t="s">
        <v>1561</v>
      </c>
      <c r="AUV1" t="s">
        <v>1562</v>
      </c>
      <c r="AUW1" t="s">
        <v>1563</v>
      </c>
      <c r="AUX1" t="s">
        <v>1564</v>
      </c>
      <c r="AUY1" t="s">
        <v>1565</v>
      </c>
      <c r="AUZ1" t="s">
        <v>1566</v>
      </c>
      <c r="AVA1" t="s">
        <v>1567</v>
      </c>
      <c r="AVB1" t="s">
        <v>1568</v>
      </c>
      <c r="AVC1" t="s">
        <v>1569</v>
      </c>
      <c r="AVD1" t="s">
        <v>1570</v>
      </c>
      <c r="AVE1" t="s">
        <v>1571</v>
      </c>
      <c r="AVF1" t="s">
        <v>1572</v>
      </c>
      <c r="AVG1" t="s">
        <v>1573</v>
      </c>
      <c r="AVH1" t="s">
        <v>1574</v>
      </c>
      <c r="AVI1" t="s">
        <v>1575</v>
      </c>
      <c r="AVJ1" t="s">
        <v>1576</v>
      </c>
      <c r="AVK1" t="s">
        <v>1577</v>
      </c>
      <c r="AVL1" t="s">
        <v>1578</v>
      </c>
      <c r="AVM1" t="s">
        <v>1579</v>
      </c>
      <c r="AVN1" t="s">
        <v>1580</v>
      </c>
      <c r="AVO1" t="s">
        <v>1581</v>
      </c>
      <c r="AVP1" t="s">
        <v>1582</v>
      </c>
      <c r="AVQ1" t="s">
        <v>1583</v>
      </c>
      <c r="AVR1" t="s">
        <v>1584</v>
      </c>
      <c r="AVS1" t="s">
        <v>1585</v>
      </c>
      <c r="AVT1" t="s">
        <v>1586</v>
      </c>
      <c r="AVU1" t="s">
        <v>1587</v>
      </c>
      <c r="AVV1" t="s">
        <v>1588</v>
      </c>
      <c r="AVW1" t="s">
        <v>1589</v>
      </c>
      <c r="AVX1" t="s">
        <v>1590</v>
      </c>
      <c r="AVY1" t="s">
        <v>1591</v>
      </c>
      <c r="AVZ1" t="s">
        <v>1592</v>
      </c>
      <c r="AWA1" t="s">
        <v>1593</v>
      </c>
      <c r="AWB1" t="s">
        <v>1594</v>
      </c>
      <c r="AWC1" t="s">
        <v>1595</v>
      </c>
      <c r="AWD1" t="s">
        <v>1596</v>
      </c>
      <c r="AWE1" t="s">
        <v>1597</v>
      </c>
      <c r="AWF1" t="s">
        <v>1598</v>
      </c>
      <c r="AWG1" t="s">
        <v>1599</v>
      </c>
      <c r="AWH1" t="s">
        <v>1600</v>
      </c>
      <c r="AWI1" t="s">
        <v>1601</v>
      </c>
      <c r="AWJ1" t="s">
        <v>1602</v>
      </c>
      <c r="AWK1" t="s">
        <v>1603</v>
      </c>
      <c r="AWL1" t="s">
        <v>1604</v>
      </c>
      <c r="AWM1" t="s">
        <v>1605</v>
      </c>
      <c r="AWN1" t="s">
        <v>1606</v>
      </c>
      <c r="AWO1" t="s">
        <v>1607</v>
      </c>
      <c r="AWP1" t="s">
        <v>1608</v>
      </c>
      <c r="AWQ1" t="s">
        <v>1609</v>
      </c>
      <c r="AWR1" t="s">
        <v>1610</v>
      </c>
      <c r="AWS1" t="s">
        <v>1611</v>
      </c>
      <c r="AWT1" t="s">
        <v>1612</v>
      </c>
      <c r="AWU1" t="s">
        <v>1613</v>
      </c>
      <c r="AWV1" t="s">
        <v>1614</v>
      </c>
      <c r="AWW1" t="s">
        <v>1615</v>
      </c>
      <c r="AWX1" t="s">
        <v>1616</v>
      </c>
      <c r="AWY1" t="s">
        <v>1617</v>
      </c>
      <c r="AWZ1" t="s">
        <v>1618</v>
      </c>
      <c r="AXA1" t="s">
        <v>1619</v>
      </c>
      <c r="AXB1" t="s">
        <v>1620</v>
      </c>
      <c r="AXC1" t="s">
        <v>1621</v>
      </c>
      <c r="AXD1" t="s">
        <v>1622</v>
      </c>
      <c r="AXE1" t="s">
        <v>1623</v>
      </c>
      <c r="AXF1" t="s">
        <v>1624</v>
      </c>
      <c r="AXG1" t="s">
        <v>1625</v>
      </c>
      <c r="AXH1" t="s">
        <v>1626</v>
      </c>
      <c r="AXI1" t="s">
        <v>1627</v>
      </c>
      <c r="AXJ1" t="s">
        <v>1628</v>
      </c>
      <c r="AXK1" t="s">
        <v>1629</v>
      </c>
      <c r="AXL1" t="s">
        <v>1630</v>
      </c>
      <c r="AXM1" t="s">
        <v>1631</v>
      </c>
      <c r="AXN1" t="s">
        <v>1632</v>
      </c>
      <c r="AXO1" t="s">
        <v>1633</v>
      </c>
      <c r="AXP1" t="s">
        <v>1634</v>
      </c>
      <c r="AXQ1" t="s">
        <v>1635</v>
      </c>
      <c r="AXR1" t="s">
        <v>1636</v>
      </c>
      <c r="AXS1" t="s">
        <v>1637</v>
      </c>
      <c r="AXT1" t="s">
        <v>1638</v>
      </c>
      <c r="AXU1" t="s">
        <v>1639</v>
      </c>
      <c r="AXV1" t="s">
        <v>1640</v>
      </c>
      <c r="AXW1" t="s">
        <v>1641</v>
      </c>
      <c r="AXX1" t="s">
        <v>1642</v>
      </c>
      <c r="AXY1" t="s">
        <v>1643</v>
      </c>
      <c r="AXZ1" t="s">
        <v>1644</v>
      </c>
      <c r="AYA1" t="s">
        <v>1645</v>
      </c>
      <c r="AYB1" t="s">
        <v>1646</v>
      </c>
      <c r="AYC1" t="s">
        <v>1647</v>
      </c>
      <c r="AYD1" t="s">
        <v>1648</v>
      </c>
      <c r="AYE1" t="s">
        <v>1649</v>
      </c>
      <c r="AYF1" t="s">
        <v>1650</v>
      </c>
      <c r="AYG1" t="s">
        <v>1651</v>
      </c>
      <c r="AYH1" t="s">
        <v>1652</v>
      </c>
      <c r="AYI1" t="s">
        <v>1653</v>
      </c>
      <c r="AYJ1" t="s">
        <v>1654</v>
      </c>
      <c r="AYK1" t="s">
        <v>1655</v>
      </c>
      <c r="AYL1" t="s">
        <v>1656</v>
      </c>
      <c r="AYM1" t="s">
        <v>1657</v>
      </c>
      <c r="AYN1" t="s">
        <v>1658</v>
      </c>
      <c r="AYO1" t="s">
        <v>1659</v>
      </c>
      <c r="AYP1" t="s">
        <v>1660</v>
      </c>
      <c r="AYQ1" t="s">
        <v>1661</v>
      </c>
      <c r="AYR1" t="s">
        <v>1662</v>
      </c>
      <c r="AYS1" t="s">
        <v>1663</v>
      </c>
      <c r="AYT1" t="s">
        <v>1664</v>
      </c>
      <c r="AYU1" t="s">
        <v>1665</v>
      </c>
      <c r="AYV1" t="s">
        <v>1666</v>
      </c>
      <c r="AYW1" t="s">
        <v>1667</v>
      </c>
      <c r="AYX1" t="s">
        <v>1668</v>
      </c>
      <c r="AYY1" t="s">
        <v>1669</v>
      </c>
      <c r="AYZ1" t="s">
        <v>1670</v>
      </c>
      <c r="AZA1" t="s">
        <v>1671</v>
      </c>
      <c r="AZB1" t="s">
        <v>1672</v>
      </c>
      <c r="AZC1" t="s">
        <v>1673</v>
      </c>
      <c r="AZD1" t="s">
        <v>1674</v>
      </c>
      <c r="AZE1" t="s">
        <v>1675</v>
      </c>
      <c r="AZF1" t="s">
        <v>1676</v>
      </c>
      <c r="AZG1" t="s">
        <v>1677</v>
      </c>
      <c r="AZH1" t="s">
        <v>1678</v>
      </c>
      <c r="AZI1" t="s">
        <v>1679</v>
      </c>
      <c r="AZJ1" t="s">
        <v>1680</v>
      </c>
      <c r="AZK1" t="s">
        <v>1681</v>
      </c>
      <c r="AZL1" t="s">
        <v>1682</v>
      </c>
      <c r="AZM1" t="s">
        <v>1683</v>
      </c>
      <c r="AZN1" t="s">
        <v>1684</v>
      </c>
      <c r="AZO1" t="s">
        <v>1685</v>
      </c>
      <c r="AZP1" t="s">
        <v>1686</v>
      </c>
      <c r="AZQ1" t="s">
        <v>1687</v>
      </c>
      <c r="AZR1" t="s">
        <v>1688</v>
      </c>
      <c r="AZS1" t="s">
        <v>1689</v>
      </c>
      <c r="AZT1" t="s">
        <v>1690</v>
      </c>
      <c r="AZU1" t="s">
        <v>1691</v>
      </c>
      <c r="AZV1" t="s">
        <v>1692</v>
      </c>
      <c r="AZW1" t="s">
        <v>1693</v>
      </c>
      <c r="AZX1" t="s">
        <v>1694</v>
      </c>
      <c r="AZY1" t="s">
        <v>1695</v>
      </c>
      <c r="AZZ1" t="s">
        <v>1696</v>
      </c>
      <c r="BAA1" t="s">
        <v>1697</v>
      </c>
      <c r="BAB1" t="s">
        <v>1698</v>
      </c>
      <c r="BAC1" t="s">
        <v>1699</v>
      </c>
      <c r="BAD1" t="s">
        <v>1700</v>
      </c>
      <c r="BAE1" t="s">
        <v>1701</v>
      </c>
      <c r="BAF1" t="s">
        <v>1702</v>
      </c>
      <c r="BAG1" t="s">
        <v>1703</v>
      </c>
      <c r="BAH1" t="s">
        <v>1704</v>
      </c>
      <c r="BAI1" t="s">
        <v>1705</v>
      </c>
      <c r="BAJ1" t="s">
        <v>1706</v>
      </c>
      <c r="BAK1" t="s">
        <v>1707</v>
      </c>
      <c r="BAL1" t="s">
        <v>1708</v>
      </c>
      <c r="BAM1" t="s">
        <v>1709</v>
      </c>
      <c r="BAN1" t="s">
        <v>1710</v>
      </c>
      <c r="BAO1" t="s">
        <v>1711</v>
      </c>
      <c r="BAP1" t="s">
        <v>1712</v>
      </c>
      <c r="BAQ1" t="s">
        <v>1713</v>
      </c>
      <c r="BAR1" t="s">
        <v>1714</v>
      </c>
      <c r="BAS1" t="s">
        <v>1715</v>
      </c>
      <c r="BAT1" t="s">
        <v>1716</v>
      </c>
      <c r="BAU1" t="s">
        <v>1717</v>
      </c>
      <c r="BAV1" t="s">
        <v>1718</v>
      </c>
      <c r="BAW1" t="s">
        <v>1719</v>
      </c>
      <c r="BAX1" t="s">
        <v>1720</v>
      </c>
      <c r="BAY1" t="s">
        <v>1721</v>
      </c>
      <c r="BAZ1" t="s">
        <v>1722</v>
      </c>
      <c r="BBA1" t="s">
        <v>1723</v>
      </c>
      <c r="BBB1" t="s">
        <v>1724</v>
      </c>
      <c r="BBC1" t="s">
        <v>1725</v>
      </c>
      <c r="BBD1" t="s">
        <v>1726</v>
      </c>
      <c r="BBE1" t="s">
        <v>1727</v>
      </c>
      <c r="BBF1" t="s">
        <v>1728</v>
      </c>
      <c r="BBG1" t="s">
        <v>1729</v>
      </c>
      <c r="BBH1" t="s">
        <v>1730</v>
      </c>
      <c r="BBI1" t="s">
        <v>1731</v>
      </c>
      <c r="BBJ1" t="s">
        <v>1732</v>
      </c>
      <c r="BBK1" t="s">
        <v>1733</v>
      </c>
      <c r="BBL1" t="s">
        <v>1734</v>
      </c>
      <c r="BBM1" t="s">
        <v>1735</v>
      </c>
      <c r="BBN1" t="s">
        <v>1736</v>
      </c>
      <c r="BBO1" t="s">
        <v>1737</v>
      </c>
      <c r="BBP1" t="s">
        <v>1738</v>
      </c>
      <c r="BBQ1" t="s">
        <v>1739</v>
      </c>
      <c r="BBR1" t="s">
        <v>1740</v>
      </c>
      <c r="BBS1" t="s">
        <v>1741</v>
      </c>
      <c r="BBT1" t="s">
        <v>1742</v>
      </c>
      <c r="BBU1" t="s">
        <v>1743</v>
      </c>
      <c r="BBV1" t="s">
        <v>1744</v>
      </c>
      <c r="BBW1" t="s">
        <v>1745</v>
      </c>
      <c r="BBX1" t="s">
        <v>1746</v>
      </c>
      <c r="BBY1" t="s">
        <v>1747</v>
      </c>
      <c r="BBZ1" t="s">
        <v>1748</v>
      </c>
      <c r="BCA1" t="s">
        <v>1749</v>
      </c>
      <c r="BCB1" t="s">
        <v>1750</v>
      </c>
      <c r="BCC1" t="s">
        <v>1751</v>
      </c>
      <c r="BCD1" t="s">
        <v>1752</v>
      </c>
      <c r="BCE1" t="s">
        <v>1753</v>
      </c>
      <c r="BCF1" t="s">
        <v>1754</v>
      </c>
      <c r="BCG1" t="s">
        <v>1755</v>
      </c>
      <c r="BCH1" t="s">
        <v>1756</v>
      </c>
      <c r="BCI1" t="s">
        <v>1757</v>
      </c>
      <c r="BCJ1" t="s">
        <v>1758</v>
      </c>
      <c r="BCK1" t="s">
        <v>1759</v>
      </c>
      <c r="BCL1" t="s">
        <v>1760</v>
      </c>
      <c r="BCM1" t="s">
        <v>1761</v>
      </c>
      <c r="BCN1" t="s">
        <v>1762</v>
      </c>
      <c r="BCO1" t="s">
        <v>1763</v>
      </c>
      <c r="BCP1" t="s">
        <v>1764</v>
      </c>
      <c r="BCQ1" t="s">
        <v>1765</v>
      </c>
      <c r="BCR1" t="s">
        <v>1766</v>
      </c>
      <c r="BCS1" t="s">
        <v>1767</v>
      </c>
      <c r="BCT1" t="s">
        <v>1768</v>
      </c>
      <c r="BCU1" t="s">
        <v>1769</v>
      </c>
      <c r="BCV1" t="s">
        <v>1770</v>
      </c>
      <c r="BCW1" t="s">
        <v>1771</v>
      </c>
      <c r="BCX1" t="s">
        <v>1772</v>
      </c>
      <c r="BCY1" t="s">
        <v>1773</v>
      </c>
      <c r="BCZ1" t="s">
        <v>1774</v>
      </c>
      <c r="BDA1" t="s">
        <v>1775</v>
      </c>
      <c r="BDB1" t="s">
        <v>1776</v>
      </c>
      <c r="BDC1" t="s">
        <v>1777</v>
      </c>
      <c r="BDD1" t="s">
        <v>1778</v>
      </c>
      <c r="BDE1" t="s">
        <v>1779</v>
      </c>
      <c r="BDF1" t="s">
        <v>1780</v>
      </c>
      <c r="BDG1" t="s">
        <v>1781</v>
      </c>
      <c r="BDH1" t="s">
        <v>1782</v>
      </c>
      <c r="BDI1" t="s">
        <v>1783</v>
      </c>
      <c r="BDJ1" t="s">
        <v>1784</v>
      </c>
      <c r="BDK1" t="s">
        <v>1785</v>
      </c>
      <c r="BDL1" t="s">
        <v>1786</v>
      </c>
      <c r="BDM1" t="s">
        <v>1787</v>
      </c>
      <c r="BDN1" t="s">
        <v>1788</v>
      </c>
      <c r="BDO1" t="s">
        <v>1789</v>
      </c>
      <c r="BDP1" t="s">
        <v>1790</v>
      </c>
      <c r="BDQ1" t="s">
        <v>1791</v>
      </c>
      <c r="BDR1" t="s">
        <v>1792</v>
      </c>
      <c r="BDS1" t="s">
        <v>1793</v>
      </c>
      <c r="BDT1" t="s">
        <v>1794</v>
      </c>
      <c r="BDU1" t="s">
        <v>1795</v>
      </c>
      <c r="BDV1" t="s">
        <v>1796</v>
      </c>
      <c r="BDW1" t="s">
        <v>1797</v>
      </c>
      <c r="BDX1" t="s">
        <v>1798</v>
      </c>
      <c r="BDY1" t="s">
        <v>1799</v>
      </c>
      <c r="BDZ1" t="s">
        <v>1800</v>
      </c>
      <c r="BEA1" t="s">
        <v>1801</v>
      </c>
      <c r="BEB1" t="s">
        <v>1802</v>
      </c>
      <c r="BEC1" t="s">
        <v>1803</v>
      </c>
      <c r="BED1" t="s">
        <v>1804</v>
      </c>
      <c r="BEE1" t="s">
        <v>1805</v>
      </c>
      <c r="BEF1" t="s">
        <v>1806</v>
      </c>
      <c r="BEG1" t="s">
        <v>1807</v>
      </c>
      <c r="BEH1" t="s">
        <v>1808</v>
      </c>
      <c r="BEI1" t="s">
        <v>1809</v>
      </c>
      <c r="BEJ1" t="s">
        <v>1810</v>
      </c>
      <c r="BEK1" t="s">
        <v>1811</v>
      </c>
      <c r="BEL1" t="s">
        <v>1812</v>
      </c>
      <c r="BEM1" t="s">
        <v>1813</v>
      </c>
      <c r="BEN1" t="s">
        <v>1814</v>
      </c>
      <c r="BEO1" t="s">
        <v>1815</v>
      </c>
      <c r="BEP1" t="s">
        <v>1816</v>
      </c>
      <c r="BEQ1" t="s">
        <v>1817</v>
      </c>
      <c r="BER1" t="s">
        <v>1818</v>
      </c>
      <c r="BES1" t="s">
        <v>1819</v>
      </c>
      <c r="BET1" t="s">
        <v>1820</v>
      </c>
      <c r="BEU1" t="s">
        <v>1821</v>
      </c>
      <c r="BEV1" t="s">
        <v>1822</v>
      </c>
      <c r="BEW1" t="s">
        <v>1823</v>
      </c>
      <c r="BEX1" t="s">
        <v>1824</v>
      </c>
      <c r="BEY1" t="s">
        <v>1825</v>
      </c>
      <c r="BEZ1" t="s">
        <v>1826</v>
      </c>
      <c r="BFA1" t="s">
        <v>1827</v>
      </c>
      <c r="BFB1" t="s">
        <v>1828</v>
      </c>
      <c r="BFC1" t="s">
        <v>1829</v>
      </c>
      <c r="BFD1" t="s">
        <v>1830</v>
      </c>
      <c r="BFE1" t="s">
        <v>1831</v>
      </c>
      <c r="BFF1" t="s">
        <v>1832</v>
      </c>
      <c r="BFG1" t="s">
        <v>1833</v>
      </c>
      <c r="BFH1" t="s">
        <v>1834</v>
      </c>
      <c r="BFI1" t="s">
        <v>1835</v>
      </c>
      <c r="BFJ1" t="s">
        <v>1836</v>
      </c>
      <c r="BFK1" t="s">
        <v>1837</v>
      </c>
      <c r="BFL1" t="s">
        <v>1838</v>
      </c>
      <c r="BFM1" t="s">
        <v>1839</v>
      </c>
      <c r="BFN1" t="s">
        <v>1840</v>
      </c>
      <c r="BFO1" t="s">
        <v>1841</v>
      </c>
      <c r="BFP1" t="s">
        <v>1842</v>
      </c>
      <c r="BFQ1" t="s">
        <v>1843</v>
      </c>
      <c r="BFR1" t="s">
        <v>1844</v>
      </c>
      <c r="BFS1" t="s">
        <v>1845</v>
      </c>
      <c r="BFT1" t="s">
        <v>1846</v>
      </c>
      <c r="BFU1" t="s">
        <v>1847</v>
      </c>
      <c r="BFV1" t="s">
        <v>1848</v>
      </c>
      <c r="BFW1" t="s">
        <v>1849</v>
      </c>
      <c r="BFX1" t="s">
        <v>1850</v>
      </c>
      <c r="BFY1" t="s">
        <v>1851</v>
      </c>
      <c r="BFZ1" t="s">
        <v>1852</v>
      </c>
      <c r="BGA1" t="s">
        <v>1853</v>
      </c>
      <c r="BGB1" t="s">
        <v>1854</v>
      </c>
      <c r="BGC1" t="s">
        <v>1855</v>
      </c>
      <c r="BGD1" t="s">
        <v>1856</v>
      </c>
      <c r="BGE1" t="s">
        <v>1857</v>
      </c>
      <c r="BGF1" t="s">
        <v>1858</v>
      </c>
      <c r="BGG1" t="s">
        <v>1859</v>
      </c>
      <c r="BGH1" t="s">
        <v>1860</v>
      </c>
      <c r="BGI1" t="s">
        <v>1861</v>
      </c>
      <c r="BGJ1" t="s">
        <v>1862</v>
      </c>
      <c r="BGK1" t="s">
        <v>1863</v>
      </c>
      <c r="BGL1" t="s">
        <v>1864</v>
      </c>
      <c r="BGM1" t="s">
        <v>1865</v>
      </c>
      <c r="BGN1" t="s">
        <v>1866</v>
      </c>
      <c r="BGO1" t="s">
        <v>1867</v>
      </c>
      <c r="BGP1" t="s">
        <v>1868</v>
      </c>
      <c r="BGQ1" t="s">
        <v>1869</v>
      </c>
      <c r="BGR1" t="s">
        <v>1870</v>
      </c>
      <c r="BGS1" t="s">
        <v>1871</v>
      </c>
      <c r="BGT1" t="s">
        <v>1872</v>
      </c>
      <c r="BGU1" t="s">
        <v>1873</v>
      </c>
      <c r="BGV1" t="s">
        <v>1874</v>
      </c>
      <c r="BGW1" t="s">
        <v>1875</v>
      </c>
      <c r="BGX1" t="s">
        <v>1876</v>
      </c>
      <c r="BGY1" t="s">
        <v>1877</v>
      </c>
      <c r="BGZ1" t="s">
        <v>1878</v>
      </c>
      <c r="BHA1" t="s">
        <v>1879</v>
      </c>
      <c r="BHB1" t="s">
        <v>1880</v>
      </c>
      <c r="BHC1" t="s">
        <v>1881</v>
      </c>
      <c r="BHD1" t="s">
        <v>1882</v>
      </c>
      <c r="BHE1" t="s">
        <v>1883</v>
      </c>
      <c r="BHF1" t="s">
        <v>1884</v>
      </c>
      <c r="BHG1" t="s">
        <v>1885</v>
      </c>
      <c r="BHH1" t="s">
        <v>1886</v>
      </c>
      <c r="BHI1" t="s">
        <v>1887</v>
      </c>
      <c r="BHJ1" t="s">
        <v>1888</v>
      </c>
      <c r="BHK1" t="s">
        <v>1889</v>
      </c>
      <c r="BHL1" t="s">
        <v>1890</v>
      </c>
      <c r="BHM1" t="s">
        <v>1891</v>
      </c>
      <c r="BHN1" t="s">
        <v>1892</v>
      </c>
      <c r="BHO1" t="s">
        <v>1893</v>
      </c>
      <c r="BHP1" t="s">
        <v>1894</v>
      </c>
      <c r="BHQ1" t="s">
        <v>1895</v>
      </c>
      <c r="BHR1" t="s">
        <v>1896</v>
      </c>
      <c r="BHS1" t="s">
        <v>1897</v>
      </c>
      <c r="BHT1" t="s">
        <v>1898</v>
      </c>
      <c r="BHU1" t="s">
        <v>1899</v>
      </c>
      <c r="BHV1" t="s">
        <v>1900</v>
      </c>
      <c r="BHW1" t="s">
        <v>1901</v>
      </c>
      <c r="BHX1" t="s">
        <v>1902</v>
      </c>
      <c r="BHY1" t="s">
        <v>1903</v>
      </c>
      <c r="BHZ1" t="s">
        <v>1904</v>
      </c>
      <c r="BIA1" t="s">
        <v>1905</v>
      </c>
      <c r="BIB1" t="s">
        <v>1906</v>
      </c>
      <c r="BIC1" t="s">
        <v>1907</v>
      </c>
      <c r="BID1" t="s">
        <v>1908</v>
      </c>
      <c r="BIE1" t="s">
        <v>1909</v>
      </c>
      <c r="BIF1" t="s">
        <v>1910</v>
      </c>
      <c r="BIG1" t="s">
        <v>1911</v>
      </c>
      <c r="BIH1" t="s">
        <v>1912</v>
      </c>
      <c r="BII1" t="s">
        <v>1913</v>
      </c>
      <c r="BIJ1" t="s">
        <v>1914</v>
      </c>
      <c r="BIK1" t="s">
        <v>1915</v>
      </c>
      <c r="BIL1" t="s">
        <v>1916</v>
      </c>
      <c r="BIM1" t="s">
        <v>1917</v>
      </c>
      <c r="BIN1" t="s">
        <v>1918</v>
      </c>
      <c r="BIO1" t="s">
        <v>1919</v>
      </c>
      <c r="BIP1" t="s">
        <v>1920</v>
      </c>
      <c r="BIQ1" t="s">
        <v>1921</v>
      </c>
      <c r="BIR1" t="s">
        <v>1922</v>
      </c>
      <c r="BIS1" t="s">
        <v>1923</v>
      </c>
      <c r="BIT1" t="s">
        <v>1924</v>
      </c>
      <c r="BIU1" t="s">
        <v>1925</v>
      </c>
      <c r="BIV1" t="s">
        <v>1926</v>
      </c>
      <c r="BIW1" t="s">
        <v>1927</v>
      </c>
      <c r="BIX1" t="s">
        <v>1928</v>
      </c>
      <c r="BIY1" t="s">
        <v>1929</v>
      </c>
      <c r="BIZ1" t="s">
        <v>1930</v>
      </c>
      <c r="BJA1" t="s">
        <v>1931</v>
      </c>
      <c r="BJB1" t="s">
        <v>1932</v>
      </c>
      <c r="BJC1" t="s">
        <v>1933</v>
      </c>
      <c r="BJD1" t="s">
        <v>1934</v>
      </c>
      <c r="BJE1" t="s">
        <v>1935</v>
      </c>
      <c r="BJF1" t="s">
        <v>1936</v>
      </c>
      <c r="BJG1" t="s">
        <v>1937</v>
      </c>
      <c r="BJH1" t="s">
        <v>1938</v>
      </c>
      <c r="BJI1" t="s">
        <v>1939</v>
      </c>
      <c r="BJJ1" t="s">
        <v>1940</v>
      </c>
      <c r="BJK1" t="s">
        <v>1941</v>
      </c>
      <c r="BJL1" t="s">
        <v>1942</v>
      </c>
      <c r="BJM1" t="s">
        <v>1943</v>
      </c>
      <c r="BJN1" t="s">
        <v>1944</v>
      </c>
      <c r="BJO1" t="s">
        <v>1945</v>
      </c>
      <c r="BJP1" t="s">
        <v>1946</v>
      </c>
      <c r="BJQ1" t="s">
        <v>1947</v>
      </c>
      <c r="BJR1" t="s">
        <v>1948</v>
      </c>
      <c r="BJS1" t="s">
        <v>1949</v>
      </c>
      <c r="BJT1" t="s">
        <v>1950</v>
      </c>
      <c r="BJU1" t="s">
        <v>1951</v>
      </c>
      <c r="BJV1" t="s">
        <v>1952</v>
      </c>
      <c r="BJW1" t="s">
        <v>1953</v>
      </c>
      <c r="BJX1" t="s">
        <v>1954</v>
      </c>
      <c r="BJY1" t="s">
        <v>1955</v>
      </c>
      <c r="BJZ1" t="s">
        <v>1956</v>
      </c>
      <c r="BKA1" t="s">
        <v>1957</v>
      </c>
      <c r="BKB1" t="s">
        <v>1958</v>
      </c>
      <c r="BKC1" t="s">
        <v>1959</v>
      </c>
      <c r="BKD1" t="s">
        <v>1960</v>
      </c>
      <c r="BKE1" t="s">
        <v>1961</v>
      </c>
      <c r="BKF1" t="s">
        <v>1962</v>
      </c>
      <c r="BKG1" t="s">
        <v>1963</v>
      </c>
      <c r="BKH1" t="s">
        <v>1964</v>
      </c>
      <c r="BKI1" t="s">
        <v>1965</v>
      </c>
      <c r="BKJ1" t="s">
        <v>1966</v>
      </c>
      <c r="BKK1" t="s">
        <v>1967</v>
      </c>
      <c r="BKL1" t="s">
        <v>1968</v>
      </c>
      <c r="BKM1" t="s">
        <v>1969</v>
      </c>
      <c r="BKN1" t="s">
        <v>1970</v>
      </c>
      <c r="BKO1" t="s">
        <v>1971</v>
      </c>
      <c r="BKP1" t="s">
        <v>1972</v>
      </c>
      <c r="BKQ1" t="s">
        <v>1973</v>
      </c>
      <c r="BKR1" t="s">
        <v>1974</v>
      </c>
      <c r="BKS1" t="s">
        <v>1975</v>
      </c>
      <c r="BKT1" t="s">
        <v>1976</v>
      </c>
      <c r="BKU1" t="s">
        <v>1977</v>
      </c>
      <c r="BKV1" t="s">
        <v>1978</v>
      </c>
      <c r="BKW1" t="s">
        <v>1979</v>
      </c>
      <c r="BKX1" t="s">
        <v>1980</v>
      </c>
      <c r="BKY1" t="s">
        <v>1981</v>
      </c>
      <c r="BKZ1" t="s">
        <v>1982</v>
      </c>
      <c r="BLA1" t="s">
        <v>1983</v>
      </c>
      <c r="BLB1" t="s">
        <v>1984</v>
      </c>
      <c r="BLC1" t="s">
        <v>1985</v>
      </c>
      <c r="BLD1" t="s">
        <v>1986</v>
      </c>
      <c r="BLE1" t="s">
        <v>1987</v>
      </c>
      <c r="BLF1" t="s">
        <v>1988</v>
      </c>
      <c r="BLG1" t="s">
        <v>1989</v>
      </c>
      <c r="BLH1" t="s">
        <v>1990</v>
      </c>
      <c r="BLI1" t="s">
        <v>1991</v>
      </c>
      <c r="BLJ1" t="s">
        <v>1992</v>
      </c>
      <c r="BLK1" t="s">
        <v>1993</v>
      </c>
      <c r="BLL1" t="s">
        <v>1994</v>
      </c>
      <c r="BLM1" t="s">
        <v>1995</v>
      </c>
      <c r="BLN1" t="s">
        <v>1996</v>
      </c>
      <c r="BLO1" t="s">
        <v>1997</v>
      </c>
      <c r="BLP1" t="s">
        <v>1998</v>
      </c>
      <c r="BLQ1" t="s">
        <v>1999</v>
      </c>
      <c r="BLR1" t="s">
        <v>2000</v>
      </c>
      <c r="BLS1" t="s">
        <v>2001</v>
      </c>
      <c r="BLT1" t="s">
        <v>2002</v>
      </c>
      <c r="BLU1" t="s">
        <v>2003</v>
      </c>
      <c r="BLV1" t="s">
        <v>2004</v>
      </c>
      <c r="BLW1" t="s">
        <v>2005</v>
      </c>
      <c r="BLX1" t="s">
        <v>2006</v>
      </c>
      <c r="BLY1" t="s">
        <v>2007</v>
      </c>
      <c r="BLZ1" t="s">
        <v>2008</v>
      </c>
      <c r="BMA1" t="s">
        <v>2009</v>
      </c>
      <c r="BMB1" t="s">
        <v>2010</v>
      </c>
      <c r="BMC1" t="s">
        <v>2011</v>
      </c>
      <c r="BMD1" t="s">
        <v>2012</v>
      </c>
      <c r="BME1" t="s">
        <v>2013</v>
      </c>
      <c r="BMF1" t="s">
        <v>2014</v>
      </c>
      <c r="BMG1" t="s">
        <v>2015</v>
      </c>
      <c r="BMH1" t="s">
        <v>2016</v>
      </c>
      <c r="BMI1" t="s">
        <v>2017</v>
      </c>
      <c r="BMJ1" t="s">
        <v>2018</v>
      </c>
      <c r="BMK1" t="s">
        <v>2019</v>
      </c>
      <c r="BML1" t="s">
        <v>2020</v>
      </c>
      <c r="BMM1" t="s">
        <v>2021</v>
      </c>
      <c r="BMN1" t="s">
        <v>2022</v>
      </c>
      <c r="BMO1" t="s">
        <v>2023</v>
      </c>
      <c r="BMP1" t="s">
        <v>2024</v>
      </c>
      <c r="BMQ1" t="s">
        <v>2025</v>
      </c>
      <c r="BMR1" t="s">
        <v>2026</v>
      </c>
      <c r="BMS1" t="s">
        <v>2027</v>
      </c>
      <c r="BMT1" t="s">
        <v>2028</v>
      </c>
      <c r="BMU1" t="s">
        <v>2029</v>
      </c>
      <c r="BMV1" t="s">
        <v>2030</v>
      </c>
      <c r="BMW1" t="s">
        <v>2031</v>
      </c>
      <c r="BMX1" t="s">
        <v>2032</v>
      </c>
      <c r="BMY1" t="s">
        <v>2033</v>
      </c>
      <c r="BMZ1" t="s">
        <v>2034</v>
      </c>
      <c r="BNA1" t="s">
        <v>2035</v>
      </c>
      <c r="BNB1" t="s">
        <v>2036</v>
      </c>
      <c r="BNC1" t="s">
        <v>2037</v>
      </c>
      <c r="BND1" t="s">
        <v>2038</v>
      </c>
      <c r="BNE1" t="s">
        <v>2039</v>
      </c>
      <c r="BNF1" t="s">
        <v>2040</v>
      </c>
      <c r="BNG1" t="s">
        <v>2041</v>
      </c>
      <c r="BNH1" t="s">
        <v>2042</v>
      </c>
      <c r="BNI1" t="s">
        <v>2043</v>
      </c>
      <c r="BNJ1" t="s">
        <v>2044</v>
      </c>
      <c r="BNK1" t="s">
        <v>2045</v>
      </c>
      <c r="BNL1" t="s">
        <v>2046</v>
      </c>
      <c r="BNM1" t="s">
        <v>2047</v>
      </c>
      <c r="BNN1" t="s">
        <v>2048</v>
      </c>
      <c r="BNO1" t="s">
        <v>2049</v>
      </c>
      <c r="BNP1" t="s">
        <v>2050</v>
      </c>
      <c r="BNQ1" t="s">
        <v>2051</v>
      </c>
      <c r="BNR1" t="s">
        <v>2052</v>
      </c>
      <c r="BNS1" t="s">
        <v>2053</v>
      </c>
      <c r="BNT1" t="s">
        <v>2054</v>
      </c>
      <c r="BNU1" t="s">
        <v>2055</v>
      </c>
      <c r="BNV1" t="s">
        <v>2056</v>
      </c>
      <c r="BNW1" t="s">
        <v>2057</v>
      </c>
      <c r="BNX1" t="s">
        <v>2058</v>
      </c>
      <c r="BNY1" t="s">
        <v>2059</v>
      </c>
      <c r="BNZ1" t="s">
        <v>2060</v>
      </c>
      <c r="BOA1" t="s">
        <v>2061</v>
      </c>
      <c r="BOB1" t="s">
        <v>2062</v>
      </c>
      <c r="BOC1" t="s">
        <v>2063</v>
      </c>
      <c r="BOD1" t="s">
        <v>2064</v>
      </c>
      <c r="BOE1" t="s">
        <v>2065</v>
      </c>
      <c r="BOF1" t="s">
        <v>2066</v>
      </c>
      <c r="BOG1" t="s">
        <v>2067</v>
      </c>
      <c r="BOH1" t="s">
        <v>2068</v>
      </c>
      <c r="BOI1" t="s">
        <v>2069</v>
      </c>
      <c r="BOJ1" t="s">
        <v>2070</v>
      </c>
      <c r="BOK1" t="s">
        <v>2071</v>
      </c>
      <c r="BOL1" t="s">
        <v>2072</v>
      </c>
      <c r="BOM1" t="s">
        <v>2073</v>
      </c>
      <c r="BON1" t="s">
        <v>2074</v>
      </c>
      <c r="BOO1" t="s">
        <v>2075</v>
      </c>
      <c r="BOP1" t="s">
        <v>2076</v>
      </c>
      <c r="BOQ1" t="s">
        <v>2077</v>
      </c>
      <c r="BOR1" t="s">
        <v>2078</v>
      </c>
      <c r="BOS1" t="s">
        <v>2079</v>
      </c>
      <c r="BOT1" t="s">
        <v>2080</v>
      </c>
      <c r="BOU1" t="s">
        <v>2081</v>
      </c>
      <c r="BOV1" t="s">
        <v>2082</v>
      </c>
      <c r="BOW1" t="s">
        <v>2083</v>
      </c>
      <c r="BOX1" t="s">
        <v>2084</v>
      </c>
      <c r="BOY1" t="s">
        <v>2085</v>
      </c>
      <c r="BOZ1" t="s">
        <v>2086</v>
      </c>
      <c r="BPA1" t="s">
        <v>2087</v>
      </c>
      <c r="BPB1" t="s">
        <v>2088</v>
      </c>
      <c r="BPC1" t="s">
        <v>2089</v>
      </c>
      <c r="BPD1" t="s">
        <v>2090</v>
      </c>
      <c r="BPE1" t="s">
        <v>2091</v>
      </c>
      <c r="BPF1" t="s">
        <v>2092</v>
      </c>
      <c r="BPG1" t="s">
        <v>2093</v>
      </c>
      <c r="BPH1" t="s">
        <v>2094</v>
      </c>
      <c r="BPI1" t="s">
        <v>2095</v>
      </c>
      <c r="BPJ1" t="s">
        <v>2096</v>
      </c>
      <c r="BPK1" t="s">
        <v>2097</v>
      </c>
      <c r="BPL1" t="s">
        <v>2098</v>
      </c>
      <c r="BPM1" t="s">
        <v>2099</v>
      </c>
      <c r="BPN1" t="s">
        <v>2100</v>
      </c>
      <c r="BPO1" t="s">
        <v>2101</v>
      </c>
      <c r="BPP1" t="s">
        <v>2102</v>
      </c>
      <c r="BPQ1" t="s">
        <v>2103</v>
      </c>
      <c r="BPR1" t="s">
        <v>2104</v>
      </c>
      <c r="BPS1" t="s">
        <v>2105</v>
      </c>
      <c r="BPT1" t="s">
        <v>2106</v>
      </c>
      <c r="BPU1" t="s">
        <v>2107</v>
      </c>
      <c r="BPV1" t="s">
        <v>2108</v>
      </c>
      <c r="BPW1" t="s">
        <v>2109</v>
      </c>
      <c r="BPX1" t="s">
        <v>2110</v>
      </c>
      <c r="BPY1" t="s">
        <v>2111</v>
      </c>
      <c r="BPZ1" t="s">
        <v>2112</v>
      </c>
      <c r="BQA1" t="s">
        <v>2113</v>
      </c>
      <c r="BQB1" t="s">
        <v>2114</v>
      </c>
      <c r="BQC1" t="s">
        <v>2115</v>
      </c>
      <c r="BQD1" t="s">
        <v>2116</v>
      </c>
      <c r="BQE1" t="s">
        <v>2117</v>
      </c>
      <c r="BQF1" t="s">
        <v>2118</v>
      </c>
      <c r="BQG1" t="s">
        <v>2119</v>
      </c>
      <c r="BQH1" t="s">
        <v>2120</v>
      </c>
      <c r="BQI1" t="s">
        <v>2121</v>
      </c>
      <c r="BQJ1" t="s">
        <v>2122</v>
      </c>
      <c r="BQK1" t="s">
        <v>2123</v>
      </c>
      <c r="BQL1" t="s">
        <v>2124</v>
      </c>
      <c r="BQM1" t="s">
        <v>2125</v>
      </c>
      <c r="BQN1" t="s">
        <v>2126</v>
      </c>
      <c r="BQO1" t="s">
        <v>2127</v>
      </c>
      <c r="BQP1" t="s">
        <v>2128</v>
      </c>
      <c r="BQQ1" t="s">
        <v>2129</v>
      </c>
      <c r="BQR1" t="s">
        <v>2130</v>
      </c>
      <c r="BQS1" t="s">
        <v>2131</v>
      </c>
      <c r="BQT1" t="s">
        <v>2132</v>
      </c>
      <c r="BQU1" t="s">
        <v>2133</v>
      </c>
      <c r="BQV1" t="s">
        <v>2134</v>
      </c>
      <c r="BQW1" t="s">
        <v>2135</v>
      </c>
      <c r="BQX1" t="s">
        <v>2136</v>
      </c>
      <c r="BQY1" t="s">
        <v>2137</v>
      </c>
      <c r="BQZ1" t="s">
        <v>2138</v>
      </c>
      <c r="BRA1" t="s">
        <v>2139</v>
      </c>
      <c r="BRB1" t="s">
        <v>2140</v>
      </c>
      <c r="BRC1" t="s">
        <v>2141</v>
      </c>
      <c r="BRD1" t="s">
        <v>2142</v>
      </c>
      <c r="BRE1" t="s">
        <v>2143</v>
      </c>
      <c r="BRF1" t="s">
        <v>2144</v>
      </c>
      <c r="BRG1" t="s">
        <v>2145</v>
      </c>
      <c r="BRH1" t="s">
        <v>2146</v>
      </c>
      <c r="BRI1" t="s">
        <v>2147</v>
      </c>
      <c r="BRJ1" t="s">
        <v>2148</v>
      </c>
      <c r="BRK1" t="s">
        <v>2149</v>
      </c>
      <c r="BRL1" t="s">
        <v>2150</v>
      </c>
      <c r="BRM1" t="s">
        <v>2151</v>
      </c>
      <c r="BRN1" t="s">
        <v>2152</v>
      </c>
      <c r="BRO1" t="s">
        <v>2153</v>
      </c>
      <c r="BRP1" t="s">
        <v>2154</v>
      </c>
      <c r="BRQ1" t="s">
        <v>2155</v>
      </c>
      <c r="BRR1" t="s">
        <v>2156</v>
      </c>
      <c r="BRS1" t="s">
        <v>2157</v>
      </c>
      <c r="BRT1" t="s">
        <v>2158</v>
      </c>
      <c r="BRU1" t="s">
        <v>2159</v>
      </c>
      <c r="BRV1" t="s">
        <v>2160</v>
      </c>
      <c r="BRW1" t="s">
        <v>2161</v>
      </c>
      <c r="BRX1" t="s">
        <v>2162</v>
      </c>
      <c r="BRY1" t="s">
        <v>2163</v>
      </c>
      <c r="BRZ1" t="s">
        <v>2164</v>
      </c>
      <c r="BSA1" t="s">
        <v>2165</v>
      </c>
      <c r="BSB1" t="s">
        <v>2166</v>
      </c>
      <c r="BSC1" t="s">
        <v>2167</v>
      </c>
      <c r="BSD1" t="s">
        <v>2168</v>
      </c>
      <c r="BSE1" t="s">
        <v>2169</v>
      </c>
      <c r="BSF1" t="s">
        <v>2170</v>
      </c>
      <c r="BSG1" t="s">
        <v>2171</v>
      </c>
      <c r="BSH1" t="s">
        <v>2172</v>
      </c>
      <c r="BSI1" t="s">
        <v>2173</v>
      </c>
      <c r="BSJ1" t="s">
        <v>2174</v>
      </c>
      <c r="BSK1" t="s">
        <v>2175</v>
      </c>
      <c r="BSL1" t="s">
        <v>2176</v>
      </c>
      <c r="BSM1" t="s">
        <v>2177</v>
      </c>
      <c r="BSN1" t="s">
        <v>2178</v>
      </c>
      <c r="BSO1" t="s">
        <v>2179</v>
      </c>
      <c r="BSP1" t="s">
        <v>2180</v>
      </c>
      <c r="BSQ1" t="s">
        <v>2181</v>
      </c>
      <c r="BSR1" t="s">
        <v>2182</v>
      </c>
      <c r="BSS1" t="s">
        <v>2183</v>
      </c>
      <c r="BST1" t="s">
        <v>2184</v>
      </c>
      <c r="BSU1" t="s">
        <v>2185</v>
      </c>
      <c r="BSV1" t="s">
        <v>2186</v>
      </c>
      <c r="BSW1" t="s">
        <v>2187</v>
      </c>
      <c r="BSX1" t="s">
        <v>2188</v>
      </c>
      <c r="BSY1" t="s">
        <v>2189</v>
      </c>
      <c r="BSZ1" t="s">
        <v>2190</v>
      </c>
      <c r="BTA1" t="s">
        <v>2191</v>
      </c>
      <c r="BTB1" t="s">
        <v>2192</v>
      </c>
      <c r="BTC1" t="s">
        <v>2193</v>
      </c>
      <c r="BTD1" t="s">
        <v>2194</v>
      </c>
      <c r="BTE1" t="s">
        <v>2195</v>
      </c>
      <c r="BTF1" t="s">
        <v>2196</v>
      </c>
      <c r="BTG1" t="s">
        <v>2197</v>
      </c>
      <c r="BTH1" t="s">
        <v>2198</v>
      </c>
      <c r="BTI1" t="s">
        <v>2199</v>
      </c>
      <c r="BTJ1" t="s">
        <v>2200</v>
      </c>
      <c r="BTK1" t="s">
        <v>2201</v>
      </c>
      <c r="BTL1" t="s">
        <v>2202</v>
      </c>
      <c r="BTM1" t="s">
        <v>2203</v>
      </c>
      <c r="BTN1" t="s">
        <v>2204</v>
      </c>
      <c r="BTO1" t="s">
        <v>2205</v>
      </c>
      <c r="BTP1" t="s">
        <v>2206</v>
      </c>
      <c r="BTQ1" t="s">
        <v>2207</v>
      </c>
      <c r="BTR1" t="s">
        <v>2208</v>
      </c>
      <c r="BTS1" t="s">
        <v>2209</v>
      </c>
      <c r="BTT1" t="s">
        <v>2210</v>
      </c>
      <c r="BTU1" t="s">
        <v>2211</v>
      </c>
      <c r="BTV1" t="s">
        <v>2212</v>
      </c>
      <c r="BTW1" t="s">
        <v>2213</v>
      </c>
      <c r="BTX1" t="s">
        <v>2214</v>
      </c>
      <c r="BTY1" t="s">
        <v>2215</v>
      </c>
      <c r="BTZ1" t="s">
        <v>2216</v>
      </c>
      <c r="BUA1" t="s">
        <v>2217</v>
      </c>
      <c r="BUB1" t="s">
        <v>2218</v>
      </c>
      <c r="BUC1" t="s">
        <v>2219</v>
      </c>
      <c r="BUD1" t="s">
        <v>2220</v>
      </c>
      <c r="BUE1" t="s">
        <v>2221</v>
      </c>
      <c r="BUF1" t="s">
        <v>2222</v>
      </c>
      <c r="BUG1" t="s">
        <v>2223</v>
      </c>
      <c r="BUH1" t="s">
        <v>2224</v>
      </c>
      <c r="BUI1" t="s">
        <v>2225</v>
      </c>
      <c r="BUJ1" t="s">
        <v>2226</v>
      </c>
      <c r="BUK1" t="s">
        <v>2227</v>
      </c>
      <c r="BUL1" t="s">
        <v>2228</v>
      </c>
      <c r="BUM1" t="s">
        <v>2229</v>
      </c>
      <c r="BUN1" t="s">
        <v>2230</v>
      </c>
      <c r="BUO1" t="s">
        <v>2231</v>
      </c>
      <c r="BUP1" t="s">
        <v>2232</v>
      </c>
      <c r="BUQ1" t="s">
        <v>2233</v>
      </c>
      <c r="BUR1" t="s">
        <v>2234</v>
      </c>
      <c r="BUS1" t="s">
        <v>2235</v>
      </c>
      <c r="BUT1" t="s">
        <v>2236</v>
      </c>
      <c r="BUU1" t="s">
        <v>2237</v>
      </c>
      <c r="BUV1" t="s">
        <v>2238</v>
      </c>
      <c r="BUW1" t="s">
        <v>2239</v>
      </c>
      <c r="BUX1" t="s">
        <v>2240</v>
      </c>
      <c r="BUY1" t="s">
        <v>2241</v>
      </c>
      <c r="BUZ1" t="s">
        <v>2242</v>
      </c>
      <c r="BVA1" t="s">
        <v>2243</v>
      </c>
      <c r="BVB1" t="s">
        <v>2244</v>
      </c>
      <c r="BVC1" t="s">
        <v>2245</v>
      </c>
      <c r="BVD1" t="s">
        <v>2246</v>
      </c>
      <c r="BVE1" t="s">
        <v>2247</v>
      </c>
      <c r="BVF1" t="s">
        <v>2248</v>
      </c>
      <c r="BVG1" t="s">
        <v>2249</v>
      </c>
      <c r="BVH1" t="s">
        <v>2250</v>
      </c>
      <c r="BVI1" t="s">
        <v>2251</v>
      </c>
      <c r="BVJ1" t="s">
        <v>2252</v>
      </c>
      <c r="BVK1" t="s">
        <v>2253</v>
      </c>
      <c r="BVL1" t="s">
        <v>2254</v>
      </c>
      <c r="BVM1" t="s">
        <v>2255</v>
      </c>
      <c r="BVN1" t="s">
        <v>2256</v>
      </c>
      <c r="BVO1" t="s">
        <v>2257</v>
      </c>
      <c r="BVP1" t="s">
        <v>2258</v>
      </c>
      <c r="BVQ1" t="s">
        <v>2259</v>
      </c>
      <c r="BVR1" t="s">
        <v>2260</v>
      </c>
      <c r="BVS1" t="s">
        <v>2261</v>
      </c>
      <c r="BVT1" t="s">
        <v>2262</v>
      </c>
      <c r="BVU1" t="s">
        <v>2263</v>
      </c>
      <c r="BVV1" t="s">
        <v>2264</v>
      </c>
      <c r="BVW1" t="s">
        <v>2265</v>
      </c>
      <c r="BVX1" t="s">
        <v>2266</v>
      </c>
      <c r="BVY1" t="s">
        <v>2267</v>
      </c>
      <c r="BVZ1" t="s">
        <v>2268</v>
      </c>
      <c r="BWA1" t="s">
        <v>2269</v>
      </c>
      <c r="BWB1" t="s">
        <v>2270</v>
      </c>
      <c r="BWC1" t="s">
        <v>2271</v>
      </c>
      <c r="BWD1" t="s">
        <v>2272</v>
      </c>
      <c r="BWE1" t="s">
        <v>2273</v>
      </c>
      <c r="BWF1" t="s">
        <v>2274</v>
      </c>
      <c r="BWG1" t="s">
        <v>2275</v>
      </c>
      <c r="BWH1" t="s">
        <v>2276</v>
      </c>
      <c r="BWI1" t="s">
        <v>2277</v>
      </c>
      <c r="BWJ1" t="s">
        <v>2278</v>
      </c>
      <c r="BWK1" t="s">
        <v>2279</v>
      </c>
      <c r="BWL1" t="s">
        <v>2280</v>
      </c>
      <c r="BWM1" t="s">
        <v>2281</v>
      </c>
      <c r="BWN1" t="s">
        <v>2282</v>
      </c>
      <c r="BWO1" t="s">
        <v>2283</v>
      </c>
      <c r="BWP1" t="s">
        <v>2284</v>
      </c>
      <c r="BWQ1" t="s">
        <v>2285</v>
      </c>
      <c r="BWR1" t="s">
        <v>2286</v>
      </c>
      <c r="BWS1" t="s">
        <v>2287</v>
      </c>
      <c r="BWT1" t="s">
        <v>2288</v>
      </c>
      <c r="BWU1" t="s">
        <v>2289</v>
      </c>
      <c r="BWV1" t="s">
        <v>2290</v>
      </c>
      <c r="BWW1" t="s">
        <v>2291</v>
      </c>
      <c r="BWX1" t="s">
        <v>2292</v>
      </c>
      <c r="BWY1" t="s">
        <v>2293</v>
      </c>
      <c r="BWZ1" t="s">
        <v>2294</v>
      </c>
      <c r="BXA1" t="s">
        <v>2295</v>
      </c>
      <c r="BXB1" t="s">
        <v>2296</v>
      </c>
      <c r="BXC1" t="s">
        <v>2297</v>
      </c>
      <c r="BXD1" t="s">
        <v>2298</v>
      </c>
      <c r="BXE1" t="s">
        <v>2299</v>
      </c>
      <c r="BXF1" t="s">
        <v>2300</v>
      </c>
      <c r="BXG1" t="s">
        <v>2301</v>
      </c>
      <c r="BXH1" t="s">
        <v>2302</v>
      </c>
      <c r="BXI1" t="s">
        <v>2303</v>
      </c>
      <c r="BXJ1" t="s">
        <v>2304</v>
      </c>
      <c r="BXK1" t="s">
        <v>2305</v>
      </c>
      <c r="BXL1" t="s">
        <v>2306</v>
      </c>
      <c r="BXM1" t="s">
        <v>2307</v>
      </c>
      <c r="BXN1" t="s">
        <v>2308</v>
      </c>
      <c r="BXO1" t="s">
        <v>2309</v>
      </c>
      <c r="BXP1" t="s">
        <v>2310</v>
      </c>
      <c r="BXQ1" t="s">
        <v>2311</v>
      </c>
      <c r="BXR1" t="s">
        <v>2312</v>
      </c>
      <c r="BXS1" t="s">
        <v>2313</v>
      </c>
      <c r="BXT1" t="s">
        <v>2314</v>
      </c>
      <c r="BXU1" t="s">
        <v>2315</v>
      </c>
      <c r="BXV1" t="s">
        <v>2316</v>
      </c>
      <c r="BXW1" t="s">
        <v>2317</v>
      </c>
      <c r="BXX1" t="s">
        <v>2318</v>
      </c>
      <c r="BXY1" t="s">
        <v>2319</v>
      </c>
      <c r="BXZ1" t="s">
        <v>2320</v>
      </c>
      <c r="BYA1" t="s">
        <v>2321</v>
      </c>
      <c r="BYB1" t="s">
        <v>2322</v>
      </c>
      <c r="BYC1" t="s">
        <v>2323</v>
      </c>
      <c r="BYD1" t="s">
        <v>2324</v>
      </c>
      <c r="BYE1" t="s">
        <v>2325</v>
      </c>
      <c r="BYF1" t="s">
        <v>2326</v>
      </c>
      <c r="BYG1" t="s">
        <v>2327</v>
      </c>
      <c r="BYH1" t="s">
        <v>2328</v>
      </c>
      <c r="BYI1" t="s">
        <v>2329</v>
      </c>
      <c r="BYJ1" t="s">
        <v>2330</v>
      </c>
      <c r="BYK1" t="s">
        <v>2331</v>
      </c>
      <c r="BYL1" t="s">
        <v>2332</v>
      </c>
      <c r="BYM1" t="s">
        <v>2333</v>
      </c>
      <c r="BYN1" t="s">
        <v>2334</v>
      </c>
      <c r="BYO1" t="s">
        <v>2335</v>
      </c>
      <c r="BYP1" t="s">
        <v>2336</v>
      </c>
      <c r="BYQ1" t="s">
        <v>2337</v>
      </c>
      <c r="BYR1" t="s">
        <v>2338</v>
      </c>
      <c r="BYS1" t="s">
        <v>2339</v>
      </c>
      <c r="BYT1" t="s">
        <v>2340</v>
      </c>
      <c r="BYU1" t="s">
        <v>2341</v>
      </c>
      <c r="BYV1" t="s">
        <v>2342</v>
      </c>
      <c r="BYW1" t="s">
        <v>2343</v>
      </c>
      <c r="BYX1" t="s">
        <v>2344</v>
      </c>
      <c r="BYY1" t="s">
        <v>2345</v>
      </c>
      <c r="BYZ1" t="s">
        <v>2346</v>
      </c>
      <c r="BZA1" t="s">
        <v>2347</v>
      </c>
      <c r="BZB1" t="s">
        <v>2348</v>
      </c>
      <c r="BZC1" t="s">
        <v>2349</v>
      </c>
      <c r="BZD1" t="s">
        <v>2350</v>
      </c>
      <c r="BZE1" t="s">
        <v>2351</v>
      </c>
      <c r="BZF1" t="s">
        <v>2352</v>
      </c>
      <c r="BZG1" t="s">
        <v>2353</v>
      </c>
      <c r="BZH1" t="s">
        <v>2354</v>
      </c>
      <c r="BZI1" t="s">
        <v>2355</v>
      </c>
      <c r="BZJ1" t="s">
        <v>2356</v>
      </c>
      <c r="BZK1" t="s">
        <v>2357</v>
      </c>
      <c r="BZL1" t="s">
        <v>2358</v>
      </c>
      <c r="BZM1" t="s">
        <v>2359</v>
      </c>
      <c r="BZN1" t="s">
        <v>2360</v>
      </c>
      <c r="BZO1" t="s">
        <v>2361</v>
      </c>
      <c r="BZP1" t="s">
        <v>2362</v>
      </c>
      <c r="BZQ1" t="s">
        <v>2363</v>
      </c>
      <c r="BZR1" t="s">
        <v>2364</v>
      </c>
      <c r="BZS1" t="s">
        <v>2365</v>
      </c>
      <c r="BZT1" t="s">
        <v>2366</v>
      </c>
      <c r="BZU1" t="s">
        <v>2367</v>
      </c>
      <c r="BZV1" t="s">
        <v>2368</v>
      </c>
      <c r="BZW1" t="s">
        <v>2369</v>
      </c>
      <c r="BZX1" t="s">
        <v>2370</v>
      </c>
      <c r="BZY1" t="s">
        <v>2371</v>
      </c>
      <c r="BZZ1" t="s">
        <v>2372</v>
      </c>
      <c r="CAA1" t="s">
        <v>2373</v>
      </c>
      <c r="CAB1" t="s">
        <v>2374</v>
      </c>
      <c r="CAC1" t="s">
        <v>2375</v>
      </c>
      <c r="CAD1" t="s">
        <v>2376</v>
      </c>
      <c r="CAE1" t="s">
        <v>2377</v>
      </c>
      <c r="CAF1" t="s">
        <v>2378</v>
      </c>
      <c r="CAG1" t="s">
        <v>2379</v>
      </c>
      <c r="CAH1" t="s">
        <v>2380</v>
      </c>
      <c r="CAI1" t="s">
        <v>2381</v>
      </c>
      <c r="CAJ1" t="s">
        <v>2382</v>
      </c>
      <c r="CAK1" t="s">
        <v>2383</v>
      </c>
      <c r="CAL1" t="s">
        <v>2384</v>
      </c>
      <c r="CAM1" t="s">
        <v>2385</v>
      </c>
      <c r="CAN1" t="s">
        <v>2386</v>
      </c>
      <c r="CAO1" t="s">
        <v>2387</v>
      </c>
      <c r="CAP1" t="s">
        <v>2388</v>
      </c>
      <c r="CAQ1" t="s">
        <v>2389</v>
      </c>
      <c r="CAR1" t="s">
        <v>2390</v>
      </c>
      <c r="CAS1" t="s">
        <v>2391</v>
      </c>
      <c r="CAT1" t="s">
        <v>2392</v>
      </c>
      <c r="CAU1" t="s">
        <v>2393</v>
      </c>
      <c r="CAV1" t="s">
        <v>2394</v>
      </c>
      <c r="CAW1" t="s">
        <v>2395</v>
      </c>
      <c r="CAX1" t="s">
        <v>2396</v>
      </c>
      <c r="CAY1" t="s">
        <v>2397</v>
      </c>
      <c r="CAZ1" t="s">
        <v>2398</v>
      </c>
      <c r="CBA1" t="s">
        <v>2399</v>
      </c>
      <c r="CBB1" t="s">
        <v>2400</v>
      </c>
      <c r="CBC1" t="s">
        <v>2401</v>
      </c>
      <c r="CBD1" t="s">
        <v>2402</v>
      </c>
      <c r="CBE1" t="s">
        <v>2403</v>
      </c>
      <c r="CBF1" t="s">
        <v>2404</v>
      </c>
      <c r="CBG1" t="s">
        <v>2405</v>
      </c>
      <c r="CBH1" t="s">
        <v>2406</v>
      </c>
      <c r="CBI1" t="s">
        <v>2407</v>
      </c>
      <c r="CBJ1" t="s">
        <v>2408</v>
      </c>
      <c r="CBK1" t="s">
        <v>2409</v>
      </c>
      <c r="CBL1" t="s">
        <v>2410</v>
      </c>
      <c r="CBM1" t="s">
        <v>2411</v>
      </c>
      <c r="CBN1" t="s">
        <v>2412</v>
      </c>
      <c r="CBO1" t="s">
        <v>2413</v>
      </c>
      <c r="CBP1" t="s">
        <v>2414</v>
      </c>
      <c r="CBQ1" t="s">
        <v>2415</v>
      </c>
      <c r="CBR1" t="s">
        <v>2416</v>
      </c>
      <c r="CBS1" t="s">
        <v>2417</v>
      </c>
      <c r="CBT1" t="s">
        <v>2418</v>
      </c>
      <c r="CBU1" t="s">
        <v>2419</v>
      </c>
      <c r="CBV1" t="s">
        <v>2420</v>
      </c>
      <c r="CBW1" t="s">
        <v>2421</v>
      </c>
      <c r="CBX1" t="s">
        <v>2422</v>
      </c>
      <c r="CBY1" t="s">
        <v>2423</v>
      </c>
      <c r="CBZ1" t="s">
        <v>2424</v>
      </c>
      <c r="CCA1" t="s">
        <v>2425</v>
      </c>
      <c r="CCB1" t="s">
        <v>2426</v>
      </c>
      <c r="CCC1" t="s">
        <v>2427</v>
      </c>
      <c r="CCD1" t="s">
        <v>2428</v>
      </c>
      <c r="CCE1" t="s">
        <v>2429</v>
      </c>
      <c r="CCF1" t="s">
        <v>2430</v>
      </c>
      <c r="CCG1" t="s">
        <v>2431</v>
      </c>
      <c r="CCH1" t="s">
        <v>2432</v>
      </c>
      <c r="CCI1" t="s">
        <v>2433</v>
      </c>
      <c r="CCJ1" t="s">
        <v>2434</v>
      </c>
      <c r="CCK1" t="s">
        <v>2435</v>
      </c>
      <c r="CCL1" t="s">
        <v>2436</v>
      </c>
      <c r="CCM1" t="s">
        <v>2437</v>
      </c>
      <c r="CCN1" t="s">
        <v>2438</v>
      </c>
      <c r="CCO1" t="s">
        <v>2439</v>
      </c>
      <c r="CCP1" t="s">
        <v>2440</v>
      </c>
      <c r="CCQ1" t="s">
        <v>2441</v>
      </c>
      <c r="CCR1" t="s">
        <v>2442</v>
      </c>
      <c r="CCS1" t="s">
        <v>2443</v>
      </c>
      <c r="CCT1" t="s">
        <v>2444</v>
      </c>
      <c r="CCU1" t="s">
        <v>2445</v>
      </c>
      <c r="CCV1" t="s">
        <v>2446</v>
      </c>
      <c r="CCW1" t="s">
        <v>2447</v>
      </c>
      <c r="CCX1" t="s">
        <v>2448</v>
      </c>
      <c r="CCY1" t="s">
        <v>2449</v>
      </c>
      <c r="CCZ1" t="s">
        <v>2450</v>
      </c>
      <c r="CDA1" t="s">
        <v>2451</v>
      </c>
      <c r="CDB1" t="s">
        <v>2452</v>
      </c>
      <c r="CDC1" t="s">
        <v>2453</v>
      </c>
      <c r="CDD1" t="s">
        <v>2454</v>
      </c>
      <c r="CDE1" t="s">
        <v>2455</v>
      </c>
      <c r="CDF1" t="s">
        <v>2456</v>
      </c>
      <c r="CDG1" t="s">
        <v>2457</v>
      </c>
      <c r="CDH1" t="s">
        <v>2458</v>
      </c>
      <c r="CDI1" t="s">
        <v>2459</v>
      </c>
      <c r="CDJ1" t="s">
        <v>2460</v>
      </c>
      <c r="CDK1" t="s">
        <v>2461</v>
      </c>
      <c r="CDL1" t="s">
        <v>2462</v>
      </c>
      <c r="CDM1" t="s">
        <v>2463</v>
      </c>
      <c r="CDN1" t="s">
        <v>2464</v>
      </c>
      <c r="CDO1" t="s">
        <v>2465</v>
      </c>
      <c r="CDP1" t="s">
        <v>2466</v>
      </c>
      <c r="CDQ1" t="s">
        <v>2467</v>
      </c>
      <c r="CDR1" t="s">
        <v>2468</v>
      </c>
      <c r="CDS1" t="s">
        <v>2469</v>
      </c>
      <c r="CDT1" t="s">
        <v>2470</v>
      </c>
      <c r="CDU1" t="s">
        <v>2471</v>
      </c>
      <c r="CDV1" t="s">
        <v>2472</v>
      </c>
      <c r="CDW1" t="s">
        <v>2473</v>
      </c>
      <c r="CDX1" t="s">
        <v>2474</v>
      </c>
      <c r="CDY1" t="s">
        <v>2475</v>
      </c>
      <c r="CDZ1" t="s">
        <v>2476</v>
      </c>
      <c r="CEA1" t="s">
        <v>2477</v>
      </c>
      <c r="CEB1" t="s">
        <v>2478</v>
      </c>
      <c r="CEC1" t="s">
        <v>2479</v>
      </c>
      <c r="CED1" t="s">
        <v>2480</v>
      </c>
      <c r="CEE1" t="s">
        <v>2481</v>
      </c>
      <c r="CEF1" t="s">
        <v>2482</v>
      </c>
      <c r="CEG1" t="s">
        <v>2483</v>
      </c>
      <c r="CEH1" t="s">
        <v>2484</v>
      </c>
      <c r="CEI1" t="s">
        <v>2485</v>
      </c>
      <c r="CEJ1" t="s">
        <v>2486</v>
      </c>
      <c r="CEK1" t="s">
        <v>2487</v>
      </c>
      <c r="CEL1" t="s">
        <v>2488</v>
      </c>
      <c r="CEM1" t="s">
        <v>2489</v>
      </c>
      <c r="CEN1" t="s">
        <v>2490</v>
      </c>
      <c r="CEO1" t="s">
        <v>2491</v>
      </c>
      <c r="CEP1" t="s">
        <v>2492</v>
      </c>
      <c r="CEQ1" t="s">
        <v>2493</v>
      </c>
      <c r="CER1" t="s">
        <v>2494</v>
      </c>
      <c r="CES1" t="s">
        <v>2495</v>
      </c>
      <c r="CET1" t="s">
        <v>2496</v>
      </c>
      <c r="CEU1" t="s">
        <v>2497</v>
      </c>
      <c r="CEV1" t="s">
        <v>2498</v>
      </c>
      <c r="CEW1" t="s">
        <v>2499</v>
      </c>
      <c r="CEX1" t="s">
        <v>2500</v>
      </c>
      <c r="CEY1" t="s">
        <v>2501</v>
      </c>
      <c r="CEZ1" t="s">
        <v>2502</v>
      </c>
      <c r="CFA1" t="s">
        <v>2503</v>
      </c>
      <c r="CFB1" t="s">
        <v>2504</v>
      </c>
      <c r="CFC1" t="s">
        <v>2505</v>
      </c>
      <c r="CFD1" t="s">
        <v>2506</v>
      </c>
      <c r="CFE1" t="s">
        <v>2507</v>
      </c>
      <c r="CFF1" t="s">
        <v>2508</v>
      </c>
      <c r="CFG1" t="s">
        <v>2509</v>
      </c>
      <c r="CFH1" t="s">
        <v>2510</v>
      </c>
      <c r="CFI1" t="s">
        <v>2511</v>
      </c>
      <c r="CFJ1" t="s">
        <v>2512</v>
      </c>
      <c r="CFK1" t="s">
        <v>2513</v>
      </c>
      <c r="CFL1" t="s">
        <v>2514</v>
      </c>
      <c r="CFM1" t="s">
        <v>2515</v>
      </c>
      <c r="CFN1" t="s">
        <v>2516</v>
      </c>
      <c r="CFO1" t="s">
        <v>2517</v>
      </c>
      <c r="CFP1" t="s">
        <v>2518</v>
      </c>
      <c r="CFQ1" t="s">
        <v>2519</v>
      </c>
      <c r="CFR1" t="s">
        <v>2520</v>
      </c>
      <c r="CFS1" t="s">
        <v>2521</v>
      </c>
      <c r="CFT1" t="s">
        <v>2522</v>
      </c>
      <c r="CFU1" t="s">
        <v>2523</v>
      </c>
      <c r="CFV1" t="s">
        <v>2524</v>
      </c>
      <c r="CFW1" t="s">
        <v>2525</v>
      </c>
      <c r="CFX1" t="s">
        <v>2526</v>
      </c>
      <c r="CFY1" t="s">
        <v>2527</v>
      </c>
      <c r="CFZ1" t="s">
        <v>2528</v>
      </c>
      <c r="CGA1" t="s">
        <v>2529</v>
      </c>
      <c r="CGB1" t="s">
        <v>2530</v>
      </c>
      <c r="CGC1" t="s">
        <v>2531</v>
      </c>
      <c r="CGD1" t="s">
        <v>2532</v>
      </c>
      <c r="CGE1" t="s">
        <v>2533</v>
      </c>
      <c r="CGF1" t="s">
        <v>2534</v>
      </c>
      <c r="CGG1" t="s">
        <v>2535</v>
      </c>
      <c r="CGH1" t="s">
        <v>2536</v>
      </c>
      <c r="CGI1" t="s">
        <v>2537</v>
      </c>
      <c r="CGJ1" t="s">
        <v>2538</v>
      </c>
      <c r="CGK1" t="s">
        <v>2539</v>
      </c>
      <c r="CGL1" t="s">
        <v>2540</v>
      </c>
      <c r="CGM1" t="s">
        <v>2541</v>
      </c>
      <c r="CGN1" t="s">
        <v>2542</v>
      </c>
      <c r="CGO1" t="s">
        <v>2543</v>
      </c>
      <c r="CGP1" t="s">
        <v>2544</v>
      </c>
      <c r="CGQ1" t="s">
        <v>2545</v>
      </c>
      <c r="CGR1" t="s">
        <v>2546</v>
      </c>
      <c r="CGS1" t="s">
        <v>2547</v>
      </c>
      <c r="CGT1" t="s">
        <v>2548</v>
      </c>
      <c r="CGU1" t="s">
        <v>2549</v>
      </c>
      <c r="CGV1" t="s">
        <v>2550</v>
      </c>
      <c r="CGW1" t="s">
        <v>2551</v>
      </c>
      <c r="CGX1" t="s">
        <v>2552</v>
      </c>
      <c r="CGY1" t="s">
        <v>2553</v>
      </c>
      <c r="CGZ1" t="s">
        <v>2554</v>
      </c>
      <c r="CHA1" t="s">
        <v>2555</v>
      </c>
      <c r="CHB1" t="s">
        <v>2556</v>
      </c>
      <c r="CHC1" t="s">
        <v>2557</v>
      </c>
      <c r="CHD1" t="s">
        <v>2558</v>
      </c>
      <c r="CHE1" t="s">
        <v>2559</v>
      </c>
      <c r="CHF1" t="s">
        <v>2560</v>
      </c>
      <c r="CHG1" t="s">
        <v>2561</v>
      </c>
      <c r="CHH1" t="s">
        <v>2562</v>
      </c>
      <c r="CHI1" t="s">
        <v>2563</v>
      </c>
      <c r="CHJ1" t="s">
        <v>2564</v>
      </c>
      <c r="CHK1" t="s">
        <v>2565</v>
      </c>
      <c r="CHL1" t="s">
        <v>2566</v>
      </c>
      <c r="CHM1" t="s">
        <v>2567</v>
      </c>
      <c r="CHN1" t="s">
        <v>2568</v>
      </c>
      <c r="CHO1" t="s">
        <v>2569</v>
      </c>
      <c r="CHP1" t="s">
        <v>2570</v>
      </c>
      <c r="CHQ1" t="s">
        <v>2571</v>
      </c>
      <c r="CHR1" t="s">
        <v>2572</v>
      </c>
      <c r="CHS1" t="s">
        <v>2573</v>
      </c>
      <c r="CHT1" t="s">
        <v>2574</v>
      </c>
      <c r="CHU1" t="s">
        <v>2575</v>
      </c>
      <c r="CHV1" t="s">
        <v>2576</v>
      </c>
      <c r="CHW1" t="s">
        <v>2577</v>
      </c>
      <c r="CHX1" t="s">
        <v>2578</v>
      </c>
      <c r="CHY1" t="s">
        <v>2579</v>
      </c>
      <c r="CHZ1" t="s">
        <v>2580</v>
      </c>
      <c r="CIA1" t="s">
        <v>2581</v>
      </c>
      <c r="CIB1" t="s">
        <v>2582</v>
      </c>
      <c r="CIC1" t="s">
        <v>2583</v>
      </c>
      <c r="CID1" t="s">
        <v>2584</v>
      </c>
      <c r="CIE1" t="s">
        <v>2585</v>
      </c>
      <c r="CIF1" t="s">
        <v>2586</v>
      </c>
      <c r="CIG1" t="s">
        <v>2587</v>
      </c>
      <c r="CIH1" t="s">
        <v>2588</v>
      </c>
      <c r="CII1" t="s">
        <v>2589</v>
      </c>
      <c r="CIJ1" t="s">
        <v>2590</v>
      </c>
      <c r="CIK1" t="s">
        <v>2591</v>
      </c>
      <c r="CIL1" t="s">
        <v>2592</v>
      </c>
      <c r="CIM1" t="s">
        <v>2593</v>
      </c>
      <c r="CIN1" t="s">
        <v>2594</v>
      </c>
      <c r="CIO1" t="s">
        <v>2595</v>
      </c>
      <c r="CIP1" t="s">
        <v>2596</v>
      </c>
      <c r="CIQ1" t="s">
        <v>2597</v>
      </c>
      <c r="CIR1" t="s">
        <v>2598</v>
      </c>
      <c r="CIS1" t="s">
        <v>2599</v>
      </c>
      <c r="CIT1" t="s">
        <v>2600</v>
      </c>
      <c r="CIU1" t="s">
        <v>2601</v>
      </c>
      <c r="CIV1" t="s">
        <v>2602</v>
      </c>
      <c r="CIW1" t="s">
        <v>2603</v>
      </c>
      <c r="CIX1" t="s">
        <v>2604</v>
      </c>
      <c r="CIY1" t="s">
        <v>2605</v>
      </c>
      <c r="CIZ1" t="s">
        <v>2606</v>
      </c>
      <c r="CJA1" t="s">
        <v>2607</v>
      </c>
      <c r="CJB1" t="s">
        <v>2608</v>
      </c>
      <c r="CJC1" t="s">
        <v>2609</v>
      </c>
      <c r="CJD1" t="s">
        <v>2610</v>
      </c>
      <c r="CJE1" t="s">
        <v>2611</v>
      </c>
      <c r="CJF1" t="s">
        <v>2612</v>
      </c>
      <c r="CJG1" t="s">
        <v>2613</v>
      </c>
      <c r="CJH1" t="s">
        <v>2614</v>
      </c>
      <c r="CJI1" t="s">
        <v>2615</v>
      </c>
      <c r="CJJ1" t="s">
        <v>2616</v>
      </c>
      <c r="CJK1" t="s">
        <v>2617</v>
      </c>
      <c r="CJL1" t="s">
        <v>2618</v>
      </c>
      <c r="CJM1" t="s">
        <v>2619</v>
      </c>
      <c r="CJN1" t="s">
        <v>2620</v>
      </c>
      <c r="CJO1" t="s">
        <v>2621</v>
      </c>
      <c r="CJP1" t="s">
        <v>2622</v>
      </c>
      <c r="CJQ1" t="s">
        <v>2623</v>
      </c>
      <c r="CJR1" t="s">
        <v>2624</v>
      </c>
      <c r="CJS1" t="s">
        <v>2625</v>
      </c>
      <c r="CJT1" t="s">
        <v>2626</v>
      </c>
      <c r="CJU1" t="s">
        <v>2627</v>
      </c>
      <c r="CJV1" t="s">
        <v>2628</v>
      </c>
      <c r="CJW1" t="s">
        <v>2629</v>
      </c>
      <c r="CJX1" t="s">
        <v>2630</v>
      </c>
      <c r="CJY1" t="s">
        <v>2631</v>
      </c>
      <c r="CJZ1" t="s">
        <v>2632</v>
      </c>
      <c r="CKA1" t="s">
        <v>2633</v>
      </c>
      <c r="CKB1" t="s">
        <v>2634</v>
      </c>
      <c r="CKC1" t="s">
        <v>2635</v>
      </c>
      <c r="CKD1" t="s">
        <v>2636</v>
      </c>
      <c r="CKE1" t="s">
        <v>2637</v>
      </c>
      <c r="CKF1" t="s">
        <v>2638</v>
      </c>
      <c r="CKG1" t="s">
        <v>2639</v>
      </c>
      <c r="CKH1" t="s">
        <v>2640</v>
      </c>
      <c r="CKI1" t="s">
        <v>2641</v>
      </c>
      <c r="CKJ1" t="s">
        <v>2642</v>
      </c>
      <c r="CKK1" t="s">
        <v>2643</v>
      </c>
      <c r="CKL1" t="s">
        <v>2644</v>
      </c>
      <c r="CKM1" t="s">
        <v>2645</v>
      </c>
      <c r="CKN1" t="s">
        <v>2646</v>
      </c>
      <c r="CKO1" t="s">
        <v>2647</v>
      </c>
      <c r="CKP1" t="s">
        <v>2648</v>
      </c>
      <c r="CKQ1" t="s">
        <v>2649</v>
      </c>
      <c r="CKR1" t="s">
        <v>2650</v>
      </c>
      <c r="CKS1" t="s">
        <v>2651</v>
      </c>
      <c r="CKT1" t="s">
        <v>2652</v>
      </c>
      <c r="CKU1" t="s">
        <v>2653</v>
      </c>
      <c r="CKV1" t="s">
        <v>2654</v>
      </c>
      <c r="CKW1" t="s">
        <v>2655</v>
      </c>
      <c r="CKX1" t="s">
        <v>2656</v>
      </c>
      <c r="CKY1" t="s">
        <v>2657</v>
      </c>
      <c r="CKZ1" t="s">
        <v>2658</v>
      </c>
      <c r="CLA1" t="s">
        <v>2659</v>
      </c>
      <c r="CLB1" t="s">
        <v>2660</v>
      </c>
      <c r="CLC1" t="s">
        <v>2661</v>
      </c>
      <c r="CLD1" t="s">
        <v>2662</v>
      </c>
      <c r="CLE1" t="s">
        <v>2663</v>
      </c>
      <c r="CLF1" t="s">
        <v>2664</v>
      </c>
      <c r="CLG1" t="s">
        <v>2665</v>
      </c>
      <c r="CLH1" t="s">
        <v>2666</v>
      </c>
      <c r="CLI1" t="s">
        <v>2667</v>
      </c>
      <c r="CLJ1" t="s">
        <v>2668</v>
      </c>
      <c r="CLK1" t="s">
        <v>2669</v>
      </c>
      <c r="CLL1" t="s">
        <v>2670</v>
      </c>
      <c r="CLM1" t="s">
        <v>2671</v>
      </c>
      <c r="CLN1" t="s">
        <v>2672</v>
      </c>
      <c r="CLO1" t="s">
        <v>2673</v>
      </c>
      <c r="CLP1" t="s">
        <v>2674</v>
      </c>
      <c r="CLQ1" t="s">
        <v>2675</v>
      </c>
      <c r="CLR1" t="s">
        <v>2676</v>
      </c>
      <c r="CLS1" t="s">
        <v>2677</v>
      </c>
      <c r="CLT1" t="s">
        <v>2678</v>
      </c>
      <c r="CLU1" t="s">
        <v>2679</v>
      </c>
      <c r="CLV1" t="s">
        <v>2680</v>
      </c>
      <c r="CLW1" t="s">
        <v>2681</v>
      </c>
      <c r="CLX1" t="s">
        <v>2682</v>
      </c>
      <c r="CLY1" t="s">
        <v>2683</v>
      </c>
      <c r="CLZ1" t="s">
        <v>2684</v>
      </c>
      <c r="CMA1" t="s">
        <v>2685</v>
      </c>
      <c r="CMB1" t="s">
        <v>2686</v>
      </c>
      <c r="CMC1" t="s">
        <v>2687</v>
      </c>
      <c r="CMD1" t="s">
        <v>2688</v>
      </c>
      <c r="CME1" t="s">
        <v>2689</v>
      </c>
      <c r="CMF1" t="s">
        <v>2690</v>
      </c>
      <c r="CMG1" t="s">
        <v>2691</v>
      </c>
      <c r="CMH1" t="s">
        <v>2692</v>
      </c>
      <c r="CMI1" t="s">
        <v>2693</v>
      </c>
      <c r="CMJ1" t="s">
        <v>2694</v>
      </c>
      <c r="CMK1" t="s">
        <v>2695</v>
      </c>
      <c r="CML1" t="s">
        <v>2696</v>
      </c>
      <c r="CMM1" t="s">
        <v>2697</v>
      </c>
      <c r="CMN1" t="s">
        <v>2698</v>
      </c>
      <c r="CMO1" t="s">
        <v>2699</v>
      </c>
      <c r="CMP1" t="s">
        <v>2700</v>
      </c>
      <c r="CMQ1" t="s">
        <v>2701</v>
      </c>
      <c r="CMR1" t="s">
        <v>2702</v>
      </c>
      <c r="CMS1" t="s">
        <v>2703</v>
      </c>
      <c r="CMT1" t="s">
        <v>2704</v>
      </c>
      <c r="CMU1" t="s">
        <v>2705</v>
      </c>
      <c r="CMV1" t="s">
        <v>2706</v>
      </c>
      <c r="CMW1" t="s">
        <v>2707</v>
      </c>
      <c r="CMX1" t="s">
        <v>2708</v>
      </c>
      <c r="CMY1" t="s">
        <v>2709</v>
      </c>
      <c r="CMZ1" t="s">
        <v>2710</v>
      </c>
      <c r="CNA1" t="s">
        <v>2711</v>
      </c>
      <c r="CNB1" t="s">
        <v>2712</v>
      </c>
      <c r="CNC1" t="s">
        <v>2713</v>
      </c>
      <c r="CND1" t="s">
        <v>2714</v>
      </c>
      <c r="CNE1" t="s">
        <v>2715</v>
      </c>
      <c r="CNF1" t="s">
        <v>2716</v>
      </c>
      <c r="CNG1" t="s">
        <v>2717</v>
      </c>
      <c r="CNH1" t="s">
        <v>2718</v>
      </c>
      <c r="CNI1" t="s">
        <v>2719</v>
      </c>
      <c r="CNJ1" t="s">
        <v>2720</v>
      </c>
      <c r="CNK1" t="s">
        <v>2721</v>
      </c>
      <c r="CNL1" t="s">
        <v>2722</v>
      </c>
      <c r="CNM1" t="s">
        <v>2723</v>
      </c>
      <c r="CNN1" t="s">
        <v>2724</v>
      </c>
      <c r="CNO1" t="s">
        <v>2725</v>
      </c>
      <c r="CNP1" t="s">
        <v>2726</v>
      </c>
      <c r="CNQ1" t="s">
        <v>2727</v>
      </c>
      <c r="CNR1" t="s">
        <v>2728</v>
      </c>
      <c r="CNS1" t="s">
        <v>2729</v>
      </c>
      <c r="CNT1" t="s">
        <v>2730</v>
      </c>
      <c r="CNU1" t="s">
        <v>2731</v>
      </c>
      <c r="CNV1" t="s">
        <v>2732</v>
      </c>
      <c r="CNW1" t="s">
        <v>2733</v>
      </c>
      <c r="CNX1" t="s">
        <v>2734</v>
      </c>
      <c r="CNY1" t="s">
        <v>2735</v>
      </c>
      <c r="CNZ1" t="s">
        <v>2736</v>
      </c>
      <c r="COA1" t="s">
        <v>2737</v>
      </c>
      <c r="COB1" t="s">
        <v>2738</v>
      </c>
      <c r="COC1" t="s">
        <v>2739</v>
      </c>
      <c r="COD1" t="s">
        <v>2740</v>
      </c>
      <c r="COE1" t="s">
        <v>2741</v>
      </c>
      <c r="COF1" t="s">
        <v>2742</v>
      </c>
      <c r="COG1" t="s">
        <v>2743</v>
      </c>
      <c r="COH1" t="s">
        <v>2744</v>
      </c>
      <c r="COI1" t="s">
        <v>2745</v>
      </c>
      <c r="COJ1" t="s">
        <v>2746</v>
      </c>
      <c r="COK1" t="s">
        <v>2747</v>
      </c>
      <c r="COL1" t="s">
        <v>2748</v>
      </c>
      <c r="COM1" t="s">
        <v>2749</v>
      </c>
      <c r="CON1" t="s">
        <v>2750</v>
      </c>
      <c r="COO1" t="s">
        <v>2751</v>
      </c>
      <c r="COP1" t="s">
        <v>2752</v>
      </c>
      <c r="COQ1" t="s">
        <v>2753</v>
      </c>
      <c r="COR1" t="s">
        <v>2754</v>
      </c>
      <c r="COS1" t="s">
        <v>2755</v>
      </c>
      <c r="COT1" t="s">
        <v>2756</v>
      </c>
      <c r="COU1" t="s">
        <v>2757</v>
      </c>
      <c r="COV1" t="s">
        <v>2758</v>
      </c>
      <c r="COW1" t="s">
        <v>2759</v>
      </c>
      <c r="COX1" t="s">
        <v>2760</v>
      </c>
      <c r="COY1" t="s">
        <v>2761</v>
      </c>
      <c r="COZ1" t="s">
        <v>2762</v>
      </c>
      <c r="CPA1" t="s">
        <v>2763</v>
      </c>
      <c r="CPB1" t="s">
        <v>2764</v>
      </c>
      <c r="CPC1" t="s">
        <v>2765</v>
      </c>
      <c r="CPD1" t="s">
        <v>2766</v>
      </c>
      <c r="CPE1" t="s">
        <v>2767</v>
      </c>
      <c r="CPF1" t="s">
        <v>2768</v>
      </c>
      <c r="CPG1" t="s">
        <v>2769</v>
      </c>
      <c r="CPH1" t="s">
        <v>2770</v>
      </c>
      <c r="CPI1" t="s">
        <v>2771</v>
      </c>
      <c r="CPJ1" t="s">
        <v>2772</v>
      </c>
      <c r="CPK1" t="s">
        <v>2773</v>
      </c>
      <c r="CPL1" t="s">
        <v>2774</v>
      </c>
      <c r="CPM1" t="s">
        <v>2775</v>
      </c>
      <c r="CPN1" t="s">
        <v>2776</v>
      </c>
      <c r="CPO1" t="s">
        <v>2777</v>
      </c>
      <c r="CPP1" t="s">
        <v>2778</v>
      </c>
      <c r="CPQ1" t="s">
        <v>2779</v>
      </c>
      <c r="CPR1" t="s">
        <v>2780</v>
      </c>
      <c r="CPS1" t="s">
        <v>2781</v>
      </c>
      <c r="CPT1" t="s">
        <v>2782</v>
      </c>
      <c r="CPU1" t="s">
        <v>2783</v>
      </c>
      <c r="CPV1" t="s">
        <v>2784</v>
      </c>
      <c r="CPW1" t="s">
        <v>2785</v>
      </c>
      <c r="CPX1" t="s">
        <v>2786</v>
      </c>
      <c r="CPY1" t="s">
        <v>2787</v>
      </c>
      <c r="CPZ1" t="s">
        <v>2788</v>
      </c>
      <c r="CQA1" t="s">
        <v>2789</v>
      </c>
      <c r="CQB1" t="s">
        <v>2790</v>
      </c>
      <c r="CQC1" t="s">
        <v>2791</v>
      </c>
      <c r="CQD1" t="s">
        <v>2792</v>
      </c>
      <c r="CQE1" t="s">
        <v>2793</v>
      </c>
      <c r="CQF1" t="s">
        <v>2794</v>
      </c>
      <c r="CQG1" t="s">
        <v>2795</v>
      </c>
      <c r="CQH1" t="s">
        <v>2796</v>
      </c>
      <c r="CQI1" t="s">
        <v>2797</v>
      </c>
      <c r="CQJ1" t="s">
        <v>2798</v>
      </c>
      <c r="CQK1" t="s">
        <v>2799</v>
      </c>
      <c r="CQL1" t="s">
        <v>2800</v>
      </c>
      <c r="CQM1" t="s">
        <v>2801</v>
      </c>
      <c r="CQN1" t="s">
        <v>2802</v>
      </c>
      <c r="CQO1" t="s">
        <v>2803</v>
      </c>
      <c r="CQP1" t="s">
        <v>2804</v>
      </c>
      <c r="CQQ1" t="s">
        <v>2805</v>
      </c>
      <c r="CQR1" t="s">
        <v>2806</v>
      </c>
      <c r="CQS1" t="s">
        <v>2807</v>
      </c>
      <c r="CQT1" t="s">
        <v>2808</v>
      </c>
      <c r="CQU1" t="s">
        <v>2809</v>
      </c>
      <c r="CQV1" t="s">
        <v>2810</v>
      </c>
      <c r="CQW1" t="s">
        <v>2811</v>
      </c>
      <c r="CQX1" t="s">
        <v>2812</v>
      </c>
      <c r="CQY1" t="s">
        <v>2813</v>
      </c>
      <c r="CQZ1" t="s">
        <v>2814</v>
      </c>
      <c r="CRA1" t="s">
        <v>2815</v>
      </c>
      <c r="CRB1" t="s">
        <v>2816</v>
      </c>
      <c r="CRC1" t="s">
        <v>2817</v>
      </c>
      <c r="CRD1" t="s">
        <v>2818</v>
      </c>
      <c r="CRE1" t="s">
        <v>2819</v>
      </c>
      <c r="CRF1" t="s">
        <v>2820</v>
      </c>
      <c r="CRG1" t="s">
        <v>2821</v>
      </c>
      <c r="CRH1" t="s">
        <v>2822</v>
      </c>
      <c r="CRI1" t="s">
        <v>2823</v>
      </c>
      <c r="CRJ1" t="s">
        <v>2824</v>
      </c>
      <c r="CRK1" t="s">
        <v>2825</v>
      </c>
      <c r="CRL1" t="s">
        <v>2826</v>
      </c>
      <c r="CRM1" t="s">
        <v>2827</v>
      </c>
      <c r="CRN1" t="s">
        <v>2828</v>
      </c>
      <c r="CRO1" t="s">
        <v>2829</v>
      </c>
      <c r="CRP1" t="s">
        <v>2830</v>
      </c>
      <c r="CRQ1" t="s">
        <v>2831</v>
      </c>
      <c r="CRR1" t="s">
        <v>2832</v>
      </c>
      <c r="CRS1" t="s">
        <v>2833</v>
      </c>
      <c r="CRT1" t="s">
        <v>2834</v>
      </c>
      <c r="CRU1" t="s">
        <v>2835</v>
      </c>
      <c r="CRV1" t="s">
        <v>2836</v>
      </c>
      <c r="CRW1" t="s">
        <v>2837</v>
      </c>
      <c r="CRX1" t="s">
        <v>2838</v>
      </c>
      <c r="CRY1" t="s">
        <v>2839</v>
      </c>
      <c r="CRZ1" t="s">
        <v>2840</v>
      </c>
      <c r="CSA1" t="s">
        <v>2841</v>
      </c>
      <c r="CSB1" t="s">
        <v>2842</v>
      </c>
      <c r="CSC1" t="s">
        <v>2843</v>
      </c>
      <c r="CSD1" t="s">
        <v>2844</v>
      </c>
      <c r="CSE1" t="s">
        <v>2845</v>
      </c>
      <c r="CSF1" t="s">
        <v>2846</v>
      </c>
      <c r="CSG1" t="s">
        <v>2847</v>
      </c>
      <c r="CSH1" t="s">
        <v>2848</v>
      </c>
      <c r="CSI1" t="s">
        <v>2849</v>
      </c>
      <c r="CSJ1" t="s">
        <v>2850</v>
      </c>
      <c r="CSK1" t="s">
        <v>2851</v>
      </c>
      <c r="CSL1" t="s">
        <v>2852</v>
      </c>
      <c r="CSM1" t="s">
        <v>2853</v>
      </c>
      <c r="CSN1" t="s">
        <v>2854</v>
      </c>
      <c r="CSO1" t="s">
        <v>2855</v>
      </c>
      <c r="CSP1" t="s">
        <v>2856</v>
      </c>
      <c r="CSQ1" t="s">
        <v>2857</v>
      </c>
      <c r="CSR1" t="s">
        <v>2858</v>
      </c>
      <c r="CSS1" t="s">
        <v>2859</v>
      </c>
      <c r="CST1" t="s">
        <v>2860</v>
      </c>
      <c r="CSU1" t="s">
        <v>2861</v>
      </c>
      <c r="CSV1" t="s">
        <v>2862</v>
      </c>
      <c r="CSW1" t="s">
        <v>2863</v>
      </c>
      <c r="CSX1" t="s">
        <v>2864</v>
      </c>
      <c r="CSY1" t="s">
        <v>2865</v>
      </c>
      <c r="CSZ1" t="s">
        <v>2866</v>
      </c>
      <c r="CTA1" t="s">
        <v>2867</v>
      </c>
      <c r="CTB1" t="s">
        <v>2868</v>
      </c>
      <c r="CTC1" t="s">
        <v>2869</v>
      </c>
      <c r="CTD1" t="s">
        <v>2870</v>
      </c>
      <c r="CTE1" t="s">
        <v>2871</v>
      </c>
      <c r="CTF1" t="s">
        <v>2872</v>
      </c>
      <c r="CTG1" t="s">
        <v>2873</v>
      </c>
      <c r="CTH1" t="s">
        <v>2874</v>
      </c>
      <c r="CTI1" t="s">
        <v>2875</v>
      </c>
      <c r="CTJ1" t="s">
        <v>2876</v>
      </c>
      <c r="CTK1" t="s">
        <v>2877</v>
      </c>
      <c r="CTL1" t="s">
        <v>2878</v>
      </c>
      <c r="CTM1" t="s">
        <v>2879</v>
      </c>
      <c r="CTN1" t="s">
        <v>2880</v>
      </c>
      <c r="CTO1" t="s">
        <v>2881</v>
      </c>
      <c r="CTP1" t="s">
        <v>2882</v>
      </c>
      <c r="CTQ1" t="s">
        <v>2883</v>
      </c>
      <c r="CTR1" t="s">
        <v>2884</v>
      </c>
      <c r="CTS1" t="s">
        <v>2885</v>
      </c>
      <c r="CTT1" t="s">
        <v>2886</v>
      </c>
      <c r="CTU1" t="s">
        <v>2887</v>
      </c>
      <c r="CTV1" t="s">
        <v>2888</v>
      </c>
      <c r="CTW1" t="s">
        <v>2889</v>
      </c>
      <c r="CTX1" t="s">
        <v>2890</v>
      </c>
      <c r="CTY1" t="s">
        <v>2891</v>
      </c>
      <c r="CTZ1" t="s">
        <v>2892</v>
      </c>
      <c r="CUA1" t="s">
        <v>2893</v>
      </c>
      <c r="CUB1" t="s">
        <v>2894</v>
      </c>
      <c r="CUC1" t="s">
        <v>2895</v>
      </c>
      <c r="CUD1" t="s">
        <v>2896</v>
      </c>
      <c r="CUE1" t="s">
        <v>2897</v>
      </c>
      <c r="CUF1" t="s">
        <v>2898</v>
      </c>
      <c r="CUG1" t="s">
        <v>2899</v>
      </c>
      <c r="CUH1" t="s">
        <v>2900</v>
      </c>
      <c r="CUI1" t="s">
        <v>2901</v>
      </c>
      <c r="CUJ1" t="s">
        <v>2902</v>
      </c>
      <c r="CUK1" t="s">
        <v>2903</v>
      </c>
      <c r="CUL1" t="s">
        <v>2904</v>
      </c>
      <c r="CUM1" t="s">
        <v>2905</v>
      </c>
      <c r="CUN1" t="s">
        <v>2906</v>
      </c>
      <c r="CUO1" t="s">
        <v>2907</v>
      </c>
      <c r="CUP1" t="s">
        <v>2908</v>
      </c>
      <c r="CUQ1" t="s">
        <v>2909</v>
      </c>
      <c r="CUR1" t="s">
        <v>2910</v>
      </c>
      <c r="CUS1" t="s">
        <v>2911</v>
      </c>
      <c r="CUT1" t="s">
        <v>2912</v>
      </c>
      <c r="CUU1" t="s">
        <v>2913</v>
      </c>
      <c r="CUV1" t="s">
        <v>2914</v>
      </c>
      <c r="CUW1" t="s">
        <v>2915</v>
      </c>
      <c r="CUX1" t="s">
        <v>2916</v>
      </c>
      <c r="CUY1" t="s">
        <v>2917</v>
      </c>
      <c r="CUZ1" t="s">
        <v>2918</v>
      </c>
      <c r="CVA1" t="s">
        <v>2919</v>
      </c>
      <c r="CVB1" t="s">
        <v>2920</v>
      </c>
      <c r="CVC1" t="s">
        <v>2921</v>
      </c>
      <c r="CVD1" t="s">
        <v>2922</v>
      </c>
      <c r="CVE1" t="s">
        <v>2923</v>
      </c>
      <c r="CVF1" t="s">
        <v>2924</v>
      </c>
      <c r="CVG1" t="s">
        <v>2925</v>
      </c>
      <c r="CVH1" t="s">
        <v>2926</v>
      </c>
      <c r="CVI1" t="s">
        <v>2927</v>
      </c>
      <c r="CVJ1" t="s">
        <v>2928</v>
      </c>
      <c r="CVK1" t="s">
        <v>2929</v>
      </c>
      <c r="CVL1" t="s">
        <v>2930</v>
      </c>
      <c r="CVM1" t="s">
        <v>2931</v>
      </c>
      <c r="CVN1" t="s">
        <v>2932</v>
      </c>
      <c r="CVO1" t="s">
        <v>2933</v>
      </c>
      <c r="CVP1" t="s">
        <v>2934</v>
      </c>
      <c r="CVQ1" t="s">
        <v>2935</v>
      </c>
      <c r="CVR1" t="s">
        <v>2936</v>
      </c>
      <c r="CVS1" t="s">
        <v>2937</v>
      </c>
      <c r="CVT1" t="s">
        <v>2938</v>
      </c>
      <c r="CVU1" t="s">
        <v>2939</v>
      </c>
      <c r="CVV1" t="s">
        <v>2940</v>
      </c>
      <c r="CVW1" t="s">
        <v>2941</v>
      </c>
      <c r="CVX1" t="s">
        <v>2942</v>
      </c>
      <c r="CVY1" t="s">
        <v>2943</v>
      </c>
      <c r="CVZ1" t="s">
        <v>2944</v>
      </c>
      <c r="CWA1" t="s">
        <v>2945</v>
      </c>
      <c r="CWB1" t="s">
        <v>2946</v>
      </c>
      <c r="CWC1" t="s">
        <v>2947</v>
      </c>
      <c r="CWD1" t="s">
        <v>2948</v>
      </c>
      <c r="CWE1" t="s">
        <v>2949</v>
      </c>
      <c r="CWF1" t="s">
        <v>2950</v>
      </c>
      <c r="CWG1" t="s">
        <v>2951</v>
      </c>
      <c r="CWH1" t="s">
        <v>2952</v>
      </c>
      <c r="CWI1" t="s">
        <v>2953</v>
      </c>
      <c r="CWJ1" t="s">
        <v>2954</v>
      </c>
      <c r="CWK1" t="s">
        <v>2955</v>
      </c>
      <c r="CWL1" t="s">
        <v>2956</v>
      </c>
      <c r="CWM1" t="s">
        <v>2957</v>
      </c>
      <c r="CWN1" t="s">
        <v>2958</v>
      </c>
      <c r="CWO1" t="s">
        <v>2959</v>
      </c>
      <c r="CWP1" t="s">
        <v>2960</v>
      </c>
      <c r="CWQ1" t="s">
        <v>2961</v>
      </c>
      <c r="CWR1" t="s">
        <v>2962</v>
      </c>
      <c r="CWS1" t="s">
        <v>2963</v>
      </c>
      <c r="CWT1" t="s">
        <v>2964</v>
      </c>
      <c r="CWU1" t="s">
        <v>2965</v>
      </c>
      <c r="CWV1" t="s">
        <v>2966</v>
      </c>
      <c r="CWW1" t="s">
        <v>2967</v>
      </c>
      <c r="CWX1" t="s">
        <v>2968</v>
      </c>
      <c r="CWY1" t="s">
        <v>2969</v>
      </c>
      <c r="CWZ1" t="s">
        <v>2970</v>
      </c>
      <c r="CXA1" t="s">
        <v>2971</v>
      </c>
      <c r="CXB1" t="s">
        <v>2972</v>
      </c>
      <c r="CXC1" t="s">
        <v>2973</v>
      </c>
      <c r="CXD1" t="s">
        <v>2974</v>
      </c>
      <c r="CXE1" t="s">
        <v>2975</v>
      </c>
      <c r="CXF1" t="s">
        <v>2976</v>
      </c>
      <c r="CXG1" t="s">
        <v>2977</v>
      </c>
      <c r="CXH1" t="s">
        <v>2978</v>
      </c>
      <c r="CXI1" t="s">
        <v>2979</v>
      </c>
      <c r="CXJ1" t="s">
        <v>2980</v>
      </c>
      <c r="CXK1" t="s">
        <v>2981</v>
      </c>
      <c r="CXL1" t="s">
        <v>2982</v>
      </c>
      <c r="CXM1" t="s">
        <v>2983</v>
      </c>
      <c r="CXN1" t="s">
        <v>2984</v>
      </c>
      <c r="CXO1" t="s">
        <v>2985</v>
      </c>
      <c r="CXP1" t="s">
        <v>2986</v>
      </c>
      <c r="CXQ1" t="s">
        <v>2987</v>
      </c>
      <c r="CXR1" t="s">
        <v>2988</v>
      </c>
      <c r="CXS1" t="s">
        <v>2989</v>
      </c>
      <c r="CXT1" t="s">
        <v>2990</v>
      </c>
      <c r="CXU1" t="s">
        <v>2991</v>
      </c>
      <c r="CXV1" t="s">
        <v>2992</v>
      </c>
      <c r="CXW1" t="s">
        <v>2993</v>
      </c>
      <c r="CXX1" t="s">
        <v>2994</v>
      </c>
      <c r="CXY1" t="s">
        <v>2995</v>
      </c>
      <c r="CXZ1" t="s">
        <v>2996</v>
      </c>
      <c r="CYA1" t="s">
        <v>2997</v>
      </c>
      <c r="CYB1" t="s">
        <v>2998</v>
      </c>
      <c r="CYC1" t="s">
        <v>2999</v>
      </c>
      <c r="CYD1" t="s">
        <v>3000</v>
      </c>
      <c r="CYE1" t="s">
        <v>3001</v>
      </c>
      <c r="CYF1" t="s">
        <v>3002</v>
      </c>
      <c r="CYG1" t="s">
        <v>3003</v>
      </c>
      <c r="CYH1" t="s">
        <v>3004</v>
      </c>
      <c r="CYI1" t="s">
        <v>3005</v>
      </c>
      <c r="CYJ1" t="s">
        <v>3006</v>
      </c>
      <c r="CYK1" t="s">
        <v>3007</v>
      </c>
      <c r="CYL1" t="s">
        <v>3008</v>
      </c>
      <c r="CYM1" t="s">
        <v>3009</v>
      </c>
      <c r="CYN1" t="s">
        <v>3010</v>
      </c>
      <c r="CYO1" t="s">
        <v>3011</v>
      </c>
      <c r="CYP1" t="s">
        <v>3012</v>
      </c>
      <c r="CYQ1" t="s">
        <v>3013</v>
      </c>
      <c r="CYR1" t="s">
        <v>3014</v>
      </c>
      <c r="CYS1" t="s">
        <v>3015</v>
      </c>
      <c r="CYT1" t="s">
        <v>3016</v>
      </c>
      <c r="CYU1" t="s">
        <v>3017</v>
      </c>
      <c r="CYV1" t="s">
        <v>3018</v>
      </c>
      <c r="CYW1" t="s">
        <v>3019</v>
      </c>
      <c r="CYX1" t="s">
        <v>3020</v>
      </c>
      <c r="CYY1" t="s">
        <v>3021</v>
      </c>
      <c r="CYZ1" t="s">
        <v>3022</v>
      </c>
      <c r="CZA1" t="s">
        <v>3023</v>
      </c>
      <c r="CZB1" t="s">
        <v>3024</v>
      </c>
      <c r="CZC1" t="s">
        <v>3025</v>
      </c>
      <c r="CZD1" t="s">
        <v>3026</v>
      </c>
      <c r="CZE1" t="s">
        <v>3027</v>
      </c>
      <c r="CZF1" t="s">
        <v>3028</v>
      </c>
      <c r="CZG1" t="s">
        <v>3029</v>
      </c>
      <c r="CZH1" t="s">
        <v>3030</v>
      </c>
      <c r="CZI1" t="s">
        <v>3031</v>
      </c>
      <c r="CZJ1" t="s">
        <v>3032</v>
      </c>
      <c r="CZK1" t="s">
        <v>3033</v>
      </c>
      <c r="CZL1" t="s">
        <v>3034</v>
      </c>
      <c r="CZM1" t="s">
        <v>3035</v>
      </c>
      <c r="CZN1" t="s">
        <v>3036</v>
      </c>
      <c r="CZO1" t="s">
        <v>3037</v>
      </c>
      <c r="CZP1" t="s">
        <v>3038</v>
      </c>
      <c r="CZQ1" t="s">
        <v>3039</v>
      </c>
      <c r="CZR1" t="s">
        <v>3040</v>
      </c>
      <c r="CZS1" t="s">
        <v>3041</v>
      </c>
      <c r="CZT1" t="s">
        <v>3042</v>
      </c>
      <c r="CZU1" t="s">
        <v>3043</v>
      </c>
      <c r="CZV1" t="s">
        <v>3044</v>
      </c>
      <c r="CZW1" t="s">
        <v>3045</v>
      </c>
      <c r="CZX1" t="s">
        <v>3046</v>
      </c>
      <c r="CZY1" t="s">
        <v>3047</v>
      </c>
      <c r="CZZ1" t="s">
        <v>3048</v>
      </c>
      <c r="DAA1" t="s">
        <v>3049</v>
      </c>
      <c r="DAB1" t="s">
        <v>3050</v>
      </c>
      <c r="DAC1" t="s">
        <v>3051</v>
      </c>
      <c r="DAD1" t="s">
        <v>3052</v>
      </c>
      <c r="DAE1" t="s">
        <v>3053</v>
      </c>
      <c r="DAF1" t="s">
        <v>3054</v>
      </c>
      <c r="DAG1" t="s">
        <v>3055</v>
      </c>
      <c r="DAH1" t="s">
        <v>3056</v>
      </c>
      <c r="DAI1" t="s">
        <v>3057</v>
      </c>
      <c r="DAJ1" t="s">
        <v>3058</v>
      </c>
      <c r="DAK1" t="s">
        <v>3059</v>
      </c>
      <c r="DAL1" t="s">
        <v>3060</v>
      </c>
      <c r="DAM1" t="s">
        <v>3061</v>
      </c>
      <c r="DAN1" t="s">
        <v>3062</v>
      </c>
      <c r="DAO1" t="s">
        <v>3063</v>
      </c>
      <c r="DAP1" t="s">
        <v>3064</v>
      </c>
      <c r="DAQ1" t="s">
        <v>3065</v>
      </c>
      <c r="DAR1" t="s">
        <v>3066</v>
      </c>
      <c r="DAS1" t="s">
        <v>3067</v>
      </c>
      <c r="DAT1" t="s">
        <v>3068</v>
      </c>
      <c r="DAU1" t="s">
        <v>3069</v>
      </c>
      <c r="DAV1" t="s">
        <v>3070</v>
      </c>
      <c r="DAW1" t="s">
        <v>3071</v>
      </c>
      <c r="DAX1" t="s">
        <v>3072</v>
      </c>
      <c r="DAY1" t="s">
        <v>3073</v>
      </c>
      <c r="DAZ1" t="s">
        <v>3074</v>
      </c>
      <c r="DBA1" t="s">
        <v>3075</v>
      </c>
      <c r="DBB1" t="s">
        <v>3076</v>
      </c>
      <c r="DBC1" t="s">
        <v>3077</v>
      </c>
      <c r="DBD1" t="s">
        <v>3078</v>
      </c>
      <c r="DBE1" t="s">
        <v>3079</v>
      </c>
      <c r="DBF1" t="s">
        <v>3080</v>
      </c>
      <c r="DBG1" t="s">
        <v>3081</v>
      </c>
      <c r="DBH1" t="s">
        <v>3082</v>
      </c>
      <c r="DBI1" t="s">
        <v>3083</v>
      </c>
      <c r="DBJ1" t="s">
        <v>3084</v>
      </c>
      <c r="DBK1" t="s">
        <v>3085</v>
      </c>
      <c r="DBL1" t="s">
        <v>3086</v>
      </c>
      <c r="DBM1" t="s">
        <v>3087</v>
      </c>
      <c r="DBN1" t="s">
        <v>3088</v>
      </c>
      <c r="DBO1" t="s">
        <v>3089</v>
      </c>
      <c r="DBP1" t="s">
        <v>3090</v>
      </c>
      <c r="DBQ1" t="s">
        <v>3091</v>
      </c>
      <c r="DBR1" t="s">
        <v>3092</v>
      </c>
      <c r="DBS1" t="s">
        <v>3093</v>
      </c>
      <c r="DBT1" t="s">
        <v>3094</v>
      </c>
      <c r="DBU1" t="s">
        <v>3095</v>
      </c>
      <c r="DBV1" t="s">
        <v>3096</v>
      </c>
      <c r="DBW1" t="s">
        <v>3097</v>
      </c>
      <c r="DBX1" t="s">
        <v>3098</v>
      </c>
      <c r="DBY1" t="s">
        <v>3099</v>
      </c>
      <c r="DBZ1" t="s">
        <v>3100</v>
      </c>
      <c r="DCA1" t="s">
        <v>3101</v>
      </c>
      <c r="DCB1" t="s">
        <v>3102</v>
      </c>
      <c r="DCC1" t="s">
        <v>3103</v>
      </c>
      <c r="DCD1" t="s">
        <v>3104</v>
      </c>
      <c r="DCE1" t="s">
        <v>3105</v>
      </c>
      <c r="DCF1" t="s">
        <v>3106</v>
      </c>
      <c r="DCG1" t="s">
        <v>3107</v>
      </c>
      <c r="DCH1" t="s">
        <v>3108</v>
      </c>
      <c r="DCI1" t="s">
        <v>3109</v>
      </c>
      <c r="DCJ1" t="s">
        <v>3110</v>
      </c>
      <c r="DCK1" t="s">
        <v>3111</v>
      </c>
      <c r="DCL1" t="s">
        <v>3112</v>
      </c>
      <c r="DCM1" t="s">
        <v>3113</v>
      </c>
      <c r="DCN1" t="s">
        <v>3114</v>
      </c>
      <c r="DCO1" t="s">
        <v>3115</v>
      </c>
      <c r="DCP1" t="s">
        <v>3116</v>
      </c>
      <c r="DCQ1" t="s">
        <v>3117</v>
      </c>
      <c r="DCR1" t="s">
        <v>3118</v>
      </c>
      <c r="DCS1" t="s">
        <v>3119</v>
      </c>
      <c r="DCT1" t="s">
        <v>3120</v>
      </c>
      <c r="DCU1" t="s">
        <v>3121</v>
      </c>
      <c r="DCV1" t="s">
        <v>3122</v>
      </c>
      <c r="DCW1" t="s">
        <v>3123</v>
      </c>
      <c r="DCX1" t="s">
        <v>3124</v>
      </c>
      <c r="DCY1" t="s">
        <v>3125</v>
      </c>
      <c r="DCZ1" t="s">
        <v>3126</v>
      </c>
      <c r="DDA1" t="s">
        <v>3127</v>
      </c>
      <c r="DDB1" t="s">
        <v>3128</v>
      </c>
      <c r="DDC1" t="s">
        <v>3129</v>
      </c>
      <c r="DDD1" t="s">
        <v>3130</v>
      </c>
      <c r="DDE1" t="s">
        <v>3131</v>
      </c>
      <c r="DDF1" t="s">
        <v>3132</v>
      </c>
      <c r="DDG1" t="s">
        <v>3133</v>
      </c>
      <c r="DDH1" t="s">
        <v>3134</v>
      </c>
      <c r="DDI1" t="s">
        <v>3135</v>
      </c>
      <c r="DDJ1" t="s">
        <v>3136</v>
      </c>
      <c r="DDK1" t="s">
        <v>3137</v>
      </c>
      <c r="DDL1" t="s">
        <v>3138</v>
      </c>
      <c r="DDM1" t="s">
        <v>3139</v>
      </c>
      <c r="DDN1" t="s">
        <v>3140</v>
      </c>
      <c r="DDO1" t="s">
        <v>3141</v>
      </c>
      <c r="DDP1" t="s">
        <v>3142</v>
      </c>
      <c r="DDQ1" t="s">
        <v>3143</v>
      </c>
      <c r="DDR1" t="s">
        <v>3144</v>
      </c>
      <c r="DDS1" t="s">
        <v>3145</v>
      </c>
      <c r="DDT1" t="s">
        <v>3146</v>
      </c>
      <c r="DDU1" t="s">
        <v>3147</v>
      </c>
      <c r="DDV1" t="s">
        <v>3148</v>
      </c>
      <c r="DDW1" t="s">
        <v>3149</v>
      </c>
      <c r="DDX1" t="s">
        <v>3150</v>
      </c>
      <c r="DDY1" t="s">
        <v>3151</v>
      </c>
      <c r="DDZ1" t="s">
        <v>3152</v>
      </c>
      <c r="DEA1" t="s">
        <v>3153</v>
      </c>
      <c r="DEB1" t="s">
        <v>3154</v>
      </c>
      <c r="DEC1" t="s">
        <v>3155</v>
      </c>
      <c r="DED1" t="s">
        <v>3156</v>
      </c>
      <c r="DEE1" t="s">
        <v>3157</v>
      </c>
      <c r="DEF1" t="s">
        <v>3158</v>
      </c>
      <c r="DEG1" t="s">
        <v>3159</v>
      </c>
      <c r="DEH1" t="s">
        <v>3160</v>
      </c>
      <c r="DEI1" t="s">
        <v>3161</v>
      </c>
      <c r="DEJ1" t="s">
        <v>3162</v>
      </c>
      <c r="DEK1" t="s">
        <v>3163</v>
      </c>
      <c r="DEL1" t="s">
        <v>3164</v>
      </c>
      <c r="DEM1" t="s">
        <v>3165</v>
      </c>
      <c r="DEN1" t="s">
        <v>3166</v>
      </c>
      <c r="DEO1" t="s">
        <v>3167</v>
      </c>
      <c r="DEP1" t="s">
        <v>3168</v>
      </c>
      <c r="DEQ1" t="s">
        <v>3169</v>
      </c>
      <c r="DER1" t="s">
        <v>3170</v>
      </c>
      <c r="DES1" t="s">
        <v>3171</v>
      </c>
      <c r="DET1" t="s">
        <v>3172</v>
      </c>
      <c r="DEU1" t="s">
        <v>3173</v>
      </c>
      <c r="DEV1" t="s">
        <v>3174</v>
      </c>
      <c r="DEW1" t="s">
        <v>3175</v>
      </c>
      <c r="DEX1" t="s">
        <v>3176</v>
      </c>
      <c r="DEY1" t="s">
        <v>3177</v>
      </c>
      <c r="DEZ1" t="s">
        <v>3178</v>
      </c>
      <c r="DFA1" t="s">
        <v>3179</v>
      </c>
      <c r="DFB1" t="s">
        <v>3180</v>
      </c>
      <c r="DFC1" t="s">
        <v>3181</v>
      </c>
      <c r="DFD1" t="s">
        <v>3182</v>
      </c>
      <c r="DFE1" t="s">
        <v>3183</v>
      </c>
      <c r="DFF1" t="s">
        <v>3184</v>
      </c>
      <c r="DFG1" t="s">
        <v>3185</v>
      </c>
      <c r="DFH1" t="s">
        <v>3186</v>
      </c>
      <c r="DFI1" t="s">
        <v>3187</v>
      </c>
      <c r="DFJ1" t="s">
        <v>3188</v>
      </c>
      <c r="DFK1" t="s">
        <v>3189</v>
      </c>
      <c r="DFL1" t="s">
        <v>3190</v>
      </c>
      <c r="DFM1" t="s">
        <v>3191</v>
      </c>
      <c r="DFN1" t="s">
        <v>3192</v>
      </c>
      <c r="DFO1" t="s">
        <v>3193</v>
      </c>
      <c r="DFP1" t="s">
        <v>3194</v>
      </c>
      <c r="DFQ1" t="s">
        <v>3195</v>
      </c>
      <c r="DFR1" t="s">
        <v>3196</v>
      </c>
      <c r="DFS1" t="s">
        <v>3197</v>
      </c>
      <c r="DFT1" t="s">
        <v>3198</v>
      </c>
      <c r="DFU1" t="s">
        <v>3199</v>
      </c>
      <c r="DFV1" t="s">
        <v>3200</v>
      </c>
      <c r="DFW1" t="s">
        <v>3201</v>
      </c>
      <c r="DFX1" t="s">
        <v>3202</v>
      </c>
      <c r="DFY1" t="s">
        <v>3203</v>
      </c>
      <c r="DFZ1" t="s">
        <v>3204</v>
      </c>
      <c r="DGA1" t="s">
        <v>3205</v>
      </c>
      <c r="DGB1" t="s">
        <v>3206</v>
      </c>
      <c r="DGC1" t="s">
        <v>3207</v>
      </c>
      <c r="DGD1" t="s">
        <v>3208</v>
      </c>
      <c r="DGE1" t="s">
        <v>3209</v>
      </c>
      <c r="DGF1" t="s">
        <v>3210</v>
      </c>
      <c r="DGG1" t="s">
        <v>3211</v>
      </c>
      <c r="DGH1" t="s">
        <v>3212</v>
      </c>
      <c r="DGI1" t="s">
        <v>3213</v>
      </c>
      <c r="DGJ1" t="s">
        <v>3214</v>
      </c>
      <c r="DGK1" t="s">
        <v>3215</v>
      </c>
      <c r="DGL1" t="s">
        <v>3216</v>
      </c>
      <c r="DGM1" t="s">
        <v>3217</v>
      </c>
      <c r="DGN1" t="s">
        <v>3218</v>
      </c>
      <c r="DGO1" t="s">
        <v>3219</v>
      </c>
      <c r="DGP1" t="s">
        <v>3220</v>
      </c>
      <c r="DGQ1" t="s">
        <v>3221</v>
      </c>
      <c r="DGR1" t="s">
        <v>3222</v>
      </c>
      <c r="DGS1" t="s">
        <v>3223</v>
      </c>
      <c r="DGT1" t="s">
        <v>3224</v>
      </c>
      <c r="DGU1" t="s">
        <v>3225</v>
      </c>
      <c r="DGV1" t="s">
        <v>3226</v>
      </c>
      <c r="DGW1" t="s">
        <v>3227</v>
      </c>
      <c r="DGX1" t="s">
        <v>3228</v>
      </c>
      <c r="DGY1" t="s">
        <v>3229</v>
      </c>
      <c r="DGZ1" t="s">
        <v>3230</v>
      </c>
      <c r="DHA1" t="s">
        <v>3231</v>
      </c>
      <c r="DHB1" t="s">
        <v>3232</v>
      </c>
      <c r="DHC1" t="s">
        <v>3233</v>
      </c>
      <c r="DHD1" t="s">
        <v>3234</v>
      </c>
      <c r="DHE1" t="s">
        <v>3235</v>
      </c>
      <c r="DHF1" t="s">
        <v>3236</v>
      </c>
      <c r="DHG1" t="s">
        <v>3237</v>
      </c>
      <c r="DHH1" t="s">
        <v>3238</v>
      </c>
      <c r="DHI1" t="s">
        <v>3239</v>
      </c>
      <c r="DHJ1" t="s">
        <v>3240</v>
      </c>
      <c r="DHK1" t="s">
        <v>3241</v>
      </c>
      <c r="DHL1" t="s">
        <v>3242</v>
      </c>
      <c r="DHM1" t="s">
        <v>3243</v>
      </c>
      <c r="DHN1" t="s">
        <v>3244</v>
      </c>
      <c r="DHO1" t="s">
        <v>3245</v>
      </c>
      <c r="DHP1" t="s">
        <v>3246</v>
      </c>
      <c r="DHQ1" t="s">
        <v>3247</v>
      </c>
      <c r="DHR1" t="s">
        <v>3248</v>
      </c>
      <c r="DHS1" t="s">
        <v>3249</v>
      </c>
      <c r="DHT1" t="s">
        <v>3250</v>
      </c>
      <c r="DHU1" t="s">
        <v>3251</v>
      </c>
      <c r="DHV1" t="s">
        <v>3252</v>
      </c>
      <c r="DHW1" t="s">
        <v>3253</v>
      </c>
      <c r="DHX1" t="s">
        <v>3254</v>
      </c>
      <c r="DHY1" t="s">
        <v>3255</v>
      </c>
      <c r="DHZ1" t="s">
        <v>3256</v>
      </c>
      <c r="DIA1" t="s">
        <v>3257</v>
      </c>
      <c r="DIB1" t="s">
        <v>3258</v>
      </c>
      <c r="DIC1" t="s">
        <v>3259</v>
      </c>
      <c r="DID1" t="s">
        <v>3260</v>
      </c>
      <c r="DIE1" t="s">
        <v>3261</v>
      </c>
      <c r="DIF1" t="s">
        <v>3262</v>
      </c>
      <c r="DIG1" t="s">
        <v>3263</v>
      </c>
      <c r="DIH1" t="s">
        <v>3264</v>
      </c>
      <c r="DII1" t="s">
        <v>3265</v>
      </c>
      <c r="DIJ1" t="s">
        <v>3266</v>
      </c>
      <c r="DIK1" t="s">
        <v>3267</v>
      </c>
      <c r="DIL1" t="s">
        <v>3268</v>
      </c>
      <c r="DIM1" t="s">
        <v>3269</v>
      </c>
      <c r="DIN1" t="s">
        <v>3270</v>
      </c>
      <c r="DIO1" t="s">
        <v>3271</v>
      </c>
      <c r="DIP1" t="s">
        <v>3272</v>
      </c>
      <c r="DIQ1" t="s">
        <v>3273</v>
      </c>
      <c r="DIR1" t="s">
        <v>3274</v>
      </c>
      <c r="DIS1" t="s">
        <v>3275</v>
      </c>
      <c r="DIT1" t="s">
        <v>3276</v>
      </c>
      <c r="DIU1" t="s">
        <v>3277</v>
      </c>
      <c r="DIV1" t="s">
        <v>3278</v>
      </c>
      <c r="DIW1" t="s">
        <v>3279</v>
      </c>
      <c r="DIX1" t="s">
        <v>3280</v>
      </c>
      <c r="DIY1" t="s">
        <v>3281</v>
      </c>
      <c r="DIZ1" t="s">
        <v>3282</v>
      </c>
      <c r="DJA1" t="s">
        <v>3283</v>
      </c>
      <c r="DJB1" t="s">
        <v>3284</v>
      </c>
      <c r="DJC1" t="s">
        <v>3285</v>
      </c>
      <c r="DJD1" t="s">
        <v>3286</v>
      </c>
      <c r="DJE1" t="s">
        <v>3287</v>
      </c>
      <c r="DJF1" t="s">
        <v>3288</v>
      </c>
      <c r="DJG1" t="s">
        <v>3289</v>
      </c>
      <c r="DJH1" t="s">
        <v>3290</v>
      </c>
      <c r="DJI1" t="s">
        <v>3291</v>
      </c>
      <c r="DJJ1" t="s">
        <v>3292</v>
      </c>
      <c r="DJK1" t="s">
        <v>3293</v>
      </c>
      <c r="DJL1" t="s">
        <v>3294</v>
      </c>
      <c r="DJM1" t="s">
        <v>3295</v>
      </c>
      <c r="DJN1" t="s">
        <v>3296</v>
      </c>
      <c r="DJO1" t="s">
        <v>3297</v>
      </c>
      <c r="DJP1" t="s">
        <v>3298</v>
      </c>
      <c r="DJQ1" t="s">
        <v>3299</v>
      </c>
      <c r="DJR1" t="s">
        <v>3300</v>
      </c>
      <c r="DJS1" t="s">
        <v>3301</v>
      </c>
      <c r="DJT1" t="s">
        <v>3302</v>
      </c>
      <c r="DJU1" t="s">
        <v>3303</v>
      </c>
      <c r="DJV1" t="s">
        <v>3304</v>
      </c>
      <c r="DJW1" t="s">
        <v>3305</v>
      </c>
      <c r="DJX1" t="s">
        <v>3306</v>
      </c>
      <c r="DJY1" t="s">
        <v>3307</v>
      </c>
      <c r="DJZ1" t="s">
        <v>3308</v>
      </c>
      <c r="DKA1" t="s">
        <v>3309</v>
      </c>
      <c r="DKB1" t="s">
        <v>3310</v>
      </c>
      <c r="DKC1" t="s">
        <v>3311</v>
      </c>
      <c r="DKD1" t="s">
        <v>3312</v>
      </c>
      <c r="DKE1" t="s">
        <v>3313</v>
      </c>
      <c r="DKF1" t="s">
        <v>3314</v>
      </c>
      <c r="DKG1" t="s">
        <v>3315</v>
      </c>
      <c r="DKH1" t="s">
        <v>3316</v>
      </c>
      <c r="DKI1" t="s">
        <v>3317</v>
      </c>
      <c r="DKJ1" t="s">
        <v>3318</v>
      </c>
      <c r="DKK1" t="s">
        <v>3319</v>
      </c>
      <c r="DKL1" t="s">
        <v>3320</v>
      </c>
      <c r="DKM1" t="s">
        <v>3321</v>
      </c>
      <c r="DKN1" t="s">
        <v>3322</v>
      </c>
      <c r="DKO1" t="s">
        <v>3323</v>
      </c>
      <c r="DKP1" t="s">
        <v>3324</v>
      </c>
      <c r="DKQ1" t="s">
        <v>3325</v>
      </c>
      <c r="DKR1" t="s">
        <v>3326</v>
      </c>
      <c r="DKS1" t="s">
        <v>3327</v>
      </c>
      <c r="DKT1" t="s">
        <v>3328</v>
      </c>
      <c r="DKU1" t="s">
        <v>3329</v>
      </c>
      <c r="DKV1" t="s">
        <v>3330</v>
      </c>
      <c r="DKW1" t="s">
        <v>3331</v>
      </c>
      <c r="DKX1" t="s">
        <v>3332</v>
      </c>
      <c r="DKY1" t="s">
        <v>3333</v>
      </c>
      <c r="DKZ1" t="s">
        <v>3334</v>
      </c>
      <c r="DLA1" t="s">
        <v>3335</v>
      </c>
      <c r="DLB1" t="s">
        <v>3336</v>
      </c>
      <c r="DLC1" t="s">
        <v>3337</v>
      </c>
      <c r="DLD1" t="s">
        <v>3338</v>
      </c>
      <c r="DLE1" t="s">
        <v>3339</v>
      </c>
      <c r="DLF1" t="s">
        <v>3340</v>
      </c>
      <c r="DLG1" t="s">
        <v>3341</v>
      </c>
      <c r="DLH1" t="s">
        <v>3342</v>
      </c>
      <c r="DLI1" t="s">
        <v>3343</v>
      </c>
      <c r="DLJ1" t="s">
        <v>3344</v>
      </c>
      <c r="DLK1" t="s">
        <v>3345</v>
      </c>
      <c r="DLL1" t="s">
        <v>3346</v>
      </c>
      <c r="DLM1" t="s">
        <v>3347</v>
      </c>
      <c r="DLN1" t="s">
        <v>3348</v>
      </c>
      <c r="DLO1" t="s">
        <v>3349</v>
      </c>
      <c r="DLP1" t="s">
        <v>3350</v>
      </c>
      <c r="DLQ1" t="s">
        <v>3351</v>
      </c>
      <c r="DLR1" t="s">
        <v>3352</v>
      </c>
      <c r="DLS1" t="s">
        <v>3353</v>
      </c>
      <c r="DLT1" t="s">
        <v>3354</v>
      </c>
      <c r="DLU1" t="s">
        <v>3355</v>
      </c>
      <c r="DLV1" t="s">
        <v>3356</v>
      </c>
      <c r="DLW1" t="s">
        <v>3357</v>
      </c>
      <c r="DLX1" t="s">
        <v>3358</v>
      </c>
      <c r="DLY1" t="s">
        <v>3359</v>
      </c>
      <c r="DLZ1" t="s">
        <v>3360</v>
      </c>
      <c r="DMA1" t="s">
        <v>3361</v>
      </c>
      <c r="DMB1" t="s">
        <v>3362</v>
      </c>
      <c r="DMC1" t="s">
        <v>3363</v>
      </c>
      <c r="DMD1" t="s">
        <v>3364</v>
      </c>
      <c r="DME1" t="s">
        <v>3365</v>
      </c>
      <c r="DMF1" t="s">
        <v>3366</v>
      </c>
      <c r="DMG1" t="s">
        <v>3367</v>
      </c>
      <c r="DMH1" t="s">
        <v>3368</v>
      </c>
      <c r="DMI1" t="s">
        <v>3369</v>
      </c>
      <c r="DMJ1" t="s">
        <v>3370</v>
      </c>
      <c r="DMK1" t="s">
        <v>3371</v>
      </c>
      <c r="DML1" t="s">
        <v>3372</v>
      </c>
      <c r="DMM1" t="s">
        <v>3373</v>
      </c>
      <c r="DMN1" t="s">
        <v>3374</v>
      </c>
      <c r="DMO1" t="s">
        <v>3375</v>
      </c>
      <c r="DMP1" t="s">
        <v>3376</v>
      </c>
      <c r="DMQ1" t="s">
        <v>3377</v>
      </c>
      <c r="DMR1" t="s">
        <v>3378</v>
      </c>
      <c r="DMS1" t="s">
        <v>3379</v>
      </c>
      <c r="DMT1" t="s">
        <v>3380</v>
      </c>
      <c r="DMU1" t="s">
        <v>3381</v>
      </c>
      <c r="DMV1" t="s">
        <v>3382</v>
      </c>
      <c r="DMW1" t="s">
        <v>3383</v>
      </c>
      <c r="DMX1" t="s">
        <v>3384</v>
      </c>
      <c r="DMY1" t="s">
        <v>3385</v>
      </c>
      <c r="DMZ1" t="s">
        <v>3386</v>
      </c>
      <c r="DNA1" t="s">
        <v>3387</v>
      </c>
      <c r="DNB1" t="s">
        <v>3388</v>
      </c>
      <c r="DNC1" t="s">
        <v>3389</v>
      </c>
      <c r="DND1" t="s">
        <v>3390</v>
      </c>
      <c r="DNE1" t="s">
        <v>3391</v>
      </c>
      <c r="DNF1" t="s">
        <v>3392</v>
      </c>
      <c r="DNG1" t="s">
        <v>3393</v>
      </c>
      <c r="DNH1" t="s">
        <v>3394</v>
      </c>
      <c r="DNI1" t="s">
        <v>3395</v>
      </c>
      <c r="DNJ1" t="s">
        <v>3396</v>
      </c>
      <c r="DNK1" t="s">
        <v>3397</v>
      </c>
      <c r="DNL1" t="s">
        <v>3398</v>
      </c>
      <c r="DNM1" t="s">
        <v>3399</v>
      </c>
      <c r="DNN1" t="s">
        <v>3400</v>
      </c>
      <c r="DNO1" t="s">
        <v>3401</v>
      </c>
      <c r="DNP1" t="s">
        <v>3402</v>
      </c>
      <c r="DNQ1" t="s">
        <v>3403</v>
      </c>
      <c r="DNR1" t="s">
        <v>3404</v>
      </c>
      <c r="DNS1" t="s">
        <v>3405</v>
      </c>
      <c r="DNT1" t="s">
        <v>3406</v>
      </c>
      <c r="DNU1" t="s">
        <v>3407</v>
      </c>
      <c r="DNV1" t="s">
        <v>3408</v>
      </c>
      <c r="DNW1" t="s">
        <v>3409</v>
      </c>
      <c r="DNX1" t="s">
        <v>3410</v>
      </c>
      <c r="DNY1" t="s">
        <v>3411</v>
      </c>
      <c r="DNZ1" t="s">
        <v>3412</v>
      </c>
      <c r="DOA1" t="s">
        <v>3413</v>
      </c>
      <c r="DOB1" t="s">
        <v>3414</v>
      </c>
      <c r="DOC1" t="s">
        <v>3415</v>
      </c>
      <c r="DOD1" t="s">
        <v>3416</v>
      </c>
      <c r="DOE1" t="s">
        <v>3417</v>
      </c>
      <c r="DOF1" t="s">
        <v>3418</v>
      </c>
      <c r="DOG1" t="s">
        <v>3419</v>
      </c>
      <c r="DOH1" t="s">
        <v>3420</v>
      </c>
      <c r="DOI1" t="s">
        <v>3421</v>
      </c>
      <c r="DOJ1" t="s">
        <v>3422</v>
      </c>
      <c r="DOK1" t="s">
        <v>3423</v>
      </c>
      <c r="DOL1" t="s">
        <v>3424</v>
      </c>
      <c r="DOM1" t="s">
        <v>3425</v>
      </c>
      <c r="DON1" t="s">
        <v>3426</v>
      </c>
      <c r="DOO1" t="s">
        <v>3427</v>
      </c>
      <c r="DOP1" t="s">
        <v>3428</v>
      </c>
      <c r="DOQ1" t="s">
        <v>3429</v>
      </c>
      <c r="DOR1" t="s">
        <v>3430</v>
      </c>
      <c r="DOS1" t="s">
        <v>3431</v>
      </c>
      <c r="DOT1" t="s">
        <v>3432</v>
      </c>
      <c r="DOU1" t="s">
        <v>3433</v>
      </c>
      <c r="DOV1" t="s">
        <v>3434</v>
      </c>
      <c r="DOW1" t="s">
        <v>3435</v>
      </c>
      <c r="DOX1" t="s">
        <v>3436</v>
      </c>
      <c r="DOY1" t="s">
        <v>3437</v>
      </c>
      <c r="DOZ1" t="s">
        <v>3438</v>
      </c>
      <c r="DPA1" t="s">
        <v>3439</v>
      </c>
      <c r="DPB1" t="s">
        <v>3440</v>
      </c>
      <c r="DPC1" t="s">
        <v>3441</v>
      </c>
      <c r="DPD1" t="s">
        <v>3442</v>
      </c>
      <c r="DPE1" t="s">
        <v>3443</v>
      </c>
      <c r="DPF1" t="s">
        <v>3444</v>
      </c>
      <c r="DPG1" t="s">
        <v>3445</v>
      </c>
      <c r="DPH1" t="s">
        <v>3446</v>
      </c>
      <c r="DPI1" t="s">
        <v>3447</v>
      </c>
      <c r="DPJ1" t="s">
        <v>3448</v>
      </c>
      <c r="DPK1" t="s">
        <v>3449</v>
      </c>
      <c r="DPL1" t="s">
        <v>3450</v>
      </c>
      <c r="DPM1" t="s">
        <v>3451</v>
      </c>
      <c r="DPN1" t="s">
        <v>3452</v>
      </c>
      <c r="DPO1" t="s">
        <v>3453</v>
      </c>
      <c r="DPP1" t="s">
        <v>3454</v>
      </c>
      <c r="DPQ1" t="s">
        <v>3455</v>
      </c>
      <c r="DPR1" t="s">
        <v>3456</v>
      </c>
      <c r="DPS1" t="s">
        <v>3457</v>
      </c>
      <c r="DPT1" t="s">
        <v>3458</v>
      </c>
      <c r="DPU1" t="s">
        <v>3459</v>
      </c>
      <c r="DPV1" t="s">
        <v>3460</v>
      </c>
      <c r="DPW1" t="s">
        <v>3461</v>
      </c>
      <c r="DPX1" t="s">
        <v>3462</v>
      </c>
      <c r="DPY1" t="s">
        <v>3463</v>
      </c>
      <c r="DPZ1" t="s">
        <v>3464</v>
      </c>
      <c r="DQA1" t="s">
        <v>3465</v>
      </c>
      <c r="DQB1" t="s">
        <v>3466</v>
      </c>
      <c r="DQC1" t="s">
        <v>3467</v>
      </c>
      <c r="DQD1" t="s">
        <v>3468</v>
      </c>
      <c r="DQE1" t="s">
        <v>3469</v>
      </c>
      <c r="DQF1" t="s">
        <v>3470</v>
      </c>
      <c r="DQG1" t="s">
        <v>3471</v>
      </c>
      <c r="DQH1" t="s">
        <v>3472</v>
      </c>
      <c r="DQI1" t="s">
        <v>3473</v>
      </c>
      <c r="DQJ1" t="s">
        <v>3474</v>
      </c>
      <c r="DQK1" t="s">
        <v>3475</v>
      </c>
      <c r="DQL1" t="s">
        <v>3476</v>
      </c>
      <c r="DQM1" t="s">
        <v>3477</v>
      </c>
      <c r="DQN1" t="s">
        <v>3478</v>
      </c>
      <c r="DQO1" t="s">
        <v>3479</v>
      </c>
      <c r="DQP1" t="s">
        <v>3480</v>
      </c>
      <c r="DQQ1" t="s">
        <v>3481</v>
      </c>
      <c r="DQR1" t="s">
        <v>3482</v>
      </c>
      <c r="DQS1" t="s">
        <v>3483</v>
      </c>
      <c r="DQT1" t="s">
        <v>3484</v>
      </c>
      <c r="DQU1" t="s">
        <v>3485</v>
      </c>
      <c r="DQV1" t="s">
        <v>3486</v>
      </c>
      <c r="DQW1" t="s">
        <v>3487</v>
      </c>
      <c r="DQX1" t="s">
        <v>3488</v>
      </c>
      <c r="DQY1" t="s">
        <v>3489</v>
      </c>
      <c r="DQZ1" t="s">
        <v>3490</v>
      </c>
      <c r="DRA1" t="s">
        <v>3491</v>
      </c>
      <c r="DRB1" t="s">
        <v>3492</v>
      </c>
      <c r="DRC1" t="s">
        <v>3493</v>
      </c>
      <c r="DRD1" t="s">
        <v>3494</v>
      </c>
      <c r="DRE1" t="s">
        <v>3495</v>
      </c>
      <c r="DRF1" t="s">
        <v>3496</v>
      </c>
      <c r="DRG1" t="s">
        <v>3497</v>
      </c>
      <c r="DRH1" t="s">
        <v>3498</v>
      </c>
      <c r="DRI1" t="s">
        <v>3499</v>
      </c>
      <c r="DRJ1" t="s">
        <v>3500</v>
      </c>
      <c r="DRK1" t="s">
        <v>3501</v>
      </c>
      <c r="DRL1" t="s">
        <v>3502</v>
      </c>
      <c r="DRM1" t="s">
        <v>3503</v>
      </c>
      <c r="DRN1" t="s">
        <v>3504</v>
      </c>
      <c r="DRO1" t="s">
        <v>3505</v>
      </c>
      <c r="DRP1" t="s">
        <v>3506</v>
      </c>
      <c r="DRQ1" t="s">
        <v>3507</v>
      </c>
      <c r="DRR1" t="s">
        <v>3508</v>
      </c>
      <c r="DRS1" t="s">
        <v>3509</v>
      </c>
      <c r="DRT1" t="s">
        <v>3510</v>
      </c>
      <c r="DRU1" t="s">
        <v>3511</v>
      </c>
      <c r="DRV1" t="s">
        <v>3512</v>
      </c>
      <c r="DRW1" t="s">
        <v>3513</v>
      </c>
      <c r="DRX1" t="s">
        <v>3514</v>
      </c>
      <c r="DRY1" t="s">
        <v>3515</v>
      </c>
      <c r="DRZ1" t="s">
        <v>3516</v>
      </c>
      <c r="DSA1" t="s">
        <v>3517</v>
      </c>
      <c r="DSB1" t="s">
        <v>3518</v>
      </c>
      <c r="DSC1" t="s">
        <v>3519</v>
      </c>
      <c r="DSD1" t="s">
        <v>3520</v>
      </c>
      <c r="DSE1" t="s">
        <v>3521</v>
      </c>
      <c r="DSF1" t="s">
        <v>3522</v>
      </c>
      <c r="DSG1" t="s">
        <v>3523</v>
      </c>
      <c r="DSH1" t="s">
        <v>3524</v>
      </c>
      <c r="DSI1" t="s">
        <v>3525</v>
      </c>
      <c r="DSJ1" t="s">
        <v>3526</v>
      </c>
      <c r="DSK1" t="s">
        <v>3527</v>
      </c>
      <c r="DSL1" t="s">
        <v>3528</v>
      </c>
      <c r="DSM1" t="s">
        <v>3529</v>
      </c>
      <c r="DSN1" t="s">
        <v>3530</v>
      </c>
      <c r="DSO1" t="s">
        <v>3531</v>
      </c>
      <c r="DSP1" t="s">
        <v>3532</v>
      </c>
      <c r="DSQ1" t="s">
        <v>3533</v>
      </c>
      <c r="DSR1" t="s">
        <v>3534</v>
      </c>
      <c r="DSS1" t="s">
        <v>3535</v>
      </c>
      <c r="DST1" t="s">
        <v>3536</v>
      </c>
      <c r="DSU1" t="s">
        <v>3537</v>
      </c>
      <c r="DSV1" t="s">
        <v>3538</v>
      </c>
      <c r="DSW1" t="s">
        <v>3539</v>
      </c>
      <c r="DSX1" t="s">
        <v>3540</v>
      </c>
      <c r="DSY1" t="s">
        <v>3541</v>
      </c>
      <c r="DSZ1" t="s">
        <v>3542</v>
      </c>
      <c r="DTA1" t="s">
        <v>3543</v>
      </c>
      <c r="DTB1" t="s">
        <v>3544</v>
      </c>
      <c r="DTC1" t="s">
        <v>3545</v>
      </c>
      <c r="DTD1" t="s">
        <v>3546</v>
      </c>
      <c r="DTE1" t="s">
        <v>3547</v>
      </c>
      <c r="DTF1" t="s">
        <v>3548</v>
      </c>
      <c r="DTG1" t="s">
        <v>3549</v>
      </c>
      <c r="DTH1" t="s">
        <v>3550</v>
      </c>
      <c r="DTI1" t="s">
        <v>3551</v>
      </c>
      <c r="DTJ1" t="s">
        <v>3552</v>
      </c>
      <c r="DTK1" t="s">
        <v>3553</v>
      </c>
      <c r="DTL1" t="s">
        <v>3554</v>
      </c>
      <c r="DTM1" t="s">
        <v>3555</v>
      </c>
      <c r="DTN1" t="s">
        <v>3556</v>
      </c>
      <c r="DTO1" t="s">
        <v>3557</v>
      </c>
      <c r="DTP1" t="s">
        <v>3558</v>
      </c>
      <c r="DTQ1" t="s">
        <v>3559</v>
      </c>
      <c r="DTR1" t="s">
        <v>3560</v>
      </c>
      <c r="DTS1" t="s">
        <v>3561</v>
      </c>
      <c r="DTT1" t="s">
        <v>3562</v>
      </c>
      <c r="DTU1" t="s">
        <v>3563</v>
      </c>
      <c r="DTV1" t="s">
        <v>3564</v>
      </c>
      <c r="DTW1" t="s">
        <v>3565</v>
      </c>
      <c r="DTX1" t="s">
        <v>3566</v>
      </c>
      <c r="DTY1" t="s">
        <v>3567</v>
      </c>
      <c r="DTZ1" t="s">
        <v>3568</v>
      </c>
      <c r="DUA1" t="s">
        <v>3569</v>
      </c>
      <c r="DUB1" t="s">
        <v>3570</v>
      </c>
      <c r="DUC1" t="s">
        <v>3571</v>
      </c>
      <c r="DUD1" t="s">
        <v>3572</v>
      </c>
      <c r="DUE1" t="s">
        <v>3573</v>
      </c>
      <c r="DUF1" t="s">
        <v>3574</v>
      </c>
      <c r="DUG1" t="s">
        <v>3575</v>
      </c>
      <c r="DUH1" t="s">
        <v>3576</v>
      </c>
      <c r="DUI1" t="s">
        <v>3577</v>
      </c>
      <c r="DUJ1" t="s">
        <v>3578</v>
      </c>
      <c r="DUK1" t="s">
        <v>3579</v>
      </c>
      <c r="DUL1" t="s">
        <v>3580</v>
      </c>
      <c r="DUM1" t="s">
        <v>3581</v>
      </c>
      <c r="DUN1" t="s">
        <v>3582</v>
      </c>
      <c r="DUO1" t="s">
        <v>3583</v>
      </c>
      <c r="DUP1" t="s">
        <v>3584</v>
      </c>
      <c r="DUQ1" t="s">
        <v>3585</v>
      </c>
      <c r="DUR1" t="s">
        <v>3586</v>
      </c>
      <c r="DUS1" t="s">
        <v>3587</v>
      </c>
      <c r="DUT1" t="s">
        <v>3588</v>
      </c>
      <c r="DUU1" t="s">
        <v>3589</v>
      </c>
      <c r="DUV1" t="s">
        <v>3590</v>
      </c>
      <c r="DUW1" t="s">
        <v>3591</v>
      </c>
      <c r="DUX1" t="s">
        <v>3592</v>
      </c>
      <c r="DUY1" t="s">
        <v>3593</v>
      </c>
      <c r="DUZ1" t="s">
        <v>3594</v>
      </c>
      <c r="DVA1" t="s">
        <v>3595</v>
      </c>
      <c r="DVB1" t="s">
        <v>3596</v>
      </c>
      <c r="DVC1" t="s">
        <v>3597</v>
      </c>
      <c r="DVD1" t="s">
        <v>3598</v>
      </c>
      <c r="DVE1" t="s">
        <v>3599</v>
      </c>
      <c r="DVF1" t="s">
        <v>3600</v>
      </c>
      <c r="DVG1" t="s">
        <v>3601</v>
      </c>
      <c r="DVH1" t="s">
        <v>3602</v>
      </c>
      <c r="DVI1" t="s">
        <v>3603</v>
      </c>
      <c r="DVJ1" t="s">
        <v>3604</v>
      </c>
      <c r="DVK1" t="s">
        <v>3605</v>
      </c>
      <c r="DVL1" t="s">
        <v>3606</v>
      </c>
      <c r="DVM1" t="s">
        <v>3607</v>
      </c>
      <c r="DVN1" t="s">
        <v>3608</v>
      </c>
      <c r="DVO1" t="s">
        <v>3609</v>
      </c>
      <c r="DVP1" t="s">
        <v>3610</v>
      </c>
      <c r="DVQ1" t="s">
        <v>3611</v>
      </c>
      <c r="DVR1" t="s">
        <v>3612</v>
      </c>
      <c r="DVS1" t="s">
        <v>3613</v>
      </c>
      <c r="DVT1" t="s">
        <v>3614</v>
      </c>
      <c r="DVU1" t="s">
        <v>3615</v>
      </c>
      <c r="DVV1" t="s">
        <v>3616</v>
      </c>
      <c r="DVW1" t="s">
        <v>3617</v>
      </c>
      <c r="DVX1" t="s">
        <v>3618</v>
      </c>
      <c r="DVY1" t="s">
        <v>3619</v>
      </c>
      <c r="DVZ1" t="s">
        <v>3620</v>
      </c>
      <c r="DWA1" t="s">
        <v>3621</v>
      </c>
      <c r="DWB1" t="s">
        <v>3622</v>
      </c>
      <c r="DWC1" t="s">
        <v>3623</v>
      </c>
      <c r="DWD1" t="s">
        <v>3624</v>
      </c>
      <c r="DWE1" t="s">
        <v>3625</v>
      </c>
      <c r="DWF1" t="s">
        <v>3626</v>
      </c>
      <c r="DWG1" t="s">
        <v>3627</v>
      </c>
      <c r="DWH1" t="s">
        <v>3628</v>
      </c>
      <c r="DWI1" t="s">
        <v>3629</v>
      </c>
      <c r="DWJ1" t="s">
        <v>3630</v>
      </c>
      <c r="DWK1" t="s">
        <v>3631</v>
      </c>
      <c r="DWL1" t="s">
        <v>3632</v>
      </c>
      <c r="DWM1" t="s">
        <v>3633</v>
      </c>
      <c r="DWN1" t="s">
        <v>3634</v>
      </c>
      <c r="DWO1" t="s">
        <v>3635</v>
      </c>
      <c r="DWP1" t="s">
        <v>3636</v>
      </c>
      <c r="DWQ1" t="s">
        <v>3637</v>
      </c>
      <c r="DWR1" t="s">
        <v>3638</v>
      </c>
      <c r="DWS1" t="s">
        <v>3639</v>
      </c>
      <c r="DWT1" t="s">
        <v>3640</v>
      </c>
      <c r="DWU1" t="s">
        <v>3641</v>
      </c>
      <c r="DWV1" t="s">
        <v>3642</v>
      </c>
      <c r="DWW1" t="s">
        <v>3643</v>
      </c>
      <c r="DWX1" t="s">
        <v>3644</v>
      </c>
      <c r="DWY1" t="s">
        <v>3645</v>
      </c>
      <c r="DWZ1" t="s">
        <v>3646</v>
      </c>
      <c r="DXA1" t="s">
        <v>3647</v>
      </c>
      <c r="DXB1" t="s">
        <v>3648</v>
      </c>
      <c r="DXC1" t="s">
        <v>3649</v>
      </c>
      <c r="DXD1" t="s">
        <v>3650</v>
      </c>
      <c r="DXE1" t="s">
        <v>3651</v>
      </c>
      <c r="DXF1" t="s">
        <v>3652</v>
      </c>
      <c r="DXG1" t="s">
        <v>3653</v>
      </c>
      <c r="DXH1" t="s">
        <v>3654</v>
      </c>
      <c r="DXI1" t="s">
        <v>3655</v>
      </c>
      <c r="DXJ1" t="s">
        <v>3656</v>
      </c>
      <c r="DXK1" t="s">
        <v>3657</v>
      </c>
      <c r="DXL1" t="s">
        <v>3658</v>
      </c>
      <c r="DXM1" t="s">
        <v>3659</v>
      </c>
      <c r="DXN1" t="s">
        <v>3660</v>
      </c>
      <c r="DXO1" t="s">
        <v>3661</v>
      </c>
      <c r="DXP1" t="s">
        <v>3662</v>
      </c>
      <c r="DXQ1" t="s">
        <v>3663</v>
      </c>
      <c r="DXR1" t="s">
        <v>3664</v>
      </c>
      <c r="DXS1" t="s">
        <v>3665</v>
      </c>
      <c r="DXT1" t="s">
        <v>3666</v>
      </c>
      <c r="DXU1" t="s">
        <v>3667</v>
      </c>
      <c r="DXV1" t="s">
        <v>3668</v>
      </c>
      <c r="DXW1" t="s">
        <v>3669</v>
      </c>
      <c r="DXX1" t="s">
        <v>3670</v>
      </c>
      <c r="DXY1" t="s">
        <v>3671</v>
      </c>
      <c r="DXZ1" t="s">
        <v>3672</v>
      </c>
      <c r="DYA1" t="s">
        <v>3673</v>
      </c>
      <c r="DYB1" t="s">
        <v>3674</v>
      </c>
      <c r="DYC1" t="s">
        <v>3675</v>
      </c>
      <c r="DYD1" t="s">
        <v>3676</v>
      </c>
      <c r="DYE1" t="s">
        <v>3677</v>
      </c>
      <c r="DYF1" t="s">
        <v>3678</v>
      </c>
      <c r="DYG1" t="s">
        <v>3679</v>
      </c>
      <c r="DYH1" t="s">
        <v>3680</v>
      </c>
      <c r="DYI1" t="s">
        <v>3681</v>
      </c>
      <c r="DYJ1" t="s">
        <v>3682</v>
      </c>
      <c r="DYK1" t="s">
        <v>3683</v>
      </c>
      <c r="DYL1" t="s">
        <v>3684</v>
      </c>
      <c r="DYM1" t="s">
        <v>3685</v>
      </c>
      <c r="DYN1" t="s">
        <v>3686</v>
      </c>
      <c r="DYO1" t="s">
        <v>3687</v>
      </c>
      <c r="DYP1" t="s">
        <v>3688</v>
      </c>
      <c r="DYQ1" t="s">
        <v>3689</v>
      </c>
      <c r="DYR1" t="s">
        <v>3690</v>
      </c>
      <c r="DYS1" t="s">
        <v>3691</v>
      </c>
      <c r="DYT1" t="s">
        <v>3692</v>
      </c>
      <c r="DYU1" t="s">
        <v>3693</v>
      </c>
      <c r="DYV1" t="s">
        <v>3694</v>
      </c>
      <c r="DYW1" t="s">
        <v>3695</v>
      </c>
      <c r="DYX1" t="s">
        <v>3696</v>
      </c>
      <c r="DYY1" t="s">
        <v>3697</v>
      </c>
      <c r="DYZ1" t="s">
        <v>3698</v>
      </c>
      <c r="DZA1" t="s">
        <v>3699</v>
      </c>
      <c r="DZB1" t="s">
        <v>3700</v>
      </c>
      <c r="DZC1" t="s">
        <v>3701</v>
      </c>
      <c r="DZD1" t="s">
        <v>3702</v>
      </c>
      <c r="DZE1" t="s">
        <v>3703</v>
      </c>
      <c r="DZF1" t="s">
        <v>3704</v>
      </c>
      <c r="DZG1" t="s">
        <v>3705</v>
      </c>
      <c r="DZH1" t="s">
        <v>3706</v>
      </c>
      <c r="DZI1" t="s">
        <v>3707</v>
      </c>
      <c r="DZJ1" t="s">
        <v>3708</v>
      </c>
      <c r="DZK1" t="s">
        <v>3709</v>
      </c>
      <c r="DZL1" t="s">
        <v>3710</v>
      </c>
      <c r="DZM1" t="s">
        <v>3711</v>
      </c>
      <c r="DZN1" t="s">
        <v>3712</v>
      </c>
      <c r="DZO1" t="s">
        <v>3713</v>
      </c>
      <c r="DZP1" t="s">
        <v>3714</v>
      </c>
      <c r="DZQ1" t="s">
        <v>3715</v>
      </c>
      <c r="DZR1" t="s">
        <v>3716</v>
      </c>
      <c r="DZS1" t="s">
        <v>3717</v>
      </c>
      <c r="DZT1" t="s">
        <v>3718</v>
      </c>
      <c r="DZU1" t="s">
        <v>3719</v>
      </c>
      <c r="DZV1" t="s">
        <v>3720</v>
      </c>
      <c r="DZW1" t="s">
        <v>3721</v>
      </c>
      <c r="DZX1" t="s">
        <v>3722</v>
      </c>
      <c r="DZY1" t="s">
        <v>3723</v>
      </c>
      <c r="DZZ1" t="s">
        <v>3724</v>
      </c>
      <c r="EAA1" t="s">
        <v>3725</v>
      </c>
      <c r="EAB1" t="s">
        <v>3726</v>
      </c>
      <c r="EAC1" t="s">
        <v>3727</v>
      </c>
      <c r="EAD1" t="s">
        <v>3728</v>
      </c>
      <c r="EAE1" t="s">
        <v>3729</v>
      </c>
      <c r="EAF1" t="s">
        <v>3730</v>
      </c>
      <c r="EAG1" t="s">
        <v>3731</v>
      </c>
      <c r="EAH1" t="s">
        <v>3732</v>
      </c>
      <c r="EAI1" t="s">
        <v>3733</v>
      </c>
      <c r="EAJ1" t="s">
        <v>3734</v>
      </c>
      <c r="EAK1" t="s">
        <v>3735</v>
      </c>
      <c r="EAL1" t="s">
        <v>3736</v>
      </c>
      <c r="EAM1" t="s">
        <v>3737</v>
      </c>
      <c r="EAN1" t="s">
        <v>3738</v>
      </c>
      <c r="EAO1" t="s">
        <v>3739</v>
      </c>
      <c r="EAP1" t="s">
        <v>3740</v>
      </c>
      <c r="EAQ1" t="s">
        <v>3741</v>
      </c>
      <c r="EAR1" t="s">
        <v>3742</v>
      </c>
      <c r="EAS1" t="s">
        <v>3743</v>
      </c>
      <c r="EAT1" t="s">
        <v>3744</v>
      </c>
      <c r="EAU1" t="s">
        <v>3745</v>
      </c>
      <c r="EAV1" t="s">
        <v>3746</v>
      </c>
      <c r="EAW1" t="s">
        <v>3747</v>
      </c>
      <c r="EAX1" t="s">
        <v>3748</v>
      </c>
      <c r="EAY1" t="s">
        <v>3749</v>
      </c>
      <c r="EAZ1" t="s">
        <v>3750</v>
      </c>
      <c r="EBA1" t="s">
        <v>3751</v>
      </c>
      <c r="EBB1" t="s">
        <v>3752</v>
      </c>
      <c r="EBC1" t="s">
        <v>3753</v>
      </c>
      <c r="EBD1" t="s">
        <v>3754</v>
      </c>
      <c r="EBE1" t="s">
        <v>3755</v>
      </c>
      <c r="EBF1" t="s">
        <v>3756</v>
      </c>
      <c r="EBG1" t="s">
        <v>3757</v>
      </c>
      <c r="EBH1" t="s">
        <v>3758</v>
      </c>
      <c r="EBI1" t="s">
        <v>3759</v>
      </c>
      <c r="EBJ1" t="s">
        <v>3760</v>
      </c>
      <c r="EBK1" t="s">
        <v>3761</v>
      </c>
      <c r="EBL1" t="s">
        <v>3762</v>
      </c>
      <c r="EBM1" t="s">
        <v>3763</v>
      </c>
      <c r="EBN1" t="s">
        <v>3764</v>
      </c>
      <c r="EBO1" t="s">
        <v>3765</v>
      </c>
      <c r="EBP1" t="s">
        <v>3766</v>
      </c>
      <c r="EBQ1" t="s">
        <v>3767</v>
      </c>
      <c r="EBR1" t="s">
        <v>3768</v>
      </c>
      <c r="EBS1" t="s">
        <v>3769</v>
      </c>
      <c r="EBT1" t="s">
        <v>3770</v>
      </c>
      <c r="EBU1" t="s">
        <v>3771</v>
      </c>
      <c r="EBV1" t="s">
        <v>3772</v>
      </c>
      <c r="EBW1" t="s">
        <v>3773</v>
      </c>
      <c r="EBX1" t="s">
        <v>3774</v>
      </c>
      <c r="EBY1" t="s">
        <v>3775</v>
      </c>
      <c r="EBZ1" t="s">
        <v>3776</v>
      </c>
      <c r="ECA1" t="s">
        <v>3777</v>
      </c>
      <c r="ECB1" t="s">
        <v>3778</v>
      </c>
      <c r="ECC1" t="s">
        <v>3779</v>
      </c>
      <c r="ECD1" t="s">
        <v>3780</v>
      </c>
      <c r="ECE1" t="s">
        <v>3781</v>
      </c>
      <c r="ECF1" t="s">
        <v>3782</v>
      </c>
      <c r="ECG1" t="s">
        <v>3783</v>
      </c>
      <c r="ECH1" t="s">
        <v>3784</v>
      </c>
      <c r="ECI1" t="s">
        <v>3785</v>
      </c>
      <c r="ECJ1" t="s">
        <v>3786</v>
      </c>
      <c r="ECK1" t="s">
        <v>3787</v>
      </c>
      <c r="ECL1" t="s">
        <v>3788</v>
      </c>
      <c r="ECM1" t="s">
        <v>3789</v>
      </c>
      <c r="ECN1" t="s">
        <v>3790</v>
      </c>
      <c r="ECO1" t="s">
        <v>3791</v>
      </c>
      <c r="ECP1" t="s">
        <v>3792</v>
      </c>
      <c r="ECQ1" t="s">
        <v>3793</v>
      </c>
      <c r="ECR1" t="s">
        <v>3794</v>
      </c>
      <c r="ECS1" t="s">
        <v>3795</v>
      </c>
      <c r="ECT1" t="s">
        <v>3796</v>
      </c>
      <c r="ECU1" t="s">
        <v>3797</v>
      </c>
      <c r="ECV1" t="s">
        <v>3798</v>
      </c>
      <c r="ECW1" t="s">
        <v>3799</v>
      </c>
      <c r="ECX1" t="s">
        <v>3800</v>
      </c>
      <c r="ECY1" t="s">
        <v>3801</v>
      </c>
      <c r="ECZ1" t="s">
        <v>3802</v>
      </c>
      <c r="EDA1" t="s">
        <v>3803</v>
      </c>
      <c r="EDB1" t="s">
        <v>3804</v>
      </c>
      <c r="EDC1" t="s">
        <v>3805</v>
      </c>
      <c r="EDD1" t="s">
        <v>3806</v>
      </c>
      <c r="EDE1" t="s">
        <v>3807</v>
      </c>
      <c r="EDF1" t="s">
        <v>3808</v>
      </c>
      <c r="EDG1" t="s">
        <v>3809</v>
      </c>
      <c r="EDH1" t="s">
        <v>3810</v>
      </c>
      <c r="EDI1" t="s">
        <v>3811</v>
      </c>
      <c r="EDJ1" t="s">
        <v>3812</v>
      </c>
      <c r="EDK1" t="s">
        <v>3813</v>
      </c>
      <c r="EDL1" t="s">
        <v>3814</v>
      </c>
      <c r="EDM1" t="s">
        <v>3815</v>
      </c>
      <c r="EDN1" t="s">
        <v>3816</v>
      </c>
      <c r="EDO1" t="s">
        <v>3817</v>
      </c>
      <c r="EDP1" t="s">
        <v>3818</v>
      </c>
      <c r="EDQ1" t="s">
        <v>3819</v>
      </c>
      <c r="EDR1" t="s">
        <v>3820</v>
      </c>
      <c r="EDS1" t="s">
        <v>3821</v>
      </c>
      <c r="EDT1" t="s">
        <v>3822</v>
      </c>
      <c r="EDU1" t="s">
        <v>3823</v>
      </c>
      <c r="EDV1" t="s">
        <v>3824</v>
      </c>
      <c r="EDW1" t="s">
        <v>3825</v>
      </c>
      <c r="EDX1" t="s">
        <v>3826</v>
      </c>
      <c r="EDY1" t="s">
        <v>3827</v>
      </c>
      <c r="EDZ1" t="s">
        <v>3828</v>
      </c>
      <c r="EEA1" t="s">
        <v>3829</v>
      </c>
      <c r="EEB1" t="s">
        <v>3830</v>
      </c>
      <c r="EEC1" t="s">
        <v>3831</v>
      </c>
      <c r="EED1" t="s">
        <v>3832</v>
      </c>
      <c r="EEE1" t="s">
        <v>3833</v>
      </c>
      <c r="EEF1" t="s">
        <v>3834</v>
      </c>
      <c r="EEG1" t="s">
        <v>3835</v>
      </c>
      <c r="EEH1" t="s">
        <v>3836</v>
      </c>
      <c r="EEI1" t="s">
        <v>3837</v>
      </c>
      <c r="EEJ1" t="s">
        <v>3838</v>
      </c>
      <c r="EEK1" t="s">
        <v>3839</v>
      </c>
      <c r="EEL1" t="s">
        <v>3840</v>
      </c>
      <c r="EEM1" t="s">
        <v>3841</v>
      </c>
      <c r="EEN1" t="s">
        <v>3842</v>
      </c>
      <c r="EEO1" t="s">
        <v>3843</v>
      </c>
      <c r="EEP1" t="s">
        <v>3844</v>
      </c>
      <c r="EEQ1" t="s">
        <v>3845</v>
      </c>
      <c r="EER1" t="s">
        <v>3846</v>
      </c>
      <c r="EES1" t="s">
        <v>3847</v>
      </c>
      <c r="EET1" t="s">
        <v>3848</v>
      </c>
      <c r="EEU1" t="s">
        <v>3849</v>
      </c>
      <c r="EEV1" t="s">
        <v>3850</v>
      </c>
      <c r="EEW1" t="s">
        <v>3851</v>
      </c>
      <c r="EEX1" t="s">
        <v>3852</v>
      </c>
      <c r="EEY1" t="s">
        <v>3853</v>
      </c>
      <c r="EEZ1" t="s">
        <v>3854</v>
      </c>
      <c r="EFA1" t="s">
        <v>3855</v>
      </c>
      <c r="EFB1" t="s">
        <v>3856</v>
      </c>
      <c r="EFC1" t="s">
        <v>3857</v>
      </c>
      <c r="EFD1" t="s">
        <v>3858</v>
      </c>
      <c r="EFE1" t="s">
        <v>3859</v>
      </c>
      <c r="EFF1" t="s">
        <v>3860</v>
      </c>
      <c r="EFG1" t="s">
        <v>3861</v>
      </c>
      <c r="EFH1" t="s">
        <v>3862</v>
      </c>
      <c r="EFI1" t="s">
        <v>3863</v>
      </c>
      <c r="EFJ1" t="s">
        <v>3864</v>
      </c>
      <c r="EFK1" t="s">
        <v>3865</v>
      </c>
      <c r="EFL1" t="s">
        <v>3866</v>
      </c>
      <c r="EFM1" t="s">
        <v>3867</v>
      </c>
      <c r="EFN1" t="s">
        <v>3868</v>
      </c>
      <c r="EFO1" t="s">
        <v>3869</v>
      </c>
      <c r="EFP1" t="s">
        <v>3870</v>
      </c>
      <c r="EFQ1" t="s">
        <v>3871</v>
      </c>
      <c r="EFR1" t="s">
        <v>3872</v>
      </c>
      <c r="EFS1" t="s">
        <v>3873</v>
      </c>
      <c r="EFT1" t="s">
        <v>3874</v>
      </c>
      <c r="EFU1" t="s">
        <v>3875</v>
      </c>
      <c r="EFV1" t="s">
        <v>3876</v>
      </c>
      <c r="EFW1" t="s">
        <v>3877</v>
      </c>
      <c r="EFX1" t="s">
        <v>3878</v>
      </c>
      <c r="EFY1" t="s">
        <v>3879</v>
      </c>
      <c r="EFZ1" t="s">
        <v>3880</v>
      </c>
      <c r="EGA1" t="s">
        <v>3881</v>
      </c>
      <c r="EGB1" t="s">
        <v>3882</v>
      </c>
      <c r="EGC1" t="s">
        <v>3883</v>
      </c>
      <c r="EGD1" t="s">
        <v>3884</v>
      </c>
      <c r="EGE1" t="s">
        <v>3885</v>
      </c>
      <c r="EGF1" t="s">
        <v>3886</v>
      </c>
      <c r="EGG1" t="s">
        <v>3887</v>
      </c>
      <c r="EGH1" t="s">
        <v>3888</v>
      </c>
      <c r="EGI1" t="s">
        <v>3889</v>
      </c>
      <c r="EGJ1" t="s">
        <v>3890</v>
      </c>
      <c r="EGK1" t="s">
        <v>3891</v>
      </c>
      <c r="EGL1" t="s">
        <v>3892</v>
      </c>
      <c r="EGM1" t="s">
        <v>3893</v>
      </c>
      <c r="EGN1" t="s">
        <v>3894</v>
      </c>
      <c r="EGO1" t="s">
        <v>3895</v>
      </c>
      <c r="EGP1" t="s">
        <v>3896</v>
      </c>
      <c r="EGQ1" t="s">
        <v>3897</v>
      </c>
      <c r="EGR1" t="s">
        <v>3898</v>
      </c>
      <c r="EGS1" t="s">
        <v>3899</v>
      </c>
      <c r="EGT1" t="s">
        <v>3900</v>
      </c>
      <c r="EGU1" t="s">
        <v>3901</v>
      </c>
      <c r="EGV1" t="s">
        <v>3902</v>
      </c>
      <c r="EGW1" t="s">
        <v>3903</v>
      </c>
      <c r="EGX1" t="s">
        <v>3904</v>
      </c>
      <c r="EGY1" t="s">
        <v>3905</v>
      </c>
      <c r="EGZ1" t="s">
        <v>3906</v>
      </c>
      <c r="EHA1" t="s">
        <v>3907</v>
      </c>
      <c r="EHB1" t="s">
        <v>3908</v>
      </c>
      <c r="EHC1" t="s">
        <v>3909</v>
      </c>
      <c r="EHD1" t="s">
        <v>3910</v>
      </c>
      <c r="EHE1" t="s">
        <v>3911</v>
      </c>
      <c r="EHF1" t="s">
        <v>3912</v>
      </c>
      <c r="EHG1" t="s">
        <v>3913</v>
      </c>
      <c r="EHH1" t="s">
        <v>3914</v>
      </c>
      <c r="EHI1" t="s">
        <v>3915</v>
      </c>
      <c r="EHJ1" t="s">
        <v>3916</v>
      </c>
      <c r="EHK1" t="s">
        <v>3917</v>
      </c>
      <c r="EHL1" t="s">
        <v>3918</v>
      </c>
      <c r="EHM1" t="s">
        <v>3919</v>
      </c>
      <c r="EHN1" t="s">
        <v>3920</v>
      </c>
      <c r="EHO1" t="s">
        <v>3921</v>
      </c>
      <c r="EHP1" t="s">
        <v>3922</v>
      </c>
      <c r="EHQ1" t="s">
        <v>3923</v>
      </c>
      <c r="EHR1" t="s">
        <v>3924</v>
      </c>
      <c r="EHS1" t="s">
        <v>3925</v>
      </c>
      <c r="EHT1" t="s">
        <v>3926</v>
      </c>
      <c r="EHU1" t="s">
        <v>3927</v>
      </c>
      <c r="EHV1" t="s">
        <v>3928</v>
      </c>
      <c r="EHW1" t="s">
        <v>3929</v>
      </c>
      <c r="EHX1" t="s">
        <v>3930</v>
      </c>
      <c r="EHY1" t="s">
        <v>3931</v>
      </c>
      <c r="EHZ1" t="s">
        <v>3932</v>
      </c>
      <c r="EIA1" t="s">
        <v>3933</v>
      </c>
      <c r="EIB1" t="s">
        <v>3934</v>
      </c>
      <c r="EIC1" t="s">
        <v>3935</v>
      </c>
      <c r="EID1" t="s">
        <v>3936</v>
      </c>
      <c r="EIE1" t="s">
        <v>3937</v>
      </c>
      <c r="EIF1" t="s">
        <v>3938</v>
      </c>
      <c r="EIG1" t="s">
        <v>3939</v>
      </c>
      <c r="EIH1" t="s">
        <v>3940</v>
      </c>
      <c r="EII1" t="s">
        <v>3941</v>
      </c>
      <c r="EIJ1" t="s">
        <v>3942</v>
      </c>
      <c r="EIK1" t="s">
        <v>3943</v>
      </c>
      <c r="EIL1" t="s">
        <v>3944</v>
      </c>
      <c r="EIM1" t="s">
        <v>3945</v>
      </c>
      <c r="EIN1" t="s">
        <v>3946</v>
      </c>
      <c r="EIO1" t="s">
        <v>3947</v>
      </c>
      <c r="EIP1" t="s">
        <v>3948</v>
      </c>
      <c r="EIQ1" t="s">
        <v>3949</v>
      </c>
      <c r="EIR1" t="s">
        <v>3950</v>
      </c>
      <c r="EIS1" t="s">
        <v>3951</v>
      </c>
      <c r="EIT1" t="s">
        <v>3952</v>
      </c>
      <c r="EIU1" t="s">
        <v>3953</v>
      </c>
      <c r="EIV1" t="s">
        <v>3954</v>
      </c>
      <c r="EIW1" t="s">
        <v>3955</v>
      </c>
      <c r="EIX1" t="s">
        <v>3956</v>
      </c>
      <c r="EIY1" t="s">
        <v>3957</v>
      </c>
      <c r="EIZ1" t="s">
        <v>3958</v>
      </c>
      <c r="EJA1" t="s">
        <v>3959</v>
      </c>
      <c r="EJB1" t="s">
        <v>3960</v>
      </c>
      <c r="EJC1" t="s">
        <v>3961</v>
      </c>
      <c r="EJD1" t="s">
        <v>3962</v>
      </c>
      <c r="EJE1" t="s">
        <v>3963</v>
      </c>
      <c r="EJF1" t="s">
        <v>3964</v>
      </c>
      <c r="EJG1" t="s">
        <v>3965</v>
      </c>
      <c r="EJH1" t="s">
        <v>3966</v>
      </c>
      <c r="EJI1" t="s">
        <v>3967</v>
      </c>
      <c r="EJJ1" t="s">
        <v>3968</v>
      </c>
      <c r="EJK1" t="s">
        <v>3969</v>
      </c>
      <c r="EJL1" t="s">
        <v>3970</v>
      </c>
      <c r="EJM1" t="s">
        <v>3971</v>
      </c>
      <c r="EJN1" t="s">
        <v>3972</v>
      </c>
      <c r="EJO1" t="s">
        <v>3973</v>
      </c>
      <c r="EJP1" t="s">
        <v>3974</v>
      </c>
      <c r="EJQ1" t="s">
        <v>3975</v>
      </c>
      <c r="EJR1" t="s">
        <v>3976</v>
      </c>
      <c r="EJS1" t="s">
        <v>3977</v>
      </c>
      <c r="EJT1" t="s">
        <v>3978</v>
      </c>
      <c r="EJU1" t="s">
        <v>3979</v>
      </c>
      <c r="EJV1" t="s">
        <v>3980</v>
      </c>
      <c r="EJW1" t="s">
        <v>3981</v>
      </c>
      <c r="EJX1" t="s">
        <v>3982</v>
      </c>
      <c r="EJY1" t="s">
        <v>3983</v>
      </c>
      <c r="EJZ1" t="s">
        <v>3984</v>
      </c>
      <c r="EKA1" t="s">
        <v>3985</v>
      </c>
      <c r="EKB1" t="s">
        <v>3986</v>
      </c>
      <c r="EKC1" t="s">
        <v>3987</v>
      </c>
      <c r="EKD1" t="s">
        <v>3988</v>
      </c>
      <c r="EKE1" t="s">
        <v>3989</v>
      </c>
      <c r="EKF1" t="s">
        <v>3990</v>
      </c>
      <c r="EKG1" t="s">
        <v>3991</v>
      </c>
      <c r="EKH1" t="s">
        <v>3992</v>
      </c>
      <c r="EKI1" t="s">
        <v>3993</v>
      </c>
      <c r="EKJ1" t="s">
        <v>3994</v>
      </c>
      <c r="EKK1" t="s">
        <v>3995</v>
      </c>
      <c r="EKL1" t="s">
        <v>3996</v>
      </c>
      <c r="EKM1" t="s">
        <v>3997</v>
      </c>
      <c r="EKN1" t="s">
        <v>3998</v>
      </c>
      <c r="EKO1" t="s">
        <v>3999</v>
      </c>
      <c r="EKP1" t="s">
        <v>4000</v>
      </c>
      <c r="EKQ1" t="s">
        <v>4001</v>
      </c>
      <c r="EKR1" t="s">
        <v>4002</v>
      </c>
      <c r="EKS1" t="s">
        <v>4003</v>
      </c>
      <c r="EKT1" t="s">
        <v>4004</v>
      </c>
      <c r="EKU1" t="s">
        <v>4005</v>
      </c>
      <c r="EKV1" t="s">
        <v>4006</v>
      </c>
      <c r="EKW1" t="s">
        <v>4007</v>
      </c>
      <c r="EKX1" t="s">
        <v>4008</v>
      </c>
      <c r="EKY1" t="s">
        <v>4009</v>
      </c>
      <c r="EKZ1" t="s">
        <v>4010</v>
      </c>
      <c r="ELA1" t="s">
        <v>4011</v>
      </c>
      <c r="ELB1" t="s">
        <v>4012</v>
      </c>
      <c r="ELC1" t="s">
        <v>4013</v>
      </c>
      <c r="ELD1" t="s">
        <v>4014</v>
      </c>
      <c r="ELE1" t="s">
        <v>4015</v>
      </c>
      <c r="ELF1" t="s">
        <v>4016</v>
      </c>
      <c r="ELG1" t="s">
        <v>4017</v>
      </c>
      <c r="ELH1" t="s">
        <v>4018</v>
      </c>
      <c r="ELI1" t="s">
        <v>4019</v>
      </c>
      <c r="ELJ1" t="s">
        <v>4020</v>
      </c>
      <c r="ELK1" t="s">
        <v>4021</v>
      </c>
      <c r="ELL1" t="s">
        <v>4022</v>
      </c>
      <c r="ELM1" t="s">
        <v>4023</v>
      </c>
      <c r="ELN1" t="s">
        <v>4024</v>
      </c>
      <c r="ELO1" t="s">
        <v>4025</v>
      </c>
      <c r="ELP1" t="s">
        <v>4026</v>
      </c>
      <c r="ELQ1" t="s">
        <v>4027</v>
      </c>
      <c r="ELR1" t="s">
        <v>4028</v>
      </c>
      <c r="ELS1" t="s">
        <v>4029</v>
      </c>
      <c r="ELT1" t="s">
        <v>4030</v>
      </c>
      <c r="ELU1" t="s">
        <v>4031</v>
      </c>
      <c r="ELV1" t="s">
        <v>4032</v>
      </c>
      <c r="ELW1" t="s">
        <v>4033</v>
      </c>
      <c r="ELX1" t="s">
        <v>4034</v>
      </c>
      <c r="ELY1" t="s">
        <v>4035</v>
      </c>
      <c r="ELZ1" t="s">
        <v>4036</v>
      </c>
      <c r="EMA1" t="s">
        <v>4037</v>
      </c>
      <c r="EMB1" t="s">
        <v>4038</v>
      </c>
      <c r="EMC1" t="s">
        <v>4039</v>
      </c>
      <c r="EMD1" t="s">
        <v>4040</v>
      </c>
      <c r="EME1" t="s">
        <v>4041</v>
      </c>
      <c r="EMF1" t="s">
        <v>4042</v>
      </c>
      <c r="EMG1" t="s">
        <v>4043</v>
      </c>
      <c r="EMH1" t="s">
        <v>4044</v>
      </c>
      <c r="EMI1" t="s">
        <v>4045</v>
      </c>
      <c r="EMJ1" t="s">
        <v>4046</v>
      </c>
      <c r="EMK1" t="s">
        <v>4047</v>
      </c>
      <c r="EML1" t="s">
        <v>4048</v>
      </c>
      <c r="EMM1" t="s">
        <v>4049</v>
      </c>
      <c r="EMN1" t="s">
        <v>4050</v>
      </c>
      <c r="EMO1" t="s">
        <v>4051</v>
      </c>
      <c r="EMP1" t="s">
        <v>4052</v>
      </c>
      <c r="EMQ1" t="s">
        <v>4053</v>
      </c>
      <c r="EMR1" t="s">
        <v>4054</v>
      </c>
      <c r="EMS1" t="s">
        <v>4055</v>
      </c>
      <c r="EMT1" t="s">
        <v>4056</v>
      </c>
      <c r="EMU1" t="s">
        <v>4057</v>
      </c>
      <c r="EMV1" t="s">
        <v>4058</v>
      </c>
      <c r="EMW1" t="s">
        <v>4059</v>
      </c>
      <c r="EMX1" t="s">
        <v>4060</v>
      </c>
      <c r="EMY1" t="s">
        <v>4061</v>
      </c>
      <c r="EMZ1" t="s">
        <v>4062</v>
      </c>
      <c r="ENA1" t="s">
        <v>4063</v>
      </c>
      <c r="ENB1" t="s">
        <v>4064</v>
      </c>
      <c r="ENC1" t="s">
        <v>4065</v>
      </c>
      <c r="END1" t="s">
        <v>4066</v>
      </c>
      <c r="ENE1" t="s">
        <v>4067</v>
      </c>
      <c r="ENF1" t="s">
        <v>4068</v>
      </c>
      <c r="ENG1" t="s">
        <v>4069</v>
      </c>
      <c r="ENH1" t="s">
        <v>4070</v>
      </c>
      <c r="ENI1" t="s">
        <v>4071</v>
      </c>
      <c r="ENJ1" t="s">
        <v>4072</v>
      </c>
      <c r="ENK1" t="s">
        <v>4073</v>
      </c>
      <c r="ENL1" t="s">
        <v>4074</v>
      </c>
      <c r="ENM1" t="s">
        <v>4075</v>
      </c>
      <c r="ENN1" t="s">
        <v>4076</v>
      </c>
      <c r="ENO1" t="s">
        <v>4077</v>
      </c>
      <c r="ENP1" t="s">
        <v>4078</v>
      </c>
      <c r="ENQ1" t="s">
        <v>4079</v>
      </c>
      <c r="ENR1" t="s">
        <v>4080</v>
      </c>
      <c r="ENS1" t="s">
        <v>4081</v>
      </c>
      <c r="ENT1" t="s">
        <v>4082</v>
      </c>
      <c r="ENU1" t="s">
        <v>4083</v>
      </c>
      <c r="ENV1" t="s">
        <v>4084</v>
      </c>
      <c r="ENW1" t="s">
        <v>4085</v>
      </c>
      <c r="ENX1" t="s">
        <v>4086</v>
      </c>
      <c r="ENY1" t="s">
        <v>4087</v>
      </c>
      <c r="ENZ1" t="s">
        <v>4088</v>
      </c>
      <c r="EOA1" t="s">
        <v>4089</v>
      </c>
      <c r="EOB1" t="s">
        <v>4090</v>
      </c>
      <c r="EOC1" t="s">
        <v>4091</v>
      </c>
      <c r="EOD1" t="s">
        <v>4092</v>
      </c>
      <c r="EOE1" t="s">
        <v>4093</v>
      </c>
      <c r="EOF1" t="s">
        <v>4094</v>
      </c>
      <c r="EOG1" t="s">
        <v>4095</v>
      </c>
      <c r="EOH1" t="s">
        <v>4096</v>
      </c>
      <c r="EOI1" t="s">
        <v>4097</v>
      </c>
      <c r="EOJ1" t="s">
        <v>4098</v>
      </c>
      <c r="EOK1" t="s">
        <v>4099</v>
      </c>
      <c r="EOL1" t="s">
        <v>4100</v>
      </c>
      <c r="EOM1" t="s">
        <v>4101</v>
      </c>
      <c r="EON1" t="s">
        <v>4102</v>
      </c>
      <c r="EOO1" t="s">
        <v>4103</v>
      </c>
      <c r="EOP1" t="s">
        <v>4104</v>
      </c>
      <c r="EOQ1" t="s">
        <v>4105</v>
      </c>
      <c r="EOR1" t="s">
        <v>4106</v>
      </c>
      <c r="EOS1" t="s">
        <v>4107</v>
      </c>
      <c r="EOT1" t="s">
        <v>4108</v>
      </c>
      <c r="EOU1" t="s">
        <v>4109</v>
      </c>
      <c r="EOV1" t="s">
        <v>4110</v>
      </c>
      <c r="EOW1" t="s">
        <v>4111</v>
      </c>
      <c r="EOX1" t="s">
        <v>4112</v>
      </c>
      <c r="EOY1" t="s">
        <v>4113</v>
      </c>
      <c r="EOZ1" t="s">
        <v>4114</v>
      </c>
      <c r="EPA1" t="s">
        <v>4115</v>
      </c>
      <c r="EPB1" t="s">
        <v>4116</v>
      </c>
      <c r="EPC1" t="s">
        <v>4117</v>
      </c>
      <c r="EPD1" t="s">
        <v>4118</v>
      </c>
      <c r="EPE1" t="s">
        <v>4119</v>
      </c>
      <c r="EPF1" t="s">
        <v>4120</v>
      </c>
      <c r="EPG1" t="s">
        <v>4121</v>
      </c>
      <c r="EPH1" t="s">
        <v>4122</v>
      </c>
      <c r="EPI1" t="s">
        <v>4123</v>
      </c>
      <c r="EPJ1" t="s">
        <v>4124</v>
      </c>
      <c r="EPK1" t="s">
        <v>4125</v>
      </c>
      <c r="EPL1" t="s">
        <v>4126</v>
      </c>
      <c r="EPM1" t="s">
        <v>4127</v>
      </c>
      <c r="EPN1" t="s">
        <v>4128</v>
      </c>
      <c r="EPO1" t="s">
        <v>4129</v>
      </c>
      <c r="EPP1" t="s">
        <v>4130</v>
      </c>
      <c r="EPQ1" t="s">
        <v>4131</v>
      </c>
      <c r="EPR1" t="s">
        <v>4132</v>
      </c>
      <c r="EPS1" t="s">
        <v>4133</v>
      </c>
      <c r="EPT1" t="s">
        <v>4134</v>
      </c>
      <c r="EPU1" t="s">
        <v>4135</v>
      </c>
      <c r="EPV1" t="s">
        <v>4136</v>
      </c>
      <c r="EPW1" t="s">
        <v>4137</v>
      </c>
      <c r="EPX1" t="s">
        <v>4138</v>
      </c>
      <c r="EPY1" t="s">
        <v>4139</v>
      </c>
      <c r="EPZ1" t="s">
        <v>4140</v>
      </c>
      <c r="EQA1" t="s">
        <v>4141</v>
      </c>
      <c r="EQB1" t="s">
        <v>4142</v>
      </c>
      <c r="EQC1" t="s">
        <v>4143</v>
      </c>
      <c r="EQD1" t="s">
        <v>4144</v>
      </c>
      <c r="EQE1" t="s">
        <v>4145</v>
      </c>
      <c r="EQF1" t="s">
        <v>4146</v>
      </c>
      <c r="EQG1" t="s">
        <v>4147</v>
      </c>
      <c r="EQH1" t="s">
        <v>4148</v>
      </c>
      <c r="EQI1" t="s">
        <v>4149</v>
      </c>
      <c r="EQJ1" t="s">
        <v>4150</v>
      </c>
      <c r="EQK1" t="s">
        <v>4151</v>
      </c>
      <c r="EQL1" t="s">
        <v>4152</v>
      </c>
      <c r="EQM1" t="s">
        <v>4153</v>
      </c>
      <c r="EQN1" t="s">
        <v>4154</v>
      </c>
      <c r="EQO1" t="s">
        <v>4155</v>
      </c>
      <c r="EQP1" t="s">
        <v>4156</v>
      </c>
      <c r="EQQ1" t="s">
        <v>4157</v>
      </c>
      <c r="EQR1" t="s">
        <v>4158</v>
      </c>
      <c r="EQS1" t="s">
        <v>4159</v>
      </c>
      <c r="EQT1" t="s">
        <v>4160</v>
      </c>
      <c r="EQU1" t="s">
        <v>4161</v>
      </c>
      <c r="EQV1" t="s">
        <v>4162</v>
      </c>
      <c r="EQW1" t="s">
        <v>4163</v>
      </c>
      <c r="EQX1" t="s">
        <v>4164</v>
      </c>
      <c r="EQY1" t="s">
        <v>4165</v>
      </c>
      <c r="EQZ1" t="s">
        <v>4166</v>
      </c>
      <c r="ERA1" t="s">
        <v>4167</v>
      </c>
      <c r="ERB1" t="s">
        <v>4168</v>
      </c>
      <c r="ERC1" t="s">
        <v>4169</v>
      </c>
      <c r="ERD1" t="s">
        <v>4170</v>
      </c>
      <c r="ERE1" t="s">
        <v>4171</v>
      </c>
      <c r="ERF1" t="s">
        <v>4172</v>
      </c>
      <c r="ERG1" t="s">
        <v>4173</v>
      </c>
      <c r="ERH1" t="s">
        <v>4174</v>
      </c>
      <c r="ERI1" t="s">
        <v>4175</v>
      </c>
      <c r="ERJ1" t="s">
        <v>4176</v>
      </c>
      <c r="ERK1" t="s">
        <v>4177</v>
      </c>
      <c r="ERL1" t="s">
        <v>4178</v>
      </c>
      <c r="ERM1" t="s">
        <v>4179</v>
      </c>
      <c r="ERN1" t="s">
        <v>4180</v>
      </c>
      <c r="ERO1" t="s">
        <v>4181</v>
      </c>
      <c r="ERP1" t="s">
        <v>4182</v>
      </c>
      <c r="ERQ1" t="s">
        <v>4183</v>
      </c>
      <c r="ERR1" t="s">
        <v>4184</v>
      </c>
      <c r="ERS1" t="s">
        <v>4185</v>
      </c>
      <c r="ERT1" t="s">
        <v>4186</v>
      </c>
      <c r="ERU1" t="s">
        <v>4187</v>
      </c>
      <c r="ERV1" t="s">
        <v>4188</v>
      </c>
      <c r="ERW1" t="s">
        <v>4189</v>
      </c>
      <c r="ERX1" t="s">
        <v>4190</v>
      </c>
      <c r="ERY1" t="s">
        <v>4191</v>
      </c>
      <c r="ERZ1" t="s">
        <v>4192</v>
      </c>
      <c r="ESA1" t="s">
        <v>4193</v>
      </c>
      <c r="ESB1" t="s">
        <v>4194</v>
      </c>
      <c r="ESC1" t="s">
        <v>4195</v>
      </c>
      <c r="ESD1" t="s">
        <v>4196</v>
      </c>
      <c r="ESE1" t="s">
        <v>4197</v>
      </c>
      <c r="ESF1" t="s">
        <v>4198</v>
      </c>
      <c r="ESG1" t="s">
        <v>4199</v>
      </c>
      <c r="ESH1" t="s">
        <v>4200</v>
      </c>
      <c r="ESI1" t="s">
        <v>4201</v>
      </c>
      <c r="ESJ1" t="s">
        <v>4202</v>
      </c>
      <c r="ESK1" t="s">
        <v>4203</v>
      </c>
      <c r="ESL1" t="s">
        <v>4204</v>
      </c>
      <c r="ESM1" t="s">
        <v>4205</v>
      </c>
      <c r="ESN1" t="s">
        <v>4206</v>
      </c>
      <c r="ESO1" t="s">
        <v>4207</v>
      </c>
      <c r="ESP1" t="s">
        <v>4208</v>
      </c>
      <c r="ESQ1" t="s">
        <v>4209</v>
      </c>
      <c r="ESR1" t="s">
        <v>4210</v>
      </c>
      <c r="ESS1" t="s">
        <v>4211</v>
      </c>
      <c r="EST1" t="s">
        <v>4212</v>
      </c>
      <c r="ESU1" t="s">
        <v>4213</v>
      </c>
      <c r="ESV1" t="s">
        <v>4214</v>
      </c>
      <c r="ESW1" t="s">
        <v>4215</v>
      </c>
      <c r="ESX1" t="s">
        <v>4216</v>
      </c>
      <c r="ESY1" t="s">
        <v>4217</v>
      </c>
      <c r="ESZ1" t="s">
        <v>4218</v>
      </c>
      <c r="ETA1" t="s">
        <v>4219</v>
      </c>
      <c r="ETB1" t="s">
        <v>4220</v>
      </c>
      <c r="ETC1" t="s">
        <v>4221</v>
      </c>
      <c r="ETD1" t="s">
        <v>4222</v>
      </c>
      <c r="ETE1" t="s">
        <v>4223</v>
      </c>
      <c r="ETF1" t="s">
        <v>4224</v>
      </c>
      <c r="ETG1" t="s">
        <v>4225</v>
      </c>
      <c r="ETH1" t="s">
        <v>4226</v>
      </c>
      <c r="ETI1" t="s">
        <v>4227</v>
      </c>
      <c r="ETJ1" t="s">
        <v>4228</v>
      </c>
      <c r="ETK1" t="s">
        <v>4229</v>
      </c>
      <c r="ETL1" t="s">
        <v>4230</v>
      </c>
      <c r="ETM1" t="s">
        <v>4231</v>
      </c>
      <c r="ETN1" t="s">
        <v>4232</v>
      </c>
      <c r="ETO1" t="s">
        <v>4233</v>
      </c>
      <c r="ETP1" t="s">
        <v>4234</v>
      </c>
      <c r="ETQ1" t="s">
        <v>4235</v>
      </c>
      <c r="ETR1" t="s">
        <v>4236</v>
      </c>
      <c r="ETS1" t="s">
        <v>4237</v>
      </c>
      <c r="ETT1" t="s">
        <v>4238</v>
      </c>
      <c r="ETU1" t="s">
        <v>4239</v>
      </c>
      <c r="ETV1" t="s">
        <v>4240</v>
      </c>
      <c r="ETW1" t="s">
        <v>4241</v>
      </c>
      <c r="ETX1" t="s">
        <v>4242</v>
      </c>
      <c r="ETY1" t="s">
        <v>4243</v>
      </c>
      <c r="ETZ1" t="s">
        <v>4244</v>
      </c>
      <c r="EUA1" t="s">
        <v>4245</v>
      </c>
      <c r="EUB1" t="s">
        <v>4246</v>
      </c>
      <c r="EUC1" t="s">
        <v>4247</v>
      </c>
      <c r="EUD1" t="s">
        <v>4248</v>
      </c>
      <c r="EUE1" t="s">
        <v>4249</v>
      </c>
      <c r="EUF1" t="s">
        <v>4250</v>
      </c>
      <c r="EUG1" t="s">
        <v>4251</v>
      </c>
      <c r="EUH1" t="s">
        <v>4252</v>
      </c>
      <c r="EUI1" t="s">
        <v>4253</v>
      </c>
      <c r="EUJ1" t="s">
        <v>4254</v>
      </c>
      <c r="EUK1" t="s">
        <v>4255</v>
      </c>
      <c r="EUL1" t="s">
        <v>4256</v>
      </c>
      <c r="EUM1" t="s">
        <v>4257</v>
      </c>
      <c r="EUN1" t="s">
        <v>4258</v>
      </c>
      <c r="EUO1" t="s">
        <v>4259</v>
      </c>
      <c r="EUP1" t="s">
        <v>4260</v>
      </c>
      <c r="EUQ1" t="s">
        <v>4261</v>
      </c>
      <c r="EUR1" t="s">
        <v>4262</v>
      </c>
      <c r="EUS1" t="s">
        <v>4263</v>
      </c>
      <c r="EUT1" t="s">
        <v>4264</v>
      </c>
      <c r="EUU1" t="s">
        <v>4265</v>
      </c>
      <c r="EUV1" t="s">
        <v>4266</v>
      </c>
      <c r="EUW1" t="s">
        <v>4267</v>
      </c>
      <c r="EUX1" t="s">
        <v>4268</v>
      </c>
      <c r="EUY1" t="s">
        <v>4269</v>
      </c>
      <c r="EUZ1" t="s">
        <v>4270</v>
      </c>
      <c r="EVA1" t="s">
        <v>4271</v>
      </c>
      <c r="EVB1" t="s">
        <v>4272</v>
      </c>
      <c r="EVC1" t="s">
        <v>4273</v>
      </c>
      <c r="EVD1" t="s">
        <v>4274</v>
      </c>
      <c r="EVE1" t="s">
        <v>4275</v>
      </c>
      <c r="EVF1" t="s">
        <v>4276</v>
      </c>
      <c r="EVG1" t="s">
        <v>4277</v>
      </c>
      <c r="EVH1" t="s">
        <v>4278</v>
      </c>
      <c r="EVI1" t="s">
        <v>4279</v>
      </c>
      <c r="EVJ1" t="s">
        <v>4280</v>
      </c>
      <c r="EVK1" t="s">
        <v>4281</v>
      </c>
      <c r="EVL1" t="s">
        <v>4282</v>
      </c>
      <c r="EVM1" t="s">
        <v>4283</v>
      </c>
      <c r="EVN1" t="s">
        <v>4284</v>
      </c>
      <c r="EVO1" t="s">
        <v>4285</v>
      </c>
      <c r="EVP1" t="s">
        <v>4286</v>
      </c>
      <c r="EVQ1" t="s">
        <v>4287</v>
      </c>
      <c r="EVR1" t="s">
        <v>4288</v>
      </c>
      <c r="EVS1" t="s">
        <v>4289</v>
      </c>
      <c r="EVT1" t="s">
        <v>4290</v>
      </c>
      <c r="EVU1" t="s">
        <v>4291</v>
      </c>
      <c r="EVV1" t="s">
        <v>4292</v>
      </c>
      <c r="EVW1" t="s">
        <v>4293</v>
      </c>
      <c r="EVX1" t="s">
        <v>4294</v>
      </c>
      <c r="EVY1" t="s">
        <v>4295</v>
      </c>
      <c r="EVZ1" t="s">
        <v>4296</v>
      </c>
      <c r="EWA1" t="s">
        <v>4297</v>
      </c>
      <c r="EWB1" t="s">
        <v>4298</v>
      </c>
      <c r="EWC1" t="s">
        <v>4299</v>
      </c>
      <c r="EWD1" t="s">
        <v>4300</v>
      </c>
      <c r="EWE1" t="s">
        <v>4301</v>
      </c>
      <c r="EWF1" t="s">
        <v>4302</v>
      </c>
      <c r="EWG1" t="s">
        <v>4303</v>
      </c>
      <c r="EWH1" t="s">
        <v>4304</v>
      </c>
      <c r="EWI1" t="s">
        <v>4305</v>
      </c>
      <c r="EWJ1" t="s">
        <v>4306</v>
      </c>
      <c r="EWK1" t="s">
        <v>4307</v>
      </c>
      <c r="EWL1" t="s">
        <v>4308</v>
      </c>
      <c r="EWM1" t="s">
        <v>4309</v>
      </c>
      <c r="EWN1" t="s">
        <v>4310</v>
      </c>
      <c r="EWO1" t="s">
        <v>4311</v>
      </c>
      <c r="EWP1" t="s">
        <v>4312</v>
      </c>
      <c r="EWQ1" t="s">
        <v>4313</v>
      </c>
      <c r="EWR1" t="s">
        <v>4314</v>
      </c>
      <c r="EWS1" t="s">
        <v>4315</v>
      </c>
      <c r="EWT1" t="s">
        <v>4316</v>
      </c>
      <c r="EWU1" t="s">
        <v>4317</v>
      </c>
      <c r="EWV1" t="s">
        <v>4318</v>
      </c>
      <c r="EWW1" t="s">
        <v>4319</v>
      </c>
      <c r="EWX1" t="s">
        <v>4320</v>
      </c>
      <c r="EWY1" t="s">
        <v>4321</v>
      </c>
      <c r="EWZ1" t="s">
        <v>4322</v>
      </c>
      <c r="EXA1" t="s">
        <v>4323</v>
      </c>
      <c r="EXB1" t="s">
        <v>4324</v>
      </c>
      <c r="EXC1" t="s">
        <v>4325</v>
      </c>
      <c r="EXD1" t="s">
        <v>4326</v>
      </c>
      <c r="EXE1" t="s">
        <v>4327</v>
      </c>
      <c r="EXF1" t="s">
        <v>4328</v>
      </c>
      <c r="EXG1" t="s">
        <v>4329</v>
      </c>
      <c r="EXH1" t="s">
        <v>4330</v>
      </c>
      <c r="EXI1" t="s">
        <v>4331</v>
      </c>
      <c r="EXJ1" t="s">
        <v>4332</v>
      </c>
      <c r="EXK1" t="s">
        <v>4333</v>
      </c>
      <c r="EXL1" t="s">
        <v>4334</v>
      </c>
      <c r="EXM1" t="s">
        <v>4335</v>
      </c>
      <c r="EXN1" t="s">
        <v>4336</v>
      </c>
      <c r="EXO1" t="s">
        <v>4337</v>
      </c>
      <c r="EXP1" t="s">
        <v>4338</v>
      </c>
      <c r="EXQ1" t="s">
        <v>4339</v>
      </c>
      <c r="EXR1" t="s">
        <v>4340</v>
      </c>
      <c r="EXS1" t="s">
        <v>4341</v>
      </c>
      <c r="EXT1" t="s">
        <v>4342</v>
      </c>
      <c r="EXU1" t="s">
        <v>4343</v>
      </c>
      <c r="EXV1" t="s">
        <v>4344</v>
      </c>
      <c r="EXW1" t="s">
        <v>4345</v>
      </c>
      <c r="EXX1" t="s">
        <v>4346</v>
      </c>
      <c r="EXY1" t="s">
        <v>4347</v>
      </c>
      <c r="EXZ1" t="s">
        <v>4348</v>
      </c>
      <c r="EYA1" t="s">
        <v>4349</v>
      </c>
      <c r="EYB1" t="s">
        <v>4350</v>
      </c>
      <c r="EYC1" t="s">
        <v>4351</v>
      </c>
      <c r="EYD1" t="s">
        <v>4352</v>
      </c>
      <c r="EYE1" t="s">
        <v>4353</v>
      </c>
      <c r="EYF1" t="s">
        <v>4354</v>
      </c>
      <c r="EYG1" t="s">
        <v>4355</v>
      </c>
      <c r="EYH1" t="s">
        <v>4356</v>
      </c>
      <c r="EYI1" t="s">
        <v>4357</v>
      </c>
      <c r="EYJ1" t="s">
        <v>4358</v>
      </c>
      <c r="EYK1" t="s">
        <v>4359</v>
      </c>
      <c r="EYL1" t="s">
        <v>4360</v>
      </c>
      <c r="EYM1" t="s">
        <v>4361</v>
      </c>
      <c r="EYN1" t="s">
        <v>4362</v>
      </c>
      <c r="EYO1" t="s">
        <v>4363</v>
      </c>
      <c r="EYP1" t="s">
        <v>4364</v>
      </c>
      <c r="EYQ1" t="s">
        <v>4365</v>
      </c>
      <c r="EYR1" t="s">
        <v>4366</v>
      </c>
      <c r="EYS1" t="s">
        <v>4367</v>
      </c>
      <c r="EYT1" t="s">
        <v>4368</v>
      </c>
      <c r="EYU1" t="s">
        <v>4369</v>
      </c>
      <c r="EYV1" t="s">
        <v>4370</v>
      </c>
      <c r="EYW1" t="s">
        <v>4371</v>
      </c>
      <c r="EYX1" t="s">
        <v>4372</v>
      </c>
      <c r="EYY1" t="s">
        <v>4373</v>
      </c>
      <c r="EYZ1" t="s">
        <v>4374</v>
      </c>
      <c r="EZA1" t="s">
        <v>4375</v>
      </c>
      <c r="EZB1" t="s">
        <v>4376</v>
      </c>
      <c r="EZC1" t="s">
        <v>4377</v>
      </c>
      <c r="EZD1" t="s">
        <v>4378</v>
      </c>
      <c r="EZE1" t="s">
        <v>4379</v>
      </c>
      <c r="EZF1" t="s">
        <v>4380</v>
      </c>
      <c r="EZG1" t="s">
        <v>4381</v>
      </c>
      <c r="EZH1" t="s">
        <v>4382</v>
      </c>
      <c r="EZI1" t="s">
        <v>4383</v>
      </c>
      <c r="EZJ1" t="s">
        <v>4384</v>
      </c>
      <c r="EZK1" t="s">
        <v>4385</v>
      </c>
      <c r="EZL1" t="s">
        <v>4386</v>
      </c>
      <c r="EZM1" t="s">
        <v>4387</v>
      </c>
      <c r="EZN1" t="s">
        <v>4388</v>
      </c>
      <c r="EZO1" t="s">
        <v>4389</v>
      </c>
      <c r="EZP1" t="s">
        <v>4390</v>
      </c>
      <c r="EZQ1" t="s">
        <v>4391</v>
      </c>
      <c r="EZR1" t="s">
        <v>4392</v>
      </c>
      <c r="EZS1" t="s">
        <v>4393</v>
      </c>
      <c r="EZT1" t="s">
        <v>4394</v>
      </c>
      <c r="EZU1" t="s">
        <v>4395</v>
      </c>
      <c r="EZV1" t="s">
        <v>4396</v>
      </c>
      <c r="EZW1" t="s">
        <v>4397</v>
      </c>
      <c r="EZX1" t="s">
        <v>4398</v>
      </c>
      <c r="EZY1" t="s">
        <v>4399</v>
      </c>
      <c r="EZZ1" t="s">
        <v>4400</v>
      </c>
      <c r="FAA1" t="s">
        <v>4401</v>
      </c>
      <c r="FAB1" t="s">
        <v>4402</v>
      </c>
      <c r="FAC1" t="s">
        <v>4403</v>
      </c>
      <c r="FAD1" t="s">
        <v>4404</v>
      </c>
      <c r="FAE1" t="s">
        <v>4405</v>
      </c>
      <c r="FAF1" t="s">
        <v>4406</v>
      </c>
      <c r="FAG1" t="s">
        <v>4407</v>
      </c>
      <c r="FAH1" t="s">
        <v>4408</v>
      </c>
      <c r="FAI1" t="s">
        <v>4409</v>
      </c>
      <c r="FAJ1" t="s">
        <v>4410</v>
      </c>
      <c r="FAK1" t="s">
        <v>4411</v>
      </c>
      <c r="FAL1" t="s">
        <v>4412</v>
      </c>
      <c r="FAM1" t="s">
        <v>4413</v>
      </c>
      <c r="FAN1" t="s">
        <v>4414</v>
      </c>
      <c r="FAO1" t="s">
        <v>4415</v>
      </c>
      <c r="FAP1" t="s">
        <v>4416</v>
      </c>
      <c r="FAQ1" t="s">
        <v>4417</v>
      </c>
      <c r="FAR1" t="s">
        <v>4418</v>
      </c>
      <c r="FAS1" t="s">
        <v>4419</v>
      </c>
      <c r="FAT1" t="s">
        <v>4420</v>
      </c>
      <c r="FAU1" t="s">
        <v>4421</v>
      </c>
      <c r="FAV1" t="s">
        <v>4422</v>
      </c>
      <c r="FAW1" t="s">
        <v>4423</v>
      </c>
      <c r="FAX1" t="s">
        <v>4424</v>
      </c>
      <c r="FAY1" t="s">
        <v>4425</v>
      </c>
      <c r="FAZ1" t="s">
        <v>4426</v>
      </c>
      <c r="FBA1" t="s">
        <v>4427</v>
      </c>
      <c r="FBB1" t="s">
        <v>4428</v>
      </c>
      <c r="FBC1" t="s">
        <v>4429</v>
      </c>
      <c r="FBD1" t="s">
        <v>4430</v>
      </c>
      <c r="FBE1" t="s">
        <v>4431</v>
      </c>
      <c r="FBF1" t="s">
        <v>4432</v>
      </c>
      <c r="FBG1" t="s">
        <v>4433</v>
      </c>
      <c r="FBH1" t="s">
        <v>4434</v>
      </c>
      <c r="FBI1" t="s">
        <v>4435</v>
      </c>
      <c r="FBJ1" t="s">
        <v>4436</v>
      </c>
      <c r="FBK1" t="s">
        <v>4437</v>
      </c>
      <c r="FBL1" t="s">
        <v>4438</v>
      </c>
      <c r="FBM1" t="s">
        <v>4439</v>
      </c>
      <c r="FBN1" t="s">
        <v>4440</v>
      </c>
      <c r="FBO1" t="s">
        <v>4441</v>
      </c>
      <c r="FBP1" t="s">
        <v>4442</v>
      </c>
      <c r="FBQ1" t="s">
        <v>4443</v>
      </c>
      <c r="FBR1" t="s">
        <v>4444</v>
      </c>
      <c r="FBS1" t="s">
        <v>4445</v>
      </c>
      <c r="FBT1" t="s">
        <v>4446</v>
      </c>
      <c r="FBU1" t="s">
        <v>4447</v>
      </c>
      <c r="FBV1" t="s">
        <v>4448</v>
      </c>
      <c r="FBW1" t="s">
        <v>4449</v>
      </c>
      <c r="FBX1" t="s">
        <v>4450</v>
      </c>
      <c r="FBY1" t="s">
        <v>4451</v>
      </c>
      <c r="FBZ1" t="s">
        <v>4452</v>
      </c>
      <c r="FCA1" t="s">
        <v>4453</v>
      </c>
      <c r="FCB1" t="s">
        <v>4454</v>
      </c>
      <c r="FCC1" t="s">
        <v>4455</v>
      </c>
      <c r="FCD1" t="s">
        <v>4456</v>
      </c>
      <c r="FCE1" t="s">
        <v>4457</v>
      </c>
      <c r="FCF1" t="s">
        <v>4458</v>
      </c>
      <c r="FCG1" t="s">
        <v>4459</v>
      </c>
      <c r="FCH1" t="s">
        <v>4460</v>
      </c>
      <c r="FCI1" t="s">
        <v>4461</v>
      </c>
      <c r="FCJ1" t="s">
        <v>4462</v>
      </c>
      <c r="FCK1" t="s">
        <v>4463</v>
      </c>
      <c r="FCL1" t="s">
        <v>4464</v>
      </c>
      <c r="FCM1" t="s">
        <v>4465</v>
      </c>
      <c r="FCN1" t="s">
        <v>4466</v>
      </c>
      <c r="FCO1" t="s">
        <v>4467</v>
      </c>
      <c r="FCP1" t="s">
        <v>4468</v>
      </c>
      <c r="FCQ1" t="s">
        <v>4469</v>
      </c>
      <c r="FCR1" t="s">
        <v>4470</v>
      </c>
      <c r="FCS1" t="s">
        <v>4471</v>
      </c>
      <c r="FCT1" t="s">
        <v>4472</v>
      </c>
      <c r="FCU1" t="s">
        <v>4473</v>
      </c>
      <c r="FCV1" t="s">
        <v>4474</v>
      </c>
      <c r="FCW1" t="s">
        <v>4475</v>
      </c>
      <c r="FCX1" t="s">
        <v>4476</v>
      </c>
      <c r="FCY1" t="s">
        <v>4477</v>
      </c>
      <c r="FCZ1" t="s">
        <v>4478</v>
      </c>
      <c r="FDA1" t="s">
        <v>4479</v>
      </c>
      <c r="FDB1" t="s">
        <v>4480</v>
      </c>
      <c r="FDC1" t="s">
        <v>4481</v>
      </c>
      <c r="FDD1" t="s">
        <v>4482</v>
      </c>
      <c r="FDE1" t="s">
        <v>4483</v>
      </c>
      <c r="FDF1" t="s">
        <v>4484</v>
      </c>
      <c r="FDG1" t="s">
        <v>4485</v>
      </c>
      <c r="FDH1" t="s">
        <v>4486</v>
      </c>
      <c r="FDI1" t="s">
        <v>4487</v>
      </c>
      <c r="FDJ1" t="s">
        <v>4488</v>
      </c>
      <c r="FDK1" t="s">
        <v>4489</v>
      </c>
      <c r="FDL1" t="s">
        <v>4490</v>
      </c>
      <c r="FDM1" t="s">
        <v>4491</v>
      </c>
      <c r="FDN1" t="s">
        <v>4492</v>
      </c>
      <c r="FDO1" t="s">
        <v>4493</v>
      </c>
      <c r="FDP1" t="s">
        <v>4494</v>
      </c>
      <c r="FDQ1" t="s">
        <v>4495</v>
      </c>
      <c r="FDR1" t="s">
        <v>4496</v>
      </c>
      <c r="FDS1" t="s">
        <v>4497</v>
      </c>
      <c r="FDT1" t="s">
        <v>4498</v>
      </c>
      <c r="FDU1" t="s">
        <v>4499</v>
      </c>
      <c r="FDV1" t="s">
        <v>4500</v>
      </c>
      <c r="FDW1" t="s">
        <v>4501</v>
      </c>
      <c r="FDX1" t="s">
        <v>4502</v>
      </c>
      <c r="FDY1" t="s">
        <v>4503</v>
      </c>
      <c r="FDZ1" t="s">
        <v>4504</v>
      </c>
      <c r="FEA1" t="s">
        <v>4505</v>
      </c>
      <c r="FEB1" t="s">
        <v>4506</v>
      </c>
      <c r="FEC1" t="s">
        <v>4507</v>
      </c>
      <c r="FED1" t="s">
        <v>4508</v>
      </c>
      <c r="FEE1" t="s">
        <v>4509</v>
      </c>
      <c r="FEF1" t="s">
        <v>4510</v>
      </c>
      <c r="FEG1" t="s">
        <v>4511</v>
      </c>
      <c r="FEH1" t="s">
        <v>4512</v>
      </c>
      <c r="FEI1" t="s">
        <v>4513</v>
      </c>
      <c r="FEJ1" t="s">
        <v>4514</v>
      </c>
      <c r="FEK1" t="s">
        <v>4515</v>
      </c>
      <c r="FEL1" t="s">
        <v>4516</v>
      </c>
      <c r="FEM1" t="s">
        <v>4517</v>
      </c>
      <c r="FEN1" t="s">
        <v>4518</v>
      </c>
      <c r="FEO1" t="s">
        <v>4519</v>
      </c>
      <c r="FEP1" t="s">
        <v>4520</v>
      </c>
      <c r="FEQ1" t="s">
        <v>4521</v>
      </c>
      <c r="FER1" t="s">
        <v>4522</v>
      </c>
      <c r="FES1" t="s">
        <v>4523</v>
      </c>
      <c r="FET1" t="s">
        <v>4524</v>
      </c>
      <c r="FEU1" t="s">
        <v>4525</v>
      </c>
      <c r="FEV1" t="s">
        <v>4526</v>
      </c>
      <c r="FEW1" t="s">
        <v>4527</v>
      </c>
      <c r="FEX1" t="s">
        <v>4528</v>
      </c>
      <c r="FEY1" t="s">
        <v>4529</v>
      </c>
      <c r="FEZ1" t="s">
        <v>4530</v>
      </c>
      <c r="FFA1" t="s">
        <v>4531</v>
      </c>
      <c r="FFB1" t="s">
        <v>4532</v>
      </c>
      <c r="FFC1" t="s">
        <v>4533</v>
      </c>
      <c r="FFD1" t="s">
        <v>4534</v>
      </c>
      <c r="FFE1" t="s">
        <v>4535</v>
      </c>
      <c r="FFF1" t="s">
        <v>4536</v>
      </c>
      <c r="FFG1" t="s">
        <v>4537</v>
      </c>
      <c r="FFH1" t="s">
        <v>4538</v>
      </c>
      <c r="FFI1" t="s">
        <v>4539</v>
      </c>
      <c r="FFJ1" t="s">
        <v>4540</v>
      </c>
      <c r="FFK1" t="s">
        <v>4541</v>
      </c>
      <c r="FFL1" t="s">
        <v>4542</v>
      </c>
      <c r="FFM1" t="s">
        <v>4543</v>
      </c>
      <c r="FFN1" t="s">
        <v>4544</v>
      </c>
      <c r="FFO1" t="s">
        <v>4545</v>
      </c>
      <c r="FFP1" t="s">
        <v>4546</v>
      </c>
      <c r="FFQ1" t="s">
        <v>4547</v>
      </c>
      <c r="FFR1" t="s">
        <v>4548</v>
      </c>
      <c r="FFS1" t="s">
        <v>4549</v>
      </c>
      <c r="FFT1" t="s">
        <v>4550</v>
      </c>
      <c r="FFU1" t="s">
        <v>4551</v>
      </c>
      <c r="FFV1" t="s">
        <v>4552</v>
      </c>
      <c r="FFW1" t="s">
        <v>4553</v>
      </c>
      <c r="FFX1" t="s">
        <v>4554</v>
      </c>
      <c r="FFY1" t="s">
        <v>4555</v>
      </c>
      <c r="FFZ1" t="s">
        <v>4556</v>
      </c>
      <c r="FGA1" t="s">
        <v>4557</v>
      </c>
      <c r="FGB1" t="s">
        <v>4558</v>
      </c>
      <c r="FGC1" t="s">
        <v>4559</v>
      </c>
      <c r="FGD1" t="s">
        <v>4560</v>
      </c>
      <c r="FGE1" t="s">
        <v>4561</v>
      </c>
      <c r="FGF1" t="s">
        <v>4562</v>
      </c>
      <c r="FGG1" t="s">
        <v>4563</v>
      </c>
      <c r="FGH1" t="s">
        <v>4564</v>
      </c>
      <c r="FGI1" t="s">
        <v>4565</v>
      </c>
      <c r="FGJ1" t="s">
        <v>4566</v>
      </c>
      <c r="FGK1" t="s">
        <v>4567</v>
      </c>
      <c r="FGL1" t="s">
        <v>4568</v>
      </c>
      <c r="FGM1" t="s">
        <v>4569</v>
      </c>
      <c r="FGN1" t="s">
        <v>4570</v>
      </c>
      <c r="FGO1" t="s">
        <v>4571</v>
      </c>
      <c r="FGP1" t="s">
        <v>4572</v>
      </c>
      <c r="FGQ1" t="s">
        <v>4573</v>
      </c>
      <c r="FGR1" t="s">
        <v>4574</v>
      </c>
      <c r="FGS1" t="s">
        <v>4575</v>
      </c>
      <c r="FGT1" t="s">
        <v>4576</v>
      </c>
      <c r="FGU1" t="s">
        <v>4577</v>
      </c>
      <c r="FGV1" t="s">
        <v>4578</v>
      </c>
      <c r="FGW1" t="s">
        <v>4579</v>
      </c>
      <c r="FGX1" t="s">
        <v>4580</v>
      </c>
      <c r="FGY1" t="s">
        <v>4581</v>
      </c>
      <c r="FGZ1" t="s">
        <v>4582</v>
      </c>
      <c r="FHA1" t="s">
        <v>4583</v>
      </c>
      <c r="FHB1" t="s">
        <v>4584</v>
      </c>
      <c r="FHC1" t="s">
        <v>4585</v>
      </c>
      <c r="FHD1" t="s">
        <v>4586</v>
      </c>
      <c r="FHE1" t="s">
        <v>4587</v>
      </c>
      <c r="FHF1" t="s">
        <v>4588</v>
      </c>
      <c r="FHG1" t="s">
        <v>4589</v>
      </c>
      <c r="FHH1" t="s">
        <v>4590</v>
      </c>
      <c r="FHI1" t="s">
        <v>4591</v>
      </c>
      <c r="FHJ1" t="s">
        <v>4592</v>
      </c>
      <c r="FHK1" t="s">
        <v>4593</v>
      </c>
      <c r="FHL1" t="s">
        <v>4594</v>
      </c>
      <c r="FHM1" t="s">
        <v>4595</v>
      </c>
      <c r="FHN1" t="s">
        <v>4596</v>
      </c>
      <c r="FHO1" t="s">
        <v>4597</v>
      </c>
      <c r="FHP1" t="s">
        <v>4598</v>
      </c>
      <c r="FHQ1" t="s">
        <v>4599</v>
      </c>
      <c r="FHR1" t="s">
        <v>4600</v>
      </c>
      <c r="FHS1" t="s">
        <v>4601</v>
      </c>
      <c r="FHT1" t="s">
        <v>4602</v>
      </c>
      <c r="FHU1" t="s">
        <v>4603</v>
      </c>
      <c r="FHV1" t="s">
        <v>4604</v>
      </c>
      <c r="FHW1" t="s">
        <v>4605</v>
      </c>
      <c r="FHX1" t="s">
        <v>4606</v>
      </c>
      <c r="FHY1" t="s">
        <v>4607</v>
      </c>
      <c r="FHZ1" t="s">
        <v>4608</v>
      </c>
      <c r="FIA1" t="s">
        <v>4609</v>
      </c>
      <c r="FIB1" t="s">
        <v>4610</v>
      </c>
      <c r="FIC1" t="s">
        <v>4611</v>
      </c>
      <c r="FID1" t="s">
        <v>4612</v>
      </c>
      <c r="FIE1" t="s">
        <v>4613</v>
      </c>
      <c r="FIF1" t="s">
        <v>4614</v>
      </c>
      <c r="FIG1" t="s">
        <v>4615</v>
      </c>
      <c r="FIH1" t="s">
        <v>4616</v>
      </c>
      <c r="FII1" t="s">
        <v>4617</v>
      </c>
      <c r="FIJ1" t="s">
        <v>4618</v>
      </c>
      <c r="FIK1" t="s">
        <v>4619</v>
      </c>
      <c r="FIL1" t="s">
        <v>4620</v>
      </c>
      <c r="FIM1" t="s">
        <v>4621</v>
      </c>
      <c r="FIN1" t="s">
        <v>4622</v>
      </c>
      <c r="FIO1" t="s">
        <v>4623</v>
      </c>
      <c r="FIP1" t="s">
        <v>4624</v>
      </c>
      <c r="FIQ1" t="s">
        <v>4625</v>
      </c>
      <c r="FIR1" t="s">
        <v>4626</v>
      </c>
      <c r="FIS1" t="s">
        <v>4627</v>
      </c>
      <c r="FIT1" t="s">
        <v>4628</v>
      </c>
      <c r="FIU1" t="s">
        <v>4629</v>
      </c>
      <c r="FIV1" t="s">
        <v>4630</v>
      </c>
      <c r="FIW1" t="s">
        <v>4631</v>
      </c>
      <c r="FIX1" t="s">
        <v>4632</v>
      </c>
      <c r="FIY1" t="s">
        <v>4633</v>
      </c>
      <c r="FIZ1" t="s">
        <v>4634</v>
      </c>
      <c r="FJA1" t="s">
        <v>4635</v>
      </c>
      <c r="FJB1" t="s">
        <v>4636</v>
      </c>
      <c r="FJC1" t="s">
        <v>4637</v>
      </c>
      <c r="FJD1" t="s">
        <v>4638</v>
      </c>
      <c r="FJE1" t="s">
        <v>4639</v>
      </c>
      <c r="FJF1" t="s">
        <v>4640</v>
      </c>
      <c r="FJG1" t="s">
        <v>4641</v>
      </c>
      <c r="FJH1" t="s">
        <v>4642</v>
      </c>
      <c r="FJI1" t="s">
        <v>4643</v>
      </c>
      <c r="FJJ1" t="s">
        <v>4644</v>
      </c>
      <c r="FJK1" t="s">
        <v>4645</v>
      </c>
      <c r="FJL1" t="s">
        <v>4646</v>
      </c>
      <c r="FJM1" t="s">
        <v>4647</v>
      </c>
      <c r="FJN1" t="s">
        <v>4648</v>
      </c>
      <c r="FJO1" t="s">
        <v>4649</v>
      </c>
      <c r="FJP1" t="s">
        <v>4650</v>
      </c>
      <c r="FJQ1" t="s">
        <v>4651</v>
      </c>
      <c r="FJR1" t="s">
        <v>4652</v>
      </c>
      <c r="FJS1" t="s">
        <v>4653</v>
      </c>
      <c r="FJT1" t="s">
        <v>4654</v>
      </c>
      <c r="FJU1" t="s">
        <v>4655</v>
      </c>
      <c r="FJV1" t="s">
        <v>4656</v>
      </c>
      <c r="FJW1" t="s">
        <v>4657</v>
      </c>
      <c r="FJX1" t="s">
        <v>4658</v>
      </c>
      <c r="FJY1" t="s">
        <v>4659</v>
      </c>
      <c r="FJZ1" t="s">
        <v>4660</v>
      </c>
      <c r="FKA1" t="s">
        <v>4661</v>
      </c>
      <c r="FKB1" t="s">
        <v>4662</v>
      </c>
      <c r="FKC1" t="s">
        <v>4663</v>
      </c>
      <c r="FKD1" t="s">
        <v>4664</v>
      </c>
      <c r="FKE1" t="s">
        <v>4665</v>
      </c>
      <c r="FKF1" t="s">
        <v>4666</v>
      </c>
      <c r="FKG1" t="s">
        <v>4667</v>
      </c>
      <c r="FKH1" t="s">
        <v>4668</v>
      </c>
      <c r="FKI1" t="s">
        <v>4669</v>
      </c>
      <c r="FKJ1" t="s">
        <v>4670</v>
      </c>
      <c r="FKK1" t="s">
        <v>4671</v>
      </c>
      <c r="FKL1" t="s">
        <v>4672</v>
      </c>
      <c r="FKM1" t="s">
        <v>4673</v>
      </c>
      <c r="FKN1" t="s">
        <v>4674</v>
      </c>
      <c r="FKO1" t="s">
        <v>4675</v>
      </c>
      <c r="FKP1" t="s">
        <v>4676</v>
      </c>
      <c r="FKQ1" t="s">
        <v>4677</v>
      </c>
      <c r="FKR1" t="s">
        <v>4678</v>
      </c>
      <c r="FKS1" t="s">
        <v>4679</v>
      </c>
      <c r="FKT1" t="s">
        <v>4680</v>
      </c>
      <c r="FKU1" t="s">
        <v>4681</v>
      </c>
      <c r="FKV1" t="s">
        <v>4682</v>
      </c>
      <c r="FKW1" t="s">
        <v>4683</v>
      </c>
      <c r="FKX1" t="s">
        <v>4684</v>
      </c>
      <c r="FKY1" t="s">
        <v>4685</v>
      </c>
      <c r="FKZ1" t="s">
        <v>4686</v>
      </c>
      <c r="FLA1" t="s">
        <v>4687</v>
      </c>
      <c r="FLB1" t="s">
        <v>4688</v>
      </c>
      <c r="FLC1" t="s">
        <v>4689</v>
      </c>
      <c r="FLD1" t="s">
        <v>4690</v>
      </c>
      <c r="FLE1" t="s">
        <v>4691</v>
      </c>
      <c r="FLF1" t="s">
        <v>4692</v>
      </c>
      <c r="FLG1" t="s">
        <v>4693</v>
      </c>
      <c r="FLH1" t="s">
        <v>4694</v>
      </c>
      <c r="FLI1" t="s">
        <v>4695</v>
      </c>
      <c r="FLJ1" t="s">
        <v>4696</v>
      </c>
      <c r="FLK1" t="s">
        <v>4697</v>
      </c>
      <c r="FLL1" t="s">
        <v>4698</v>
      </c>
      <c r="FLM1" t="s">
        <v>4699</v>
      </c>
      <c r="FLN1" t="s">
        <v>4700</v>
      </c>
      <c r="FLO1" t="s">
        <v>4701</v>
      </c>
      <c r="FLP1" t="s">
        <v>4702</v>
      </c>
      <c r="FLQ1" t="s">
        <v>4703</v>
      </c>
      <c r="FLR1" t="s">
        <v>4704</v>
      </c>
      <c r="FLS1" t="s">
        <v>4705</v>
      </c>
      <c r="FLT1" t="s">
        <v>4706</v>
      </c>
      <c r="FLU1" t="s">
        <v>4707</v>
      </c>
      <c r="FLV1" t="s">
        <v>4708</v>
      </c>
      <c r="FLW1" t="s">
        <v>4709</v>
      </c>
      <c r="FLX1" t="s">
        <v>4710</v>
      </c>
      <c r="FLY1" t="s">
        <v>4711</v>
      </c>
      <c r="FLZ1" t="s">
        <v>4712</v>
      </c>
      <c r="FMA1" t="s">
        <v>4713</v>
      </c>
      <c r="FMB1" t="s">
        <v>4714</v>
      </c>
      <c r="FMC1" t="s">
        <v>4715</v>
      </c>
      <c r="FMD1" t="s">
        <v>4716</v>
      </c>
      <c r="FME1" t="s">
        <v>4717</v>
      </c>
      <c r="FMF1" t="s">
        <v>4718</v>
      </c>
      <c r="FMG1" t="s">
        <v>4719</v>
      </c>
      <c r="FMH1" t="s">
        <v>4720</v>
      </c>
      <c r="FMI1" t="s">
        <v>4721</v>
      </c>
      <c r="FMJ1" t="s">
        <v>4722</v>
      </c>
      <c r="FMK1" t="s">
        <v>4723</v>
      </c>
      <c r="FML1" t="s">
        <v>4724</v>
      </c>
      <c r="FMM1" t="s">
        <v>4725</v>
      </c>
      <c r="FMN1" t="s">
        <v>4726</v>
      </c>
      <c r="FMO1" t="s">
        <v>4727</v>
      </c>
      <c r="FMP1" t="s">
        <v>4728</v>
      </c>
      <c r="FMQ1" t="s">
        <v>4729</v>
      </c>
      <c r="FMR1" t="s">
        <v>4730</v>
      </c>
      <c r="FMS1" t="s">
        <v>4731</v>
      </c>
      <c r="FMT1" t="s">
        <v>4732</v>
      </c>
      <c r="FMU1" t="s">
        <v>4733</v>
      </c>
      <c r="FMV1" t="s">
        <v>4734</v>
      </c>
      <c r="FMW1" t="s">
        <v>4735</v>
      </c>
      <c r="FMX1" t="s">
        <v>4736</v>
      </c>
      <c r="FMY1" t="s">
        <v>4737</v>
      </c>
      <c r="FMZ1" t="s">
        <v>4738</v>
      </c>
      <c r="FNA1" t="s">
        <v>4739</v>
      </c>
      <c r="FNB1" t="s">
        <v>4740</v>
      </c>
      <c r="FNC1" t="s">
        <v>4741</v>
      </c>
      <c r="FND1" t="s">
        <v>4742</v>
      </c>
      <c r="FNE1" t="s">
        <v>4743</v>
      </c>
      <c r="FNF1" t="s">
        <v>4744</v>
      </c>
      <c r="FNG1" t="s">
        <v>4745</v>
      </c>
      <c r="FNH1" t="s">
        <v>4746</v>
      </c>
      <c r="FNI1" t="s">
        <v>4747</v>
      </c>
      <c r="FNJ1" t="s">
        <v>4748</v>
      </c>
      <c r="FNK1" t="s">
        <v>4749</v>
      </c>
      <c r="FNL1" t="s">
        <v>4750</v>
      </c>
      <c r="FNM1" t="s">
        <v>4751</v>
      </c>
      <c r="FNN1" t="s">
        <v>4752</v>
      </c>
      <c r="FNO1" t="s">
        <v>4753</v>
      </c>
      <c r="FNP1" t="s">
        <v>4754</v>
      </c>
      <c r="FNQ1" t="s">
        <v>4755</v>
      </c>
      <c r="FNR1" t="s">
        <v>4756</v>
      </c>
      <c r="FNS1" t="s">
        <v>4757</v>
      </c>
      <c r="FNT1" t="s">
        <v>4758</v>
      </c>
      <c r="FNU1" t="s">
        <v>4759</v>
      </c>
      <c r="FNV1" t="s">
        <v>4760</v>
      </c>
      <c r="FNW1" t="s">
        <v>4761</v>
      </c>
      <c r="FNX1" t="s">
        <v>4762</v>
      </c>
      <c r="FNY1" t="s">
        <v>4763</v>
      </c>
      <c r="FNZ1" t="s">
        <v>4764</v>
      </c>
      <c r="FOA1" t="s">
        <v>4765</v>
      </c>
      <c r="FOB1" t="s">
        <v>4766</v>
      </c>
      <c r="FOC1" t="s">
        <v>4767</v>
      </c>
      <c r="FOD1" t="s">
        <v>4768</v>
      </c>
      <c r="FOE1" t="s">
        <v>4769</v>
      </c>
      <c r="FOF1" t="s">
        <v>4770</v>
      </c>
      <c r="FOG1" t="s">
        <v>4771</v>
      </c>
      <c r="FOH1" t="s">
        <v>4772</v>
      </c>
      <c r="FOI1" t="s">
        <v>4773</v>
      </c>
      <c r="FOJ1" t="s">
        <v>4774</v>
      </c>
      <c r="FOK1" t="s">
        <v>4775</v>
      </c>
      <c r="FOL1" t="s">
        <v>4776</v>
      </c>
      <c r="FOM1" t="s">
        <v>4777</v>
      </c>
      <c r="FON1" t="s">
        <v>4778</v>
      </c>
      <c r="FOO1" t="s">
        <v>4779</v>
      </c>
      <c r="FOP1" t="s">
        <v>4780</v>
      </c>
      <c r="FOQ1" t="s">
        <v>4781</v>
      </c>
      <c r="FOR1" t="s">
        <v>4782</v>
      </c>
      <c r="FOS1" t="s">
        <v>4783</v>
      </c>
      <c r="FOT1" t="s">
        <v>4784</v>
      </c>
      <c r="FOU1" t="s">
        <v>4785</v>
      </c>
      <c r="FOV1" t="s">
        <v>4786</v>
      </c>
      <c r="FOW1" t="s">
        <v>4787</v>
      </c>
      <c r="FOX1" t="s">
        <v>4788</v>
      </c>
      <c r="FOY1" t="s">
        <v>4789</v>
      </c>
      <c r="FOZ1" t="s">
        <v>4790</v>
      </c>
      <c r="FPA1" t="s">
        <v>4791</v>
      </c>
      <c r="FPB1" t="s">
        <v>4792</v>
      </c>
      <c r="FPC1" t="s">
        <v>4793</v>
      </c>
      <c r="FPD1" t="s">
        <v>4794</v>
      </c>
      <c r="FPE1" t="s">
        <v>4795</v>
      </c>
      <c r="FPF1" t="s">
        <v>4796</v>
      </c>
      <c r="FPG1" t="s">
        <v>4797</v>
      </c>
      <c r="FPH1" t="s">
        <v>4798</v>
      </c>
      <c r="FPI1" t="s">
        <v>4799</v>
      </c>
      <c r="FPJ1" t="s">
        <v>4800</v>
      </c>
      <c r="FPK1" t="s">
        <v>4801</v>
      </c>
      <c r="FPL1" t="s">
        <v>4802</v>
      </c>
      <c r="FPM1" t="s">
        <v>4803</v>
      </c>
      <c r="FPN1" t="s">
        <v>4804</v>
      </c>
      <c r="FPO1" t="s">
        <v>4805</v>
      </c>
      <c r="FPP1" t="s">
        <v>4806</v>
      </c>
      <c r="FPQ1" t="s">
        <v>4807</v>
      </c>
      <c r="FPR1" t="s">
        <v>4808</v>
      </c>
      <c r="FPS1" t="s">
        <v>4809</v>
      </c>
      <c r="FPT1" t="s">
        <v>4810</v>
      </c>
      <c r="FPU1" t="s">
        <v>4811</v>
      </c>
      <c r="FPV1" t="s">
        <v>4812</v>
      </c>
      <c r="FPW1" t="s">
        <v>4813</v>
      </c>
      <c r="FPX1" t="s">
        <v>4814</v>
      </c>
      <c r="FPY1" t="s">
        <v>4815</v>
      </c>
      <c r="FPZ1" t="s">
        <v>4816</v>
      </c>
      <c r="FQA1" t="s">
        <v>4817</v>
      </c>
      <c r="FQB1" t="s">
        <v>4818</v>
      </c>
      <c r="FQC1" t="s">
        <v>4819</v>
      </c>
      <c r="FQD1" t="s">
        <v>4820</v>
      </c>
      <c r="FQE1" t="s">
        <v>4821</v>
      </c>
      <c r="FQF1" t="s">
        <v>4822</v>
      </c>
      <c r="FQG1" t="s">
        <v>4823</v>
      </c>
      <c r="FQH1" t="s">
        <v>4824</v>
      </c>
      <c r="FQI1" t="s">
        <v>4825</v>
      </c>
      <c r="FQJ1" t="s">
        <v>4826</v>
      </c>
      <c r="FQK1" t="s">
        <v>4827</v>
      </c>
      <c r="FQL1" t="s">
        <v>4828</v>
      </c>
      <c r="FQM1" t="s">
        <v>4829</v>
      </c>
      <c r="FQN1" t="s">
        <v>4830</v>
      </c>
      <c r="FQO1" t="s">
        <v>4831</v>
      </c>
      <c r="FQP1" t="s">
        <v>4832</v>
      </c>
      <c r="FQQ1" t="s">
        <v>4833</v>
      </c>
      <c r="FQR1" t="s">
        <v>4834</v>
      </c>
      <c r="FQS1" t="s">
        <v>4835</v>
      </c>
      <c r="FQT1" t="s">
        <v>4836</v>
      </c>
      <c r="FQU1" t="s">
        <v>4837</v>
      </c>
      <c r="FQV1" t="s">
        <v>4838</v>
      </c>
      <c r="FQW1" t="s">
        <v>4839</v>
      </c>
      <c r="FQX1" t="s">
        <v>4840</v>
      </c>
      <c r="FQY1" t="s">
        <v>4841</v>
      </c>
      <c r="FQZ1" t="s">
        <v>4842</v>
      </c>
      <c r="FRA1" t="s">
        <v>4843</v>
      </c>
      <c r="FRB1" t="s">
        <v>4844</v>
      </c>
      <c r="FRC1" t="s">
        <v>4845</v>
      </c>
      <c r="FRD1" t="s">
        <v>4846</v>
      </c>
      <c r="FRE1" t="s">
        <v>4847</v>
      </c>
      <c r="FRF1" t="s">
        <v>4848</v>
      </c>
      <c r="FRG1" t="s">
        <v>4849</v>
      </c>
      <c r="FRH1" t="s">
        <v>4850</v>
      </c>
      <c r="FRI1" t="s">
        <v>4851</v>
      </c>
      <c r="FRJ1" t="s">
        <v>4852</v>
      </c>
      <c r="FRK1" t="s">
        <v>4853</v>
      </c>
      <c r="FRL1" t="s">
        <v>4854</v>
      </c>
      <c r="FRM1" t="s">
        <v>4855</v>
      </c>
      <c r="FRN1" t="s">
        <v>4856</v>
      </c>
      <c r="FRO1" t="s">
        <v>4857</v>
      </c>
      <c r="FRP1" t="s">
        <v>4858</v>
      </c>
      <c r="FRQ1" t="s">
        <v>4859</v>
      </c>
      <c r="FRR1" t="s">
        <v>4860</v>
      </c>
      <c r="FRS1" t="s">
        <v>4861</v>
      </c>
      <c r="FRT1" t="s">
        <v>4862</v>
      </c>
      <c r="FRU1" t="s">
        <v>4863</v>
      </c>
      <c r="FRV1" t="s">
        <v>4864</v>
      </c>
      <c r="FRW1" t="s">
        <v>4865</v>
      </c>
      <c r="FRX1" t="s">
        <v>4866</v>
      </c>
      <c r="FRY1" t="s">
        <v>4867</v>
      </c>
      <c r="FRZ1" t="s">
        <v>4868</v>
      </c>
      <c r="FSA1" t="s">
        <v>4869</v>
      </c>
      <c r="FSB1" t="s">
        <v>4870</v>
      </c>
      <c r="FSC1" t="s">
        <v>4871</v>
      </c>
      <c r="FSD1" t="s">
        <v>4872</v>
      </c>
      <c r="FSE1" t="s">
        <v>4873</v>
      </c>
      <c r="FSF1" t="s">
        <v>4874</v>
      </c>
      <c r="FSG1" t="s">
        <v>4875</v>
      </c>
      <c r="FSH1" t="s">
        <v>4876</v>
      </c>
      <c r="FSI1" t="s">
        <v>4877</v>
      </c>
      <c r="FSJ1" t="s">
        <v>4878</v>
      </c>
      <c r="FSK1" t="s">
        <v>4879</v>
      </c>
      <c r="FSL1" t="s">
        <v>4880</v>
      </c>
      <c r="FSM1" t="s">
        <v>4881</v>
      </c>
      <c r="FSN1" t="s">
        <v>4882</v>
      </c>
      <c r="FSO1" t="s">
        <v>4883</v>
      </c>
      <c r="FSP1" t="s">
        <v>4884</v>
      </c>
      <c r="FSQ1" t="s">
        <v>4885</v>
      </c>
      <c r="FSR1" t="s">
        <v>4886</v>
      </c>
      <c r="FSS1" t="s">
        <v>4887</v>
      </c>
      <c r="FST1" t="s">
        <v>4888</v>
      </c>
      <c r="FSU1" t="s">
        <v>4889</v>
      </c>
      <c r="FSV1" t="s">
        <v>4890</v>
      </c>
      <c r="FSW1" t="s">
        <v>4891</v>
      </c>
      <c r="FSX1" t="s">
        <v>4892</v>
      </c>
      <c r="FSY1" t="s">
        <v>4893</v>
      </c>
      <c r="FSZ1" t="s">
        <v>4894</v>
      </c>
      <c r="FTA1" t="s">
        <v>4895</v>
      </c>
      <c r="FTB1" t="s">
        <v>4896</v>
      </c>
      <c r="FTC1" t="s">
        <v>4897</v>
      </c>
      <c r="FTD1" t="s">
        <v>4898</v>
      </c>
      <c r="FTE1" t="s">
        <v>4899</v>
      </c>
      <c r="FTF1" t="s">
        <v>4900</v>
      </c>
      <c r="FTG1" t="s">
        <v>4901</v>
      </c>
      <c r="FTH1" t="s">
        <v>4902</v>
      </c>
      <c r="FTI1" t="s">
        <v>4903</v>
      </c>
      <c r="FTJ1" t="s">
        <v>4904</v>
      </c>
      <c r="FTK1" t="s">
        <v>4905</v>
      </c>
      <c r="FTL1" t="s">
        <v>4906</v>
      </c>
      <c r="FTM1" t="s">
        <v>4907</v>
      </c>
      <c r="FTN1" t="s">
        <v>4908</v>
      </c>
      <c r="FTO1" t="s">
        <v>4909</v>
      </c>
      <c r="FTP1" t="s">
        <v>4910</v>
      </c>
      <c r="FTQ1" t="s">
        <v>4911</v>
      </c>
      <c r="FTR1" t="s">
        <v>4912</v>
      </c>
      <c r="FTS1" t="s">
        <v>4913</v>
      </c>
      <c r="FTT1" t="s">
        <v>4914</v>
      </c>
      <c r="FTU1" t="s">
        <v>4915</v>
      </c>
      <c r="FTV1" t="s">
        <v>4916</v>
      </c>
      <c r="FTW1" t="s">
        <v>4917</v>
      </c>
      <c r="FTX1" t="s">
        <v>4918</v>
      </c>
      <c r="FTY1" t="s">
        <v>4919</v>
      </c>
      <c r="FTZ1" t="s">
        <v>4920</v>
      </c>
      <c r="FUA1" t="s">
        <v>4921</v>
      </c>
      <c r="FUB1" t="s">
        <v>4922</v>
      </c>
      <c r="FUC1" t="s">
        <v>4923</v>
      </c>
      <c r="FUD1" t="s">
        <v>4924</v>
      </c>
      <c r="FUE1" t="s">
        <v>4925</v>
      </c>
      <c r="FUF1" t="s">
        <v>4926</v>
      </c>
      <c r="FUG1" t="s">
        <v>4927</v>
      </c>
      <c r="FUH1" t="s">
        <v>4928</v>
      </c>
      <c r="FUI1" t="s">
        <v>4929</v>
      </c>
      <c r="FUJ1" t="s">
        <v>4930</v>
      </c>
      <c r="FUK1" t="s">
        <v>4931</v>
      </c>
      <c r="FUL1" t="s">
        <v>4932</v>
      </c>
      <c r="FUM1" t="s">
        <v>4933</v>
      </c>
      <c r="FUN1" t="s">
        <v>4934</v>
      </c>
      <c r="FUO1" t="s">
        <v>4935</v>
      </c>
      <c r="FUP1" t="s">
        <v>4936</v>
      </c>
      <c r="FUQ1" t="s">
        <v>4937</v>
      </c>
      <c r="FUR1" t="s">
        <v>4938</v>
      </c>
      <c r="FUS1" t="s">
        <v>4939</v>
      </c>
      <c r="FUT1" t="s">
        <v>4940</v>
      </c>
      <c r="FUU1" t="s">
        <v>4941</v>
      </c>
      <c r="FUV1" t="s">
        <v>4942</v>
      </c>
      <c r="FUW1" t="s">
        <v>4943</v>
      </c>
      <c r="FUX1" t="s">
        <v>4944</v>
      </c>
      <c r="FUY1" t="s">
        <v>4945</v>
      </c>
      <c r="FUZ1" t="s">
        <v>4946</v>
      </c>
      <c r="FVA1" t="s">
        <v>4947</v>
      </c>
      <c r="FVB1" t="s">
        <v>4948</v>
      </c>
      <c r="FVC1" t="s">
        <v>4949</v>
      </c>
      <c r="FVD1" t="s">
        <v>4950</v>
      </c>
      <c r="FVE1" t="s">
        <v>4951</v>
      </c>
      <c r="FVF1" t="s">
        <v>4952</v>
      </c>
      <c r="FVG1" t="s">
        <v>4953</v>
      </c>
      <c r="FVH1" t="s">
        <v>4954</v>
      </c>
      <c r="FVI1" t="s">
        <v>4955</v>
      </c>
      <c r="FVJ1" t="s">
        <v>4956</v>
      </c>
      <c r="FVK1" t="s">
        <v>4957</v>
      </c>
      <c r="FVL1" t="s">
        <v>4958</v>
      </c>
      <c r="FVM1" t="s">
        <v>4959</v>
      </c>
      <c r="FVN1" t="s">
        <v>4960</v>
      </c>
      <c r="FVO1" t="s">
        <v>4961</v>
      </c>
      <c r="FVP1" t="s">
        <v>4962</v>
      </c>
      <c r="FVQ1" t="s">
        <v>4963</v>
      </c>
      <c r="FVR1" t="s">
        <v>4964</v>
      </c>
      <c r="FVS1" t="s">
        <v>4965</v>
      </c>
      <c r="FVT1" t="s">
        <v>4966</v>
      </c>
      <c r="FVU1" t="s">
        <v>4967</v>
      </c>
      <c r="FVV1" t="s">
        <v>4968</v>
      </c>
      <c r="FVW1" t="s">
        <v>4969</v>
      </c>
      <c r="FVX1" t="s">
        <v>4970</v>
      </c>
      <c r="FVY1" t="s">
        <v>4971</v>
      </c>
      <c r="FVZ1" t="s">
        <v>4972</v>
      </c>
      <c r="FWA1" t="s">
        <v>4973</v>
      </c>
      <c r="FWB1" t="s">
        <v>4974</v>
      </c>
      <c r="FWC1" t="s">
        <v>4975</v>
      </c>
      <c r="FWD1" t="s">
        <v>4976</v>
      </c>
      <c r="FWE1" t="s">
        <v>4977</v>
      </c>
      <c r="FWF1" t="s">
        <v>4978</v>
      </c>
      <c r="FWG1" t="s">
        <v>4979</v>
      </c>
      <c r="FWH1" t="s">
        <v>4980</v>
      </c>
      <c r="FWI1" t="s">
        <v>4981</v>
      </c>
      <c r="FWJ1" t="s">
        <v>4982</v>
      </c>
      <c r="FWK1" t="s">
        <v>4983</v>
      </c>
      <c r="FWL1" t="s">
        <v>4984</v>
      </c>
      <c r="FWM1" t="s">
        <v>4985</v>
      </c>
      <c r="FWN1" t="s">
        <v>4986</v>
      </c>
      <c r="FWO1" t="s">
        <v>4987</v>
      </c>
      <c r="FWP1" t="s">
        <v>4988</v>
      </c>
      <c r="FWQ1" t="s">
        <v>4989</v>
      </c>
      <c r="FWR1" t="s">
        <v>4990</v>
      </c>
      <c r="FWS1" t="s">
        <v>4991</v>
      </c>
      <c r="FWT1" t="s">
        <v>4992</v>
      </c>
      <c r="FWU1" t="s">
        <v>4993</v>
      </c>
      <c r="FWV1" t="s">
        <v>4994</v>
      </c>
      <c r="FWW1" t="s">
        <v>4995</v>
      </c>
      <c r="FWX1" t="s">
        <v>4996</v>
      </c>
      <c r="FWY1" t="s">
        <v>4997</v>
      </c>
      <c r="FWZ1" t="s">
        <v>4998</v>
      </c>
      <c r="FXA1" t="s">
        <v>4999</v>
      </c>
      <c r="FXB1" t="s">
        <v>5000</v>
      </c>
      <c r="FXC1" t="s">
        <v>5001</v>
      </c>
      <c r="FXD1" t="s">
        <v>5002</v>
      </c>
      <c r="FXE1" t="s">
        <v>5003</v>
      </c>
      <c r="FXF1" t="s">
        <v>5004</v>
      </c>
      <c r="FXG1" t="s">
        <v>5005</v>
      </c>
      <c r="FXH1" t="s">
        <v>5006</v>
      </c>
      <c r="FXI1" t="s">
        <v>5007</v>
      </c>
      <c r="FXJ1" t="s">
        <v>5008</v>
      </c>
      <c r="FXK1" t="s">
        <v>5009</v>
      </c>
      <c r="FXL1" t="s">
        <v>5010</v>
      </c>
      <c r="FXM1" t="s">
        <v>5011</v>
      </c>
      <c r="FXN1" t="s">
        <v>5012</v>
      </c>
      <c r="FXO1" t="s">
        <v>5013</v>
      </c>
      <c r="FXP1" t="s">
        <v>5014</v>
      </c>
      <c r="FXQ1" t="s">
        <v>5015</v>
      </c>
      <c r="FXR1" t="s">
        <v>5016</v>
      </c>
      <c r="FXS1" t="s">
        <v>5017</v>
      </c>
      <c r="FXT1" t="s">
        <v>5018</v>
      </c>
      <c r="FXU1" t="s">
        <v>5019</v>
      </c>
      <c r="FXV1" t="s">
        <v>5020</v>
      </c>
      <c r="FXW1" t="s">
        <v>5021</v>
      </c>
      <c r="FXX1" t="s">
        <v>5022</v>
      </c>
      <c r="FXY1" t="s">
        <v>5023</v>
      </c>
      <c r="FXZ1" t="s">
        <v>5024</v>
      </c>
      <c r="FYA1" t="s">
        <v>5025</v>
      </c>
      <c r="FYB1" t="s">
        <v>5026</v>
      </c>
      <c r="FYC1" t="s">
        <v>5027</v>
      </c>
      <c r="FYD1" t="s">
        <v>5028</v>
      </c>
      <c r="FYE1" t="s">
        <v>5029</v>
      </c>
      <c r="FYF1" t="s">
        <v>5030</v>
      </c>
      <c r="FYG1" t="s">
        <v>5031</v>
      </c>
      <c r="FYH1" t="s">
        <v>5032</v>
      </c>
      <c r="FYI1" t="s">
        <v>5033</v>
      </c>
      <c r="FYJ1" t="s">
        <v>5034</v>
      </c>
      <c r="FYK1" t="s">
        <v>5035</v>
      </c>
      <c r="FYL1" t="s">
        <v>5036</v>
      </c>
      <c r="FYM1" t="s">
        <v>5037</v>
      </c>
      <c r="FYN1" t="s">
        <v>5038</v>
      </c>
      <c r="FYO1" t="s">
        <v>5039</v>
      </c>
      <c r="FYP1" t="s">
        <v>5040</v>
      </c>
      <c r="FYQ1" t="s">
        <v>5041</v>
      </c>
      <c r="FYR1" t="s">
        <v>5042</v>
      </c>
      <c r="FYS1" t="s">
        <v>5043</v>
      </c>
      <c r="FYT1" t="s">
        <v>5044</v>
      </c>
      <c r="FYU1" t="s">
        <v>5045</v>
      </c>
      <c r="FYV1" t="s">
        <v>5046</v>
      </c>
      <c r="FYW1" t="s">
        <v>5047</v>
      </c>
      <c r="FYX1" t="s">
        <v>5048</v>
      </c>
      <c r="FYY1" t="s">
        <v>5049</v>
      </c>
      <c r="FYZ1" t="s">
        <v>5050</v>
      </c>
      <c r="FZA1" t="s">
        <v>5051</v>
      </c>
      <c r="FZB1" t="s">
        <v>5052</v>
      </c>
      <c r="FZC1" t="s">
        <v>5053</v>
      </c>
      <c r="FZD1" t="s">
        <v>5054</v>
      </c>
      <c r="FZE1" t="s">
        <v>5055</v>
      </c>
      <c r="FZF1" t="s">
        <v>5056</v>
      </c>
      <c r="FZG1" t="s">
        <v>5057</v>
      </c>
      <c r="FZH1" t="s">
        <v>5058</v>
      </c>
      <c r="FZI1" t="s">
        <v>5059</v>
      </c>
      <c r="FZJ1" t="s">
        <v>5060</v>
      </c>
      <c r="FZK1" t="s">
        <v>5061</v>
      </c>
      <c r="FZL1" t="s">
        <v>5062</v>
      </c>
      <c r="FZM1" t="s">
        <v>5063</v>
      </c>
      <c r="FZN1" t="s">
        <v>5064</v>
      </c>
      <c r="FZO1" t="s">
        <v>5065</v>
      </c>
      <c r="FZP1" t="s">
        <v>5066</v>
      </c>
      <c r="FZQ1" t="s">
        <v>5067</v>
      </c>
      <c r="FZR1" t="s">
        <v>5068</v>
      </c>
      <c r="FZS1" t="s">
        <v>5069</v>
      </c>
      <c r="FZT1" t="s">
        <v>5070</v>
      </c>
      <c r="FZU1" t="s">
        <v>5071</v>
      </c>
      <c r="FZV1" t="s">
        <v>5072</v>
      </c>
      <c r="FZW1" t="s">
        <v>5073</v>
      </c>
      <c r="FZX1" t="s">
        <v>5074</v>
      </c>
      <c r="FZY1" t="s">
        <v>5075</v>
      </c>
      <c r="FZZ1" t="s">
        <v>5076</v>
      </c>
      <c r="GAA1" t="s">
        <v>5077</v>
      </c>
      <c r="GAB1" t="s">
        <v>5078</v>
      </c>
      <c r="GAC1" t="s">
        <v>5079</v>
      </c>
      <c r="GAD1" t="s">
        <v>5080</v>
      </c>
      <c r="GAE1" t="s">
        <v>5081</v>
      </c>
      <c r="GAF1" t="s">
        <v>5082</v>
      </c>
      <c r="GAG1" t="s">
        <v>5083</v>
      </c>
      <c r="GAH1" t="s">
        <v>5084</v>
      </c>
      <c r="GAI1" t="s">
        <v>5085</v>
      </c>
      <c r="GAJ1" t="s">
        <v>5086</v>
      </c>
      <c r="GAK1" t="s">
        <v>5087</v>
      </c>
      <c r="GAL1" t="s">
        <v>5088</v>
      </c>
      <c r="GAM1" t="s">
        <v>5089</v>
      </c>
      <c r="GAN1" t="s">
        <v>5090</v>
      </c>
      <c r="GAO1" t="s">
        <v>5091</v>
      </c>
      <c r="GAP1" t="s">
        <v>5092</v>
      </c>
      <c r="GAQ1" t="s">
        <v>5093</v>
      </c>
      <c r="GAR1" t="s">
        <v>5094</v>
      </c>
      <c r="GAS1" t="s">
        <v>5095</v>
      </c>
      <c r="GAT1" t="s">
        <v>5096</v>
      </c>
      <c r="GAU1" t="s">
        <v>5097</v>
      </c>
      <c r="GAV1" t="s">
        <v>5098</v>
      </c>
      <c r="GAW1" t="s">
        <v>5099</v>
      </c>
      <c r="GAX1" t="s">
        <v>5100</v>
      </c>
      <c r="GAY1" t="s">
        <v>5101</v>
      </c>
      <c r="GAZ1" t="s">
        <v>5102</v>
      </c>
      <c r="GBA1" t="s">
        <v>5103</v>
      </c>
      <c r="GBB1" t="s">
        <v>5104</v>
      </c>
      <c r="GBC1" t="s">
        <v>5105</v>
      </c>
      <c r="GBD1" t="s">
        <v>5106</v>
      </c>
      <c r="GBE1" t="s">
        <v>5107</v>
      </c>
      <c r="GBF1" t="s">
        <v>5108</v>
      </c>
      <c r="GBG1" t="s">
        <v>5109</v>
      </c>
      <c r="GBH1" t="s">
        <v>5110</v>
      </c>
      <c r="GBI1" t="s">
        <v>5111</v>
      </c>
      <c r="GBJ1" t="s">
        <v>5112</v>
      </c>
      <c r="GBK1" t="s">
        <v>5113</v>
      </c>
      <c r="GBL1" t="s">
        <v>5114</v>
      </c>
      <c r="GBM1" t="s">
        <v>5115</v>
      </c>
      <c r="GBN1" t="s">
        <v>5116</v>
      </c>
      <c r="GBO1" t="s">
        <v>5117</v>
      </c>
      <c r="GBP1" t="s">
        <v>5118</v>
      </c>
      <c r="GBQ1" t="s">
        <v>5119</v>
      </c>
      <c r="GBR1" t="s">
        <v>5120</v>
      </c>
      <c r="GBS1" t="s">
        <v>5121</v>
      </c>
      <c r="GBT1" t="s">
        <v>5122</v>
      </c>
      <c r="GBU1" t="s">
        <v>5123</v>
      </c>
      <c r="GBV1" t="s">
        <v>5124</v>
      </c>
      <c r="GBW1" t="s">
        <v>5125</v>
      </c>
      <c r="GBX1" t="s">
        <v>5126</v>
      </c>
      <c r="GBY1" t="s">
        <v>5127</v>
      </c>
      <c r="GBZ1" t="s">
        <v>5128</v>
      </c>
      <c r="GCA1" t="s">
        <v>5129</v>
      </c>
      <c r="GCB1" t="s">
        <v>5130</v>
      </c>
      <c r="GCC1" t="s">
        <v>5131</v>
      </c>
      <c r="GCD1" t="s">
        <v>5132</v>
      </c>
      <c r="GCE1" t="s">
        <v>5133</v>
      </c>
      <c r="GCF1" t="s">
        <v>5134</v>
      </c>
      <c r="GCG1" t="s">
        <v>5135</v>
      </c>
      <c r="GCH1" t="s">
        <v>5136</v>
      </c>
      <c r="GCI1" t="s">
        <v>5137</v>
      </c>
      <c r="GCJ1" t="s">
        <v>5138</v>
      </c>
      <c r="GCK1" t="s">
        <v>5139</v>
      </c>
      <c r="GCL1" t="s">
        <v>5140</v>
      </c>
      <c r="GCM1" t="s">
        <v>5141</v>
      </c>
      <c r="GCN1" t="s">
        <v>5142</v>
      </c>
      <c r="GCO1" t="s">
        <v>5143</v>
      </c>
      <c r="GCP1" t="s">
        <v>5144</v>
      </c>
      <c r="GCQ1" t="s">
        <v>5145</v>
      </c>
      <c r="GCR1" t="s">
        <v>5146</v>
      </c>
      <c r="GCS1" t="s">
        <v>5147</v>
      </c>
      <c r="GCT1" t="s">
        <v>5148</v>
      </c>
      <c r="GCU1" t="s">
        <v>5149</v>
      </c>
      <c r="GCV1" t="s">
        <v>5150</v>
      </c>
      <c r="GCW1" t="s">
        <v>5151</v>
      </c>
      <c r="GCX1" t="s">
        <v>5152</v>
      </c>
      <c r="GCY1" t="s">
        <v>5153</v>
      </c>
      <c r="GCZ1" t="s">
        <v>5154</v>
      </c>
      <c r="GDA1" t="s">
        <v>5155</v>
      </c>
      <c r="GDB1" t="s">
        <v>5156</v>
      </c>
      <c r="GDC1" t="s">
        <v>5157</v>
      </c>
      <c r="GDD1" t="s">
        <v>5158</v>
      </c>
      <c r="GDE1" t="s">
        <v>5159</v>
      </c>
      <c r="GDF1" t="s">
        <v>5160</v>
      </c>
      <c r="GDG1" t="s">
        <v>5161</v>
      </c>
      <c r="GDH1" t="s">
        <v>5162</v>
      </c>
      <c r="GDI1" t="s">
        <v>5163</v>
      </c>
      <c r="GDJ1" t="s">
        <v>5164</v>
      </c>
      <c r="GDK1" t="s">
        <v>5165</v>
      </c>
      <c r="GDL1" t="s">
        <v>5166</v>
      </c>
      <c r="GDM1" t="s">
        <v>5167</v>
      </c>
      <c r="GDN1" t="s">
        <v>5168</v>
      </c>
      <c r="GDO1" t="s">
        <v>5169</v>
      </c>
      <c r="GDP1" t="s">
        <v>5170</v>
      </c>
      <c r="GDQ1" t="s">
        <v>5171</v>
      </c>
      <c r="GDR1" t="s">
        <v>5172</v>
      </c>
      <c r="GDS1" t="s">
        <v>5173</v>
      </c>
      <c r="GDT1" t="s">
        <v>5174</v>
      </c>
      <c r="GDU1" t="s">
        <v>5175</v>
      </c>
      <c r="GDV1" t="s">
        <v>5176</v>
      </c>
      <c r="GDW1" t="s">
        <v>5177</v>
      </c>
      <c r="GDX1" t="s">
        <v>5178</v>
      </c>
      <c r="GDY1" t="s">
        <v>5179</v>
      </c>
      <c r="GDZ1" t="s">
        <v>5180</v>
      </c>
      <c r="GEA1" t="s">
        <v>5181</v>
      </c>
      <c r="GEB1" t="s">
        <v>5182</v>
      </c>
      <c r="GEC1" t="s">
        <v>5183</v>
      </c>
      <c r="GED1" t="s">
        <v>5184</v>
      </c>
      <c r="GEE1" t="s">
        <v>5185</v>
      </c>
      <c r="GEF1" t="s">
        <v>5186</v>
      </c>
      <c r="GEG1" t="s">
        <v>5187</v>
      </c>
      <c r="GEH1" t="s">
        <v>5188</v>
      </c>
      <c r="GEI1" t="s">
        <v>5189</v>
      </c>
      <c r="GEJ1" t="s">
        <v>5190</v>
      </c>
      <c r="GEK1" t="s">
        <v>5191</v>
      </c>
      <c r="GEL1" t="s">
        <v>5192</v>
      </c>
      <c r="GEM1" t="s">
        <v>5193</v>
      </c>
      <c r="GEN1" t="s">
        <v>5194</v>
      </c>
      <c r="GEO1" t="s">
        <v>5195</v>
      </c>
      <c r="GEP1" t="s">
        <v>5196</v>
      </c>
      <c r="GEQ1" t="s">
        <v>5197</v>
      </c>
      <c r="GER1" t="s">
        <v>5198</v>
      </c>
      <c r="GES1" t="s">
        <v>5199</v>
      </c>
      <c r="GET1" t="s">
        <v>5200</v>
      </c>
      <c r="GEU1" t="s">
        <v>5201</v>
      </c>
      <c r="GEV1" t="s">
        <v>5202</v>
      </c>
      <c r="GEW1" t="s">
        <v>5203</v>
      </c>
      <c r="GEX1" t="s">
        <v>5204</v>
      </c>
      <c r="GEY1" t="s">
        <v>5205</v>
      </c>
      <c r="GEZ1" t="s">
        <v>5206</v>
      </c>
      <c r="GFA1" t="s">
        <v>5207</v>
      </c>
      <c r="GFB1" t="s">
        <v>5208</v>
      </c>
      <c r="GFC1" t="s">
        <v>5209</v>
      </c>
      <c r="GFD1" t="s">
        <v>5210</v>
      </c>
      <c r="GFE1" t="s">
        <v>5211</v>
      </c>
      <c r="GFF1" t="s">
        <v>5212</v>
      </c>
      <c r="GFG1" t="s">
        <v>5213</v>
      </c>
      <c r="GFH1" t="s">
        <v>5214</v>
      </c>
      <c r="GFI1" t="s">
        <v>5215</v>
      </c>
      <c r="GFJ1" t="s">
        <v>5216</v>
      </c>
      <c r="GFK1" t="s">
        <v>5217</v>
      </c>
      <c r="GFL1" t="s">
        <v>5218</v>
      </c>
      <c r="GFM1" t="s">
        <v>5219</v>
      </c>
      <c r="GFN1" t="s">
        <v>5220</v>
      </c>
      <c r="GFO1" t="s">
        <v>5221</v>
      </c>
      <c r="GFP1" t="s">
        <v>5222</v>
      </c>
      <c r="GFQ1" t="s">
        <v>5223</v>
      </c>
      <c r="GFR1" t="s">
        <v>5224</v>
      </c>
      <c r="GFS1" t="s">
        <v>5225</v>
      </c>
      <c r="GFT1" t="s">
        <v>5226</v>
      </c>
      <c r="GFU1" t="s">
        <v>5227</v>
      </c>
      <c r="GFV1" t="s">
        <v>5228</v>
      </c>
      <c r="GFW1" t="s">
        <v>5229</v>
      </c>
      <c r="GFX1" t="s">
        <v>5230</v>
      </c>
      <c r="GFY1" t="s">
        <v>5231</v>
      </c>
      <c r="GFZ1" t="s">
        <v>5232</v>
      </c>
      <c r="GGA1" t="s">
        <v>5233</v>
      </c>
      <c r="GGB1" t="s">
        <v>5234</v>
      </c>
      <c r="GGC1" t="s">
        <v>5235</v>
      </c>
      <c r="GGD1" t="s">
        <v>5236</v>
      </c>
      <c r="GGE1" t="s">
        <v>5237</v>
      </c>
      <c r="GGF1" t="s">
        <v>5238</v>
      </c>
      <c r="GGG1" t="s">
        <v>5239</v>
      </c>
      <c r="GGH1" t="s">
        <v>5240</v>
      </c>
      <c r="GGI1" t="s">
        <v>5241</v>
      </c>
      <c r="GGJ1" t="s">
        <v>5242</v>
      </c>
      <c r="GGK1" t="s">
        <v>5243</v>
      </c>
      <c r="GGL1" t="s">
        <v>5244</v>
      </c>
      <c r="GGM1" t="s">
        <v>5245</v>
      </c>
      <c r="GGN1" t="s">
        <v>5246</v>
      </c>
      <c r="GGO1" t="s">
        <v>5247</v>
      </c>
      <c r="GGP1" t="s">
        <v>5248</v>
      </c>
      <c r="GGQ1" t="s">
        <v>5249</v>
      </c>
      <c r="GGR1" t="s">
        <v>5250</v>
      </c>
      <c r="GGS1" t="s">
        <v>5251</v>
      </c>
      <c r="GGT1" t="s">
        <v>5252</v>
      </c>
      <c r="GGU1" t="s">
        <v>5253</v>
      </c>
      <c r="GGV1" t="s">
        <v>5254</v>
      </c>
      <c r="GGW1" t="s">
        <v>5255</v>
      </c>
      <c r="GGX1" t="s">
        <v>5256</v>
      </c>
      <c r="GGY1" t="s">
        <v>5257</v>
      </c>
      <c r="GGZ1" t="s">
        <v>5258</v>
      </c>
      <c r="GHA1" t="s">
        <v>5259</v>
      </c>
      <c r="GHB1" t="s">
        <v>5260</v>
      </c>
      <c r="GHC1" t="s">
        <v>5261</v>
      </c>
      <c r="GHD1" t="s">
        <v>5262</v>
      </c>
      <c r="GHE1" t="s">
        <v>5263</v>
      </c>
      <c r="GHF1" t="s">
        <v>5264</v>
      </c>
      <c r="GHG1" t="s">
        <v>5265</v>
      </c>
      <c r="GHH1" t="s">
        <v>5266</v>
      </c>
      <c r="GHI1" t="s">
        <v>5267</v>
      </c>
      <c r="GHJ1" t="s">
        <v>5268</v>
      </c>
      <c r="GHK1" t="s">
        <v>5269</v>
      </c>
      <c r="GHL1" t="s">
        <v>5270</v>
      </c>
      <c r="GHM1" t="s">
        <v>5271</v>
      </c>
      <c r="GHN1" t="s">
        <v>5272</v>
      </c>
      <c r="GHO1" t="s">
        <v>5273</v>
      </c>
      <c r="GHP1" t="s">
        <v>5274</v>
      </c>
      <c r="GHQ1" t="s">
        <v>5275</v>
      </c>
      <c r="GHR1" t="s">
        <v>5276</v>
      </c>
      <c r="GHS1" t="s">
        <v>5277</v>
      </c>
      <c r="GHT1" t="s">
        <v>5278</v>
      </c>
      <c r="GHU1" t="s">
        <v>5279</v>
      </c>
      <c r="GHV1" t="s">
        <v>5280</v>
      </c>
      <c r="GHW1" t="s">
        <v>5281</v>
      </c>
      <c r="GHX1" t="s">
        <v>5282</v>
      </c>
      <c r="GHY1" t="s">
        <v>5283</v>
      </c>
      <c r="GHZ1" t="s">
        <v>5284</v>
      </c>
      <c r="GIA1" t="s">
        <v>5285</v>
      </c>
      <c r="GIB1" t="s">
        <v>5286</v>
      </c>
      <c r="GIC1" t="s">
        <v>5287</v>
      </c>
      <c r="GID1" t="s">
        <v>5288</v>
      </c>
      <c r="GIE1" t="s">
        <v>5289</v>
      </c>
      <c r="GIF1" t="s">
        <v>5290</v>
      </c>
      <c r="GIG1" t="s">
        <v>5291</v>
      </c>
      <c r="GIH1" t="s">
        <v>5292</v>
      </c>
      <c r="GII1" t="s">
        <v>5293</v>
      </c>
      <c r="GIJ1" t="s">
        <v>5294</v>
      </c>
      <c r="GIK1" t="s">
        <v>5295</v>
      </c>
      <c r="GIL1" t="s">
        <v>5296</v>
      </c>
      <c r="GIM1" t="s">
        <v>5297</v>
      </c>
      <c r="GIN1" t="s">
        <v>5298</v>
      </c>
      <c r="GIO1" t="s">
        <v>5299</v>
      </c>
      <c r="GIP1" t="s">
        <v>5300</v>
      </c>
      <c r="GIQ1" t="s">
        <v>5301</v>
      </c>
      <c r="GIR1" t="s">
        <v>5302</v>
      </c>
      <c r="GIS1" t="s">
        <v>5303</v>
      </c>
      <c r="GIT1" t="s">
        <v>5304</v>
      </c>
      <c r="GIU1" t="s">
        <v>5305</v>
      </c>
      <c r="GIV1" t="s">
        <v>5306</v>
      </c>
      <c r="GIW1" t="s">
        <v>5307</v>
      </c>
      <c r="GIX1" t="s">
        <v>5308</v>
      </c>
      <c r="GIY1" t="s">
        <v>5309</v>
      </c>
      <c r="GIZ1" t="s">
        <v>5310</v>
      </c>
      <c r="GJA1" t="s">
        <v>5311</v>
      </c>
      <c r="GJB1" t="s">
        <v>5312</v>
      </c>
      <c r="GJC1" t="s">
        <v>5313</v>
      </c>
      <c r="GJD1" t="s">
        <v>5314</v>
      </c>
      <c r="GJE1" t="s">
        <v>5315</v>
      </c>
      <c r="GJF1" t="s">
        <v>5316</v>
      </c>
      <c r="GJG1" t="s">
        <v>5317</v>
      </c>
      <c r="GJH1" t="s">
        <v>5318</v>
      </c>
      <c r="GJI1" t="s">
        <v>5319</v>
      </c>
      <c r="GJJ1" t="s">
        <v>5320</v>
      </c>
      <c r="GJK1" t="s">
        <v>5321</v>
      </c>
      <c r="GJL1" t="s">
        <v>5322</v>
      </c>
      <c r="GJM1" t="s">
        <v>5323</v>
      </c>
      <c r="GJN1" t="s">
        <v>5324</v>
      </c>
      <c r="GJO1" t="s">
        <v>5325</v>
      </c>
      <c r="GJP1" t="s">
        <v>5326</v>
      </c>
      <c r="GJQ1" t="s">
        <v>5327</v>
      </c>
      <c r="GJR1" t="s">
        <v>5328</v>
      </c>
      <c r="GJS1" t="s">
        <v>5329</v>
      </c>
      <c r="GJT1" t="s">
        <v>5330</v>
      </c>
      <c r="GJU1" t="s">
        <v>5331</v>
      </c>
      <c r="GJV1" t="s">
        <v>5332</v>
      </c>
      <c r="GJW1" t="s">
        <v>5333</v>
      </c>
      <c r="GJX1" t="s">
        <v>5334</v>
      </c>
      <c r="GJY1" t="s">
        <v>5335</v>
      </c>
      <c r="GJZ1" t="s">
        <v>5336</v>
      </c>
      <c r="GKA1" t="s">
        <v>5337</v>
      </c>
      <c r="GKB1" t="s">
        <v>5338</v>
      </c>
      <c r="GKC1" t="s">
        <v>5339</v>
      </c>
      <c r="GKD1" t="s">
        <v>5340</v>
      </c>
      <c r="GKE1" t="s">
        <v>5341</v>
      </c>
      <c r="GKF1" t="s">
        <v>5342</v>
      </c>
      <c r="GKG1" t="s">
        <v>5343</v>
      </c>
      <c r="GKH1" t="s">
        <v>5344</v>
      </c>
      <c r="GKI1" t="s">
        <v>5345</v>
      </c>
      <c r="GKJ1" t="s">
        <v>5346</v>
      </c>
      <c r="GKK1" t="s">
        <v>5347</v>
      </c>
      <c r="GKL1" t="s">
        <v>5348</v>
      </c>
      <c r="GKM1" t="s">
        <v>5349</v>
      </c>
      <c r="GKN1" t="s">
        <v>5350</v>
      </c>
      <c r="GKO1" t="s">
        <v>5351</v>
      </c>
      <c r="GKP1" t="s">
        <v>5352</v>
      </c>
      <c r="GKQ1" t="s">
        <v>5353</v>
      </c>
      <c r="GKR1" t="s">
        <v>5354</v>
      </c>
      <c r="GKS1" t="s">
        <v>5355</v>
      </c>
      <c r="GKT1" t="s">
        <v>5356</v>
      </c>
      <c r="GKU1" t="s">
        <v>5357</v>
      </c>
      <c r="GKV1" t="s">
        <v>5358</v>
      </c>
      <c r="GKW1" t="s">
        <v>5359</v>
      </c>
      <c r="GKX1" t="s">
        <v>5360</v>
      </c>
      <c r="GKY1" t="s">
        <v>5361</v>
      </c>
      <c r="GKZ1" t="s">
        <v>5362</v>
      </c>
      <c r="GLA1" t="s">
        <v>5363</v>
      </c>
      <c r="GLB1" t="s">
        <v>5364</v>
      </c>
      <c r="GLC1" t="s">
        <v>5365</v>
      </c>
      <c r="GLD1" t="s">
        <v>5366</v>
      </c>
      <c r="GLE1" t="s">
        <v>5367</v>
      </c>
      <c r="GLF1" t="s">
        <v>5368</v>
      </c>
      <c r="GLG1" t="s">
        <v>5369</v>
      </c>
      <c r="GLH1" t="s">
        <v>5370</v>
      </c>
      <c r="GLI1" t="s">
        <v>5371</v>
      </c>
      <c r="GLJ1" t="s">
        <v>5372</v>
      </c>
      <c r="GLK1" t="s">
        <v>5373</v>
      </c>
      <c r="GLL1" t="s">
        <v>5374</v>
      </c>
      <c r="GLM1" t="s">
        <v>5375</v>
      </c>
      <c r="GLN1" t="s">
        <v>5376</v>
      </c>
      <c r="GLO1" t="s">
        <v>5377</v>
      </c>
      <c r="GLP1" t="s">
        <v>5378</v>
      </c>
      <c r="GLQ1" t="s">
        <v>5379</v>
      </c>
      <c r="GLR1" t="s">
        <v>5380</v>
      </c>
      <c r="GLS1" t="s">
        <v>5381</v>
      </c>
      <c r="GLT1" t="s">
        <v>5382</v>
      </c>
      <c r="GLU1" t="s">
        <v>5383</v>
      </c>
      <c r="GLV1" t="s">
        <v>5384</v>
      </c>
      <c r="GLW1" t="s">
        <v>5385</v>
      </c>
      <c r="GLX1" t="s">
        <v>5386</v>
      </c>
      <c r="GLY1" t="s">
        <v>5387</v>
      </c>
      <c r="GLZ1" t="s">
        <v>5388</v>
      </c>
      <c r="GMA1" t="s">
        <v>5389</v>
      </c>
      <c r="GMB1" t="s">
        <v>5390</v>
      </c>
      <c r="GMC1" t="s">
        <v>5391</v>
      </c>
      <c r="GMD1" t="s">
        <v>5392</v>
      </c>
      <c r="GME1" t="s">
        <v>5393</v>
      </c>
      <c r="GMF1" t="s">
        <v>5394</v>
      </c>
      <c r="GMG1" t="s">
        <v>5395</v>
      </c>
      <c r="GMH1" t="s">
        <v>5396</v>
      </c>
      <c r="GMI1" t="s">
        <v>5397</v>
      </c>
      <c r="GMJ1" t="s">
        <v>5398</v>
      </c>
      <c r="GMK1" t="s">
        <v>5399</v>
      </c>
      <c r="GML1" t="s">
        <v>5400</v>
      </c>
      <c r="GMM1" t="s">
        <v>5401</v>
      </c>
      <c r="GMN1" t="s">
        <v>5402</v>
      </c>
      <c r="GMO1" t="s">
        <v>5403</v>
      </c>
      <c r="GMP1" t="s">
        <v>5404</v>
      </c>
      <c r="GMQ1" t="s">
        <v>5405</v>
      </c>
      <c r="GMR1" t="s">
        <v>5406</v>
      </c>
      <c r="GMS1" t="s">
        <v>5407</v>
      </c>
      <c r="GMT1" t="s">
        <v>5408</v>
      </c>
      <c r="GMU1" t="s">
        <v>5409</v>
      </c>
      <c r="GMV1" t="s">
        <v>5410</v>
      </c>
      <c r="GMW1" t="s">
        <v>5411</v>
      </c>
      <c r="GMX1" t="s">
        <v>5412</v>
      </c>
      <c r="GMY1" t="s">
        <v>5413</v>
      </c>
      <c r="GMZ1" t="s">
        <v>5414</v>
      </c>
      <c r="GNA1" t="s">
        <v>5415</v>
      </c>
      <c r="GNB1" t="s">
        <v>5416</v>
      </c>
      <c r="GNC1" t="s">
        <v>5417</v>
      </c>
      <c r="GND1" t="s">
        <v>5418</v>
      </c>
      <c r="GNE1" t="s">
        <v>5419</v>
      </c>
      <c r="GNF1" t="s">
        <v>5420</v>
      </c>
      <c r="GNG1" t="s">
        <v>5421</v>
      </c>
      <c r="GNH1" t="s">
        <v>5422</v>
      </c>
      <c r="GNI1" t="s">
        <v>5423</v>
      </c>
      <c r="GNJ1" t="s">
        <v>5424</v>
      </c>
      <c r="GNK1" t="s">
        <v>5425</v>
      </c>
      <c r="GNL1" t="s">
        <v>5426</v>
      </c>
      <c r="GNM1" t="s">
        <v>5427</v>
      </c>
      <c r="GNN1" t="s">
        <v>5428</v>
      </c>
      <c r="GNO1" t="s">
        <v>5429</v>
      </c>
      <c r="GNP1" t="s">
        <v>5430</v>
      </c>
      <c r="GNQ1" t="s">
        <v>5431</v>
      </c>
      <c r="GNR1" t="s">
        <v>5432</v>
      </c>
      <c r="GNS1" t="s">
        <v>5433</v>
      </c>
      <c r="GNT1" t="s">
        <v>5434</v>
      </c>
      <c r="GNU1" t="s">
        <v>5435</v>
      </c>
      <c r="GNV1" t="s">
        <v>5436</v>
      </c>
      <c r="GNW1" t="s">
        <v>5437</v>
      </c>
      <c r="GNX1" t="s">
        <v>5438</v>
      </c>
      <c r="GNY1" t="s">
        <v>5439</v>
      </c>
      <c r="GNZ1" t="s">
        <v>5440</v>
      </c>
      <c r="GOA1" t="s">
        <v>5441</v>
      </c>
      <c r="GOB1" t="s">
        <v>5442</v>
      </c>
      <c r="GOC1" t="s">
        <v>5443</v>
      </c>
      <c r="GOD1" t="s">
        <v>5444</v>
      </c>
      <c r="GOE1" t="s">
        <v>5445</v>
      </c>
      <c r="GOF1" t="s">
        <v>5446</v>
      </c>
      <c r="GOG1" t="s">
        <v>5447</v>
      </c>
      <c r="GOH1" t="s">
        <v>5448</v>
      </c>
      <c r="GOI1" t="s">
        <v>5449</v>
      </c>
      <c r="GOJ1" t="s">
        <v>5450</v>
      </c>
      <c r="GOK1" t="s">
        <v>5451</v>
      </c>
      <c r="GOL1" t="s">
        <v>5452</v>
      </c>
      <c r="GOM1" t="s">
        <v>5453</v>
      </c>
      <c r="GON1" t="s">
        <v>5454</v>
      </c>
      <c r="GOO1" t="s">
        <v>5455</v>
      </c>
      <c r="GOP1" t="s">
        <v>5456</v>
      </c>
      <c r="GOQ1" t="s">
        <v>5457</v>
      </c>
      <c r="GOR1" t="s">
        <v>5458</v>
      </c>
      <c r="GOS1" t="s">
        <v>5459</v>
      </c>
      <c r="GOT1" t="s">
        <v>5460</v>
      </c>
      <c r="GOU1" t="s">
        <v>5461</v>
      </c>
      <c r="GOV1" t="s">
        <v>5462</v>
      </c>
      <c r="GOW1" t="s">
        <v>5463</v>
      </c>
      <c r="GOX1" t="s">
        <v>5464</v>
      </c>
      <c r="GOY1" t="s">
        <v>5465</v>
      </c>
      <c r="GOZ1" t="s">
        <v>5466</v>
      </c>
      <c r="GPA1" t="s">
        <v>5467</v>
      </c>
      <c r="GPB1" t="s">
        <v>5468</v>
      </c>
      <c r="GPC1" t="s">
        <v>5469</v>
      </c>
      <c r="GPD1" t="s">
        <v>5470</v>
      </c>
      <c r="GPE1" t="s">
        <v>5471</v>
      </c>
      <c r="GPF1" t="s">
        <v>5472</v>
      </c>
      <c r="GPG1" t="s">
        <v>5473</v>
      </c>
      <c r="GPH1" t="s">
        <v>5474</v>
      </c>
      <c r="GPI1" t="s">
        <v>5475</v>
      </c>
      <c r="GPJ1" t="s">
        <v>5476</v>
      </c>
      <c r="GPK1" t="s">
        <v>5477</v>
      </c>
      <c r="GPL1" t="s">
        <v>5478</v>
      </c>
      <c r="GPM1" t="s">
        <v>5479</v>
      </c>
      <c r="GPN1" t="s">
        <v>5480</v>
      </c>
      <c r="GPO1" t="s">
        <v>5481</v>
      </c>
      <c r="GPP1" t="s">
        <v>5482</v>
      </c>
      <c r="GPQ1" t="s">
        <v>5483</v>
      </c>
      <c r="GPR1" t="s">
        <v>5484</v>
      </c>
      <c r="GPS1" t="s">
        <v>5485</v>
      </c>
      <c r="GPT1" t="s">
        <v>5486</v>
      </c>
      <c r="GPU1" t="s">
        <v>5487</v>
      </c>
      <c r="GPV1" t="s">
        <v>5488</v>
      </c>
      <c r="GPW1" t="s">
        <v>5489</v>
      </c>
      <c r="GPX1" t="s">
        <v>5490</v>
      </c>
      <c r="GPY1" t="s">
        <v>5491</v>
      </c>
      <c r="GPZ1" t="s">
        <v>5492</v>
      </c>
      <c r="GQA1" t="s">
        <v>5493</v>
      </c>
      <c r="GQB1" t="s">
        <v>5494</v>
      </c>
      <c r="GQC1" t="s">
        <v>5495</v>
      </c>
      <c r="GQD1" t="s">
        <v>5496</v>
      </c>
      <c r="GQE1" t="s">
        <v>5497</v>
      </c>
      <c r="GQF1" t="s">
        <v>5498</v>
      </c>
      <c r="GQG1" t="s">
        <v>5499</v>
      </c>
      <c r="GQH1" t="s">
        <v>5500</v>
      </c>
      <c r="GQI1" t="s">
        <v>5501</v>
      </c>
      <c r="GQJ1" t="s">
        <v>5502</v>
      </c>
      <c r="GQK1" t="s">
        <v>5503</v>
      </c>
      <c r="GQL1" t="s">
        <v>5504</v>
      </c>
      <c r="GQM1" t="s">
        <v>5505</v>
      </c>
      <c r="GQN1" t="s">
        <v>5506</v>
      </c>
      <c r="GQO1" t="s">
        <v>5507</v>
      </c>
      <c r="GQP1" t="s">
        <v>5508</v>
      </c>
      <c r="GQQ1" t="s">
        <v>5509</v>
      </c>
      <c r="GQR1" t="s">
        <v>5510</v>
      </c>
      <c r="GQS1" t="s">
        <v>5511</v>
      </c>
      <c r="GQT1" t="s">
        <v>5512</v>
      </c>
      <c r="GQU1" t="s">
        <v>5513</v>
      </c>
      <c r="GQV1" t="s">
        <v>5514</v>
      </c>
      <c r="GQW1" t="s">
        <v>5515</v>
      </c>
      <c r="GQX1" t="s">
        <v>5516</v>
      </c>
      <c r="GQY1" t="s">
        <v>5517</v>
      </c>
      <c r="GQZ1" t="s">
        <v>5518</v>
      </c>
      <c r="GRA1" t="s">
        <v>5519</v>
      </c>
      <c r="GRB1" t="s">
        <v>5520</v>
      </c>
      <c r="GRC1" t="s">
        <v>5521</v>
      </c>
      <c r="GRD1" t="s">
        <v>5522</v>
      </c>
      <c r="GRE1" t="s">
        <v>5523</v>
      </c>
      <c r="GRF1" t="s">
        <v>5524</v>
      </c>
      <c r="GRG1" t="s">
        <v>5525</v>
      </c>
      <c r="GRH1" t="s">
        <v>5526</v>
      </c>
      <c r="GRI1" t="s">
        <v>5527</v>
      </c>
      <c r="GRJ1" t="s">
        <v>5528</v>
      </c>
      <c r="GRK1" t="s">
        <v>5529</v>
      </c>
      <c r="GRL1" t="s">
        <v>5530</v>
      </c>
      <c r="GRM1" t="s">
        <v>5531</v>
      </c>
      <c r="GRN1" t="s">
        <v>5532</v>
      </c>
      <c r="GRO1" t="s">
        <v>5533</v>
      </c>
      <c r="GRP1" t="s">
        <v>5534</v>
      </c>
      <c r="GRQ1" t="s">
        <v>5535</v>
      </c>
      <c r="GRR1" t="s">
        <v>5536</v>
      </c>
      <c r="GRS1" t="s">
        <v>5537</v>
      </c>
      <c r="GRT1" t="s">
        <v>5538</v>
      </c>
      <c r="GRU1" t="s">
        <v>5539</v>
      </c>
      <c r="GRV1" t="s">
        <v>5540</v>
      </c>
      <c r="GRW1" t="s">
        <v>5541</v>
      </c>
      <c r="GRX1" t="s">
        <v>5542</v>
      </c>
      <c r="GRY1" t="s">
        <v>5543</v>
      </c>
      <c r="GRZ1" t="s">
        <v>5544</v>
      </c>
      <c r="GSA1" t="s">
        <v>5545</v>
      </c>
      <c r="GSB1" t="s">
        <v>5546</v>
      </c>
      <c r="GSC1" t="s">
        <v>5547</v>
      </c>
      <c r="GSD1" t="s">
        <v>5548</v>
      </c>
      <c r="GSE1" t="s">
        <v>5549</v>
      </c>
      <c r="GSF1" t="s">
        <v>5550</v>
      </c>
      <c r="GSG1" t="s">
        <v>5551</v>
      </c>
      <c r="GSH1" t="s">
        <v>5552</v>
      </c>
      <c r="GSI1" t="s">
        <v>5553</v>
      </c>
      <c r="GSJ1" t="s">
        <v>5554</v>
      </c>
      <c r="GSK1" t="s">
        <v>5555</v>
      </c>
      <c r="GSL1" t="s">
        <v>5556</v>
      </c>
      <c r="GSM1" t="s">
        <v>5557</v>
      </c>
      <c r="GSN1" t="s">
        <v>5558</v>
      </c>
      <c r="GSO1" t="s">
        <v>5559</v>
      </c>
      <c r="GSP1" t="s">
        <v>5560</v>
      </c>
      <c r="GSQ1" t="s">
        <v>5561</v>
      </c>
      <c r="GSR1" t="s">
        <v>5562</v>
      </c>
      <c r="GSS1" t="s">
        <v>5563</v>
      </c>
      <c r="GST1" t="s">
        <v>5564</v>
      </c>
      <c r="GSU1" t="s">
        <v>5565</v>
      </c>
      <c r="GSV1" t="s">
        <v>5566</v>
      </c>
      <c r="GSW1" t="s">
        <v>5567</v>
      </c>
      <c r="GSX1" t="s">
        <v>5568</v>
      </c>
      <c r="GSY1" t="s">
        <v>5569</v>
      </c>
      <c r="GSZ1" t="s">
        <v>5570</v>
      </c>
      <c r="GTA1" t="s">
        <v>5571</v>
      </c>
      <c r="GTB1" t="s">
        <v>5572</v>
      </c>
      <c r="GTC1" t="s">
        <v>5573</v>
      </c>
      <c r="GTD1" t="s">
        <v>5574</v>
      </c>
      <c r="GTE1" t="s">
        <v>5575</v>
      </c>
      <c r="GTF1" t="s">
        <v>5576</v>
      </c>
      <c r="GTG1" t="s">
        <v>5577</v>
      </c>
      <c r="GTH1" t="s">
        <v>5578</v>
      </c>
      <c r="GTI1" t="s">
        <v>5579</v>
      </c>
      <c r="GTJ1" t="s">
        <v>5580</v>
      </c>
      <c r="GTK1" t="s">
        <v>5581</v>
      </c>
      <c r="GTL1" t="s">
        <v>5582</v>
      </c>
      <c r="GTM1" t="s">
        <v>5583</v>
      </c>
      <c r="GTN1" t="s">
        <v>5584</v>
      </c>
      <c r="GTO1" t="s">
        <v>5585</v>
      </c>
      <c r="GTP1" t="s">
        <v>5586</v>
      </c>
      <c r="GTQ1" t="s">
        <v>5587</v>
      </c>
      <c r="GTR1" t="s">
        <v>5588</v>
      </c>
      <c r="GTS1" t="s">
        <v>5589</v>
      </c>
      <c r="GTT1" t="s">
        <v>5590</v>
      </c>
      <c r="GTU1" t="s">
        <v>5591</v>
      </c>
      <c r="GTV1" t="s">
        <v>5592</v>
      </c>
      <c r="GTW1" t="s">
        <v>5593</v>
      </c>
      <c r="GTX1" t="s">
        <v>5594</v>
      </c>
      <c r="GTY1" t="s">
        <v>5595</v>
      </c>
      <c r="GTZ1" t="s">
        <v>5596</v>
      </c>
      <c r="GUA1" t="s">
        <v>5597</v>
      </c>
      <c r="GUB1" t="s">
        <v>5598</v>
      </c>
      <c r="GUC1" t="s">
        <v>5599</v>
      </c>
      <c r="GUD1" t="s">
        <v>5600</v>
      </c>
      <c r="GUE1" t="s">
        <v>5601</v>
      </c>
      <c r="GUF1" t="s">
        <v>5602</v>
      </c>
      <c r="GUG1" t="s">
        <v>5603</v>
      </c>
      <c r="GUH1" t="s">
        <v>5604</v>
      </c>
      <c r="GUI1" t="s">
        <v>5605</v>
      </c>
      <c r="GUJ1" t="s">
        <v>5606</v>
      </c>
      <c r="GUK1" t="s">
        <v>5607</v>
      </c>
      <c r="GUL1" t="s">
        <v>5608</v>
      </c>
      <c r="GUM1" t="s">
        <v>5609</v>
      </c>
      <c r="GUN1" t="s">
        <v>5610</v>
      </c>
      <c r="GUO1" t="s">
        <v>5611</v>
      </c>
      <c r="GUP1" t="s">
        <v>5612</v>
      </c>
      <c r="GUQ1" t="s">
        <v>5613</v>
      </c>
      <c r="GUR1" t="s">
        <v>5614</v>
      </c>
      <c r="GUS1" t="s">
        <v>5615</v>
      </c>
      <c r="GUT1" t="s">
        <v>5616</v>
      </c>
      <c r="GUU1" t="s">
        <v>5617</v>
      </c>
      <c r="GUV1" t="s">
        <v>5618</v>
      </c>
      <c r="GUW1" t="s">
        <v>5619</v>
      </c>
      <c r="GUX1" t="s">
        <v>5620</v>
      </c>
      <c r="GUY1" t="s">
        <v>5621</v>
      </c>
      <c r="GUZ1" t="s">
        <v>5622</v>
      </c>
      <c r="GVA1" t="s">
        <v>5623</v>
      </c>
      <c r="GVB1" t="s">
        <v>5624</v>
      </c>
      <c r="GVC1" t="s">
        <v>5625</v>
      </c>
      <c r="GVD1" t="s">
        <v>5626</v>
      </c>
      <c r="GVE1" t="s">
        <v>5627</v>
      </c>
      <c r="GVF1" t="s">
        <v>5628</v>
      </c>
      <c r="GVG1" t="s">
        <v>5629</v>
      </c>
      <c r="GVH1" t="s">
        <v>5630</v>
      </c>
      <c r="GVI1" t="s">
        <v>5631</v>
      </c>
      <c r="GVJ1" t="s">
        <v>5632</v>
      </c>
      <c r="GVK1" t="s">
        <v>5633</v>
      </c>
      <c r="GVL1" t="s">
        <v>5634</v>
      </c>
      <c r="GVM1" t="s">
        <v>5635</v>
      </c>
      <c r="GVN1" t="s">
        <v>5636</v>
      </c>
      <c r="GVO1" t="s">
        <v>5637</v>
      </c>
      <c r="GVP1" t="s">
        <v>5638</v>
      </c>
      <c r="GVQ1" t="s">
        <v>5639</v>
      </c>
      <c r="GVR1" t="s">
        <v>5640</v>
      </c>
      <c r="GVS1" t="s">
        <v>5641</v>
      </c>
      <c r="GVT1" t="s">
        <v>5642</v>
      </c>
      <c r="GVU1" t="s">
        <v>5643</v>
      </c>
      <c r="GVV1" t="s">
        <v>5644</v>
      </c>
      <c r="GVW1" t="s">
        <v>5645</v>
      </c>
      <c r="GVX1" t="s">
        <v>5646</v>
      </c>
      <c r="GVY1" t="s">
        <v>5647</v>
      </c>
      <c r="GVZ1" t="s">
        <v>5648</v>
      </c>
      <c r="GWA1" t="s">
        <v>5649</v>
      </c>
      <c r="GWB1" t="s">
        <v>5650</v>
      </c>
      <c r="GWC1" t="s">
        <v>5651</v>
      </c>
      <c r="GWD1" t="s">
        <v>5652</v>
      </c>
      <c r="GWE1" t="s">
        <v>5653</v>
      </c>
      <c r="GWF1" t="s">
        <v>5654</v>
      </c>
      <c r="GWG1" t="s">
        <v>5655</v>
      </c>
      <c r="GWH1" t="s">
        <v>5656</v>
      </c>
      <c r="GWI1" t="s">
        <v>5657</v>
      </c>
      <c r="GWJ1" t="s">
        <v>5658</v>
      </c>
      <c r="GWK1" t="s">
        <v>5659</v>
      </c>
      <c r="GWL1" t="s">
        <v>5660</v>
      </c>
      <c r="GWM1" t="s">
        <v>5661</v>
      </c>
      <c r="GWN1" t="s">
        <v>5662</v>
      </c>
      <c r="GWO1" t="s">
        <v>5663</v>
      </c>
      <c r="GWP1" t="s">
        <v>5664</v>
      </c>
      <c r="GWQ1" t="s">
        <v>5665</v>
      </c>
      <c r="GWR1" t="s">
        <v>5666</v>
      </c>
      <c r="GWS1" t="s">
        <v>5667</v>
      </c>
      <c r="GWT1" t="s">
        <v>5668</v>
      </c>
      <c r="GWU1" t="s">
        <v>5669</v>
      </c>
      <c r="GWV1" t="s">
        <v>5670</v>
      </c>
      <c r="GWW1" t="s">
        <v>5671</v>
      </c>
      <c r="GWX1" t="s">
        <v>5672</v>
      </c>
      <c r="GWY1" t="s">
        <v>5673</v>
      </c>
      <c r="GWZ1" t="s">
        <v>5674</v>
      </c>
      <c r="GXA1" t="s">
        <v>5675</v>
      </c>
      <c r="GXB1" t="s">
        <v>5676</v>
      </c>
      <c r="GXC1" t="s">
        <v>5677</v>
      </c>
      <c r="GXD1" t="s">
        <v>5678</v>
      </c>
      <c r="GXE1" t="s">
        <v>5679</v>
      </c>
      <c r="GXF1" t="s">
        <v>5680</v>
      </c>
      <c r="GXG1" t="s">
        <v>5681</v>
      </c>
      <c r="GXH1" t="s">
        <v>5682</v>
      </c>
      <c r="GXI1" t="s">
        <v>5683</v>
      </c>
      <c r="GXJ1" t="s">
        <v>5684</v>
      </c>
      <c r="GXK1" t="s">
        <v>5685</v>
      </c>
      <c r="GXL1" t="s">
        <v>5686</v>
      </c>
      <c r="GXM1" t="s">
        <v>5687</v>
      </c>
      <c r="GXN1" t="s">
        <v>5688</v>
      </c>
      <c r="GXO1" t="s">
        <v>5689</v>
      </c>
      <c r="GXP1" t="s">
        <v>5690</v>
      </c>
      <c r="GXQ1" t="s">
        <v>5691</v>
      </c>
      <c r="GXR1" t="s">
        <v>5692</v>
      </c>
      <c r="GXS1" t="s">
        <v>5693</v>
      </c>
      <c r="GXT1" t="s">
        <v>5694</v>
      </c>
      <c r="GXU1" t="s">
        <v>5695</v>
      </c>
      <c r="GXV1" t="s">
        <v>5696</v>
      </c>
      <c r="GXW1" t="s">
        <v>5697</v>
      </c>
      <c r="GXX1" t="s">
        <v>5698</v>
      </c>
      <c r="GXY1" t="s">
        <v>5699</v>
      </c>
      <c r="GXZ1" t="s">
        <v>5700</v>
      </c>
      <c r="GYA1" t="s">
        <v>5701</v>
      </c>
      <c r="GYB1" t="s">
        <v>5702</v>
      </c>
      <c r="GYC1" t="s">
        <v>5703</v>
      </c>
      <c r="GYD1" t="s">
        <v>5704</v>
      </c>
      <c r="GYE1" t="s">
        <v>5705</v>
      </c>
      <c r="GYF1" t="s">
        <v>5706</v>
      </c>
      <c r="GYG1" t="s">
        <v>5707</v>
      </c>
      <c r="GYH1" t="s">
        <v>5708</v>
      </c>
      <c r="GYI1" t="s">
        <v>5709</v>
      </c>
      <c r="GYJ1" t="s">
        <v>5710</v>
      </c>
      <c r="GYK1" t="s">
        <v>5711</v>
      </c>
      <c r="GYL1" t="s">
        <v>5712</v>
      </c>
      <c r="GYM1" t="s">
        <v>5713</v>
      </c>
      <c r="GYN1" t="s">
        <v>5714</v>
      </c>
      <c r="GYO1" t="s">
        <v>5715</v>
      </c>
      <c r="GYP1" t="s">
        <v>5716</v>
      </c>
      <c r="GYQ1" t="s">
        <v>5717</v>
      </c>
      <c r="GYR1" t="s">
        <v>5718</v>
      </c>
      <c r="GYS1" t="s">
        <v>5719</v>
      </c>
      <c r="GYT1" t="s">
        <v>5720</v>
      </c>
      <c r="GYU1" t="s">
        <v>5721</v>
      </c>
      <c r="GYV1" t="s">
        <v>5722</v>
      </c>
      <c r="GYW1" t="s">
        <v>5723</v>
      </c>
      <c r="GYX1" t="s">
        <v>5724</v>
      </c>
      <c r="GYY1" t="s">
        <v>5725</v>
      </c>
      <c r="GYZ1" t="s">
        <v>5726</v>
      </c>
      <c r="GZA1" t="s">
        <v>5727</v>
      </c>
      <c r="GZB1" t="s">
        <v>5728</v>
      </c>
      <c r="GZC1" t="s">
        <v>5729</v>
      </c>
      <c r="GZD1" t="s">
        <v>5730</v>
      </c>
      <c r="GZE1" t="s">
        <v>5731</v>
      </c>
      <c r="GZF1" t="s">
        <v>5732</v>
      </c>
      <c r="GZG1" t="s">
        <v>5733</v>
      </c>
      <c r="GZH1" t="s">
        <v>5734</v>
      </c>
      <c r="GZI1" t="s">
        <v>5735</v>
      </c>
      <c r="GZJ1" t="s">
        <v>5736</v>
      </c>
      <c r="GZK1" t="s">
        <v>5737</v>
      </c>
      <c r="GZL1" t="s">
        <v>5738</v>
      </c>
      <c r="GZM1" t="s">
        <v>5739</v>
      </c>
      <c r="GZN1" t="s">
        <v>5740</v>
      </c>
      <c r="GZO1" t="s">
        <v>5741</v>
      </c>
      <c r="GZP1" t="s">
        <v>5742</v>
      </c>
      <c r="GZQ1" t="s">
        <v>5743</v>
      </c>
      <c r="GZR1" t="s">
        <v>5744</v>
      </c>
      <c r="GZS1" t="s">
        <v>5745</v>
      </c>
      <c r="GZT1" t="s">
        <v>5746</v>
      </c>
      <c r="GZU1" t="s">
        <v>5747</v>
      </c>
      <c r="GZV1" t="s">
        <v>5748</v>
      </c>
      <c r="GZW1" t="s">
        <v>5749</v>
      </c>
      <c r="GZX1" t="s">
        <v>5750</v>
      </c>
      <c r="GZY1" t="s">
        <v>5751</v>
      </c>
      <c r="GZZ1" t="s">
        <v>5752</v>
      </c>
      <c r="HAA1" t="s">
        <v>5753</v>
      </c>
      <c r="HAB1" t="s">
        <v>5754</v>
      </c>
      <c r="HAC1" t="s">
        <v>5755</v>
      </c>
      <c r="HAD1" t="s">
        <v>5756</v>
      </c>
      <c r="HAE1" t="s">
        <v>5757</v>
      </c>
      <c r="HAF1" t="s">
        <v>5758</v>
      </c>
      <c r="HAG1" t="s">
        <v>5759</v>
      </c>
      <c r="HAH1" t="s">
        <v>5760</v>
      </c>
      <c r="HAI1" t="s">
        <v>5761</v>
      </c>
      <c r="HAJ1" t="s">
        <v>5762</v>
      </c>
      <c r="HAK1" t="s">
        <v>5763</v>
      </c>
      <c r="HAL1" t="s">
        <v>5764</v>
      </c>
      <c r="HAM1" t="s">
        <v>5765</v>
      </c>
      <c r="HAN1" t="s">
        <v>5766</v>
      </c>
      <c r="HAO1" t="s">
        <v>5767</v>
      </c>
      <c r="HAP1" t="s">
        <v>5768</v>
      </c>
      <c r="HAQ1" t="s">
        <v>5769</v>
      </c>
      <c r="HAR1" t="s">
        <v>5770</v>
      </c>
      <c r="HAS1" t="s">
        <v>5771</v>
      </c>
      <c r="HAT1" t="s">
        <v>5772</v>
      </c>
      <c r="HAU1" t="s">
        <v>5773</v>
      </c>
      <c r="HAV1" t="s">
        <v>5774</v>
      </c>
      <c r="HAW1" t="s">
        <v>5775</v>
      </c>
      <c r="HAX1" t="s">
        <v>5776</v>
      </c>
      <c r="HAY1" t="s">
        <v>5777</v>
      </c>
      <c r="HAZ1" t="s">
        <v>5778</v>
      </c>
      <c r="HBA1" t="s">
        <v>5779</v>
      </c>
      <c r="HBB1" t="s">
        <v>5780</v>
      </c>
      <c r="HBC1" t="s">
        <v>5781</v>
      </c>
      <c r="HBD1" t="s">
        <v>5782</v>
      </c>
      <c r="HBE1" t="s">
        <v>5783</v>
      </c>
      <c r="HBF1" t="s">
        <v>5784</v>
      </c>
      <c r="HBG1" t="s">
        <v>5785</v>
      </c>
      <c r="HBH1" t="s">
        <v>5786</v>
      </c>
      <c r="HBI1" t="s">
        <v>5787</v>
      </c>
      <c r="HBJ1" t="s">
        <v>5788</v>
      </c>
      <c r="HBK1" t="s">
        <v>5789</v>
      </c>
      <c r="HBL1" t="s">
        <v>5790</v>
      </c>
      <c r="HBM1" t="s">
        <v>5791</v>
      </c>
      <c r="HBN1" t="s">
        <v>5792</v>
      </c>
      <c r="HBO1" t="s">
        <v>5793</v>
      </c>
      <c r="HBP1" t="s">
        <v>5794</v>
      </c>
      <c r="HBQ1" t="s">
        <v>5795</v>
      </c>
      <c r="HBR1" t="s">
        <v>5796</v>
      </c>
      <c r="HBS1" t="s">
        <v>5797</v>
      </c>
      <c r="HBT1" t="s">
        <v>5798</v>
      </c>
      <c r="HBU1" t="s">
        <v>5799</v>
      </c>
      <c r="HBV1" t="s">
        <v>5800</v>
      </c>
      <c r="HBW1" t="s">
        <v>5801</v>
      </c>
      <c r="HBX1" t="s">
        <v>5802</v>
      </c>
      <c r="HBY1" t="s">
        <v>5803</v>
      </c>
      <c r="HBZ1" t="s">
        <v>5804</v>
      </c>
      <c r="HCA1" t="s">
        <v>5805</v>
      </c>
      <c r="HCB1" t="s">
        <v>5806</v>
      </c>
      <c r="HCC1" t="s">
        <v>5807</v>
      </c>
      <c r="HCD1" t="s">
        <v>5808</v>
      </c>
      <c r="HCE1" t="s">
        <v>5809</v>
      </c>
      <c r="HCF1" t="s">
        <v>5810</v>
      </c>
      <c r="HCG1" t="s">
        <v>5811</v>
      </c>
      <c r="HCH1" t="s">
        <v>5812</v>
      </c>
      <c r="HCI1" t="s">
        <v>5813</v>
      </c>
      <c r="HCJ1" t="s">
        <v>5814</v>
      </c>
      <c r="HCK1" t="s">
        <v>5815</v>
      </c>
      <c r="HCL1" t="s">
        <v>5816</v>
      </c>
      <c r="HCM1" t="s">
        <v>5817</v>
      </c>
      <c r="HCN1" t="s">
        <v>5818</v>
      </c>
      <c r="HCO1" t="s">
        <v>5819</v>
      </c>
      <c r="HCP1" t="s">
        <v>5820</v>
      </c>
      <c r="HCQ1" t="s">
        <v>5821</v>
      </c>
      <c r="HCR1" t="s">
        <v>5822</v>
      </c>
      <c r="HCS1" t="s">
        <v>5823</v>
      </c>
      <c r="HCT1" t="s">
        <v>5824</v>
      </c>
      <c r="HCU1" t="s">
        <v>5825</v>
      </c>
      <c r="HCV1" t="s">
        <v>5826</v>
      </c>
      <c r="HCW1" t="s">
        <v>5827</v>
      </c>
      <c r="HCX1" t="s">
        <v>5828</v>
      </c>
      <c r="HCY1" t="s">
        <v>5829</v>
      </c>
      <c r="HCZ1" t="s">
        <v>5830</v>
      </c>
      <c r="HDA1" t="s">
        <v>5831</v>
      </c>
      <c r="HDB1" t="s">
        <v>5832</v>
      </c>
      <c r="HDC1" t="s">
        <v>5833</v>
      </c>
      <c r="HDD1" t="s">
        <v>5834</v>
      </c>
      <c r="HDE1" t="s">
        <v>5835</v>
      </c>
      <c r="HDF1" t="s">
        <v>5836</v>
      </c>
      <c r="HDG1" t="s">
        <v>5837</v>
      </c>
      <c r="HDH1" t="s">
        <v>5838</v>
      </c>
      <c r="HDI1" t="s">
        <v>5839</v>
      </c>
      <c r="HDJ1" t="s">
        <v>5840</v>
      </c>
      <c r="HDK1" t="s">
        <v>5841</v>
      </c>
      <c r="HDL1" t="s">
        <v>5842</v>
      </c>
      <c r="HDM1" t="s">
        <v>5843</v>
      </c>
      <c r="HDN1" t="s">
        <v>5844</v>
      </c>
      <c r="HDO1" t="s">
        <v>5845</v>
      </c>
      <c r="HDP1" t="s">
        <v>5846</v>
      </c>
      <c r="HDQ1" t="s">
        <v>5847</v>
      </c>
      <c r="HDR1" t="s">
        <v>5848</v>
      </c>
      <c r="HDS1" t="s">
        <v>5849</v>
      </c>
      <c r="HDT1" t="s">
        <v>5850</v>
      </c>
      <c r="HDU1" t="s">
        <v>5851</v>
      </c>
      <c r="HDV1" t="s">
        <v>5852</v>
      </c>
      <c r="HDW1" t="s">
        <v>5853</v>
      </c>
      <c r="HDX1" t="s">
        <v>5854</v>
      </c>
      <c r="HDY1" t="s">
        <v>5855</v>
      </c>
      <c r="HDZ1" t="s">
        <v>5856</v>
      </c>
      <c r="HEA1" t="s">
        <v>5857</v>
      </c>
      <c r="HEB1" t="s">
        <v>5858</v>
      </c>
      <c r="HEC1" t="s">
        <v>5859</v>
      </c>
      <c r="HED1" t="s">
        <v>5860</v>
      </c>
      <c r="HEE1" t="s">
        <v>5861</v>
      </c>
      <c r="HEF1" t="s">
        <v>5862</v>
      </c>
      <c r="HEG1" t="s">
        <v>5863</v>
      </c>
      <c r="HEH1" t="s">
        <v>5864</v>
      </c>
      <c r="HEI1" t="s">
        <v>5865</v>
      </c>
      <c r="HEJ1" t="s">
        <v>5866</v>
      </c>
      <c r="HEK1" t="s">
        <v>5867</v>
      </c>
      <c r="HEL1" t="s">
        <v>5868</v>
      </c>
      <c r="HEM1" t="s">
        <v>5869</v>
      </c>
      <c r="HEN1" t="s">
        <v>5870</v>
      </c>
      <c r="HEO1" t="s">
        <v>5871</v>
      </c>
      <c r="HEP1" t="s">
        <v>5872</v>
      </c>
      <c r="HEQ1" t="s">
        <v>5873</v>
      </c>
      <c r="HER1" t="s">
        <v>5874</v>
      </c>
      <c r="HES1" t="s">
        <v>5875</v>
      </c>
      <c r="HET1" t="s">
        <v>5876</v>
      </c>
      <c r="HEU1" t="s">
        <v>5877</v>
      </c>
      <c r="HEV1" t="s">
        <v>5878</v>
      </c>
      <c r="HEW1" t="s">
        <v>5879</v>
      </c>
      <c r="HEX1" t="s">
        <v>5880</v>
      </c>
      <c r="HEY1" t="s">
        <v>5881</v>
      </c>
      <c r="HEZ1" t="s">
        <v>5882</v>
      </c>
      <c r="HFA1" t="s">
        <v>5883</v>
      </c>
      <c r="HFB1" t="s">
        <v>5884</v>
      </c>
      <c r="HFC1" t="s">
        <v>5885</v>
      </c>
      <c r="HFD1" t="s">
        <v>5886</v>
      </c>
      <c r="HFE1" t="s">
        <v>5887</v>
      </c>
      <c r="HFF1" t="s">
        <v>5888</v>
      </c>
      <c r="HFG1" t="s">
        <v>5889</v>
      </c>
      <c r="HFH1" t="s">
        <v>5890</v>
      </c>
      <c r="HFI1" t="s">
        <v>5891</v>
      </c>
      <c r="HFJ1" t="s">
        <v>5892</v>
      </c>
      <c r="HFK1" t="s">
        <v>5893</v>
      </c>
      <c r="HFL1" t="s">
        <v>5894</v>
      </c>
      <c r="HFM1" t="s">
        <v>5895</v>
      </c>
      <c r="HFN1" t="s">
        <v>5896</v>
      </c>
      <c r="HFO1" t="s">
        <v>5897</v>
      </c>
      <c r="HFP1" t="s">
        <v>5898</v>
      </c>
      <c r="HFQ1" t="s">
        <v>5899</v>
      </c>
      <c r="HFR1" t="s">
        <v>5900</v>
      </c>
      <c r="HFS1" t="s">
        <v>5901</v>
      </c>
      <c r="HFT1" t="s">
        <v>5902</v>
      </c>
      <c r="HFU1" t="s">
        <v>5903</v>
      </c>
      <c r="HFV1" t="s">
        <v>5904</v>
      </c>
      <c r="HFW1" t="s">
        <v>5905</v>
      </c>
      <c r="HFX1" t="s">
        <v>5906</v>
      </c>
      <c r="HFY1" t="s">
        <v>5907</v>
      </c>
      <c r="HFZ1" t="s">
        <v>5908</v>
      </c>
      <c r="HGA1" t="s">
        <v>5909</v>
      </c>
      <c r="HGB1" t="s">
        <v>5910</v>
      </c>
      <c r="HGC1" t="s">
        <v>5911</v>
      </c>
      <c r="HGD1" t="s">
        <v>5912</v>
      </c>
      <c r="HGE1" t="s">
        <v>5913</v>
      </c>
      <c r="HGF1" t="s">
        <v>5914</v>
      </c>
      <c r="HGG1" t="s">
        <v>5915</v>
      </c>
      <c r="HGH1" t="s">
        <v>5916</v>
      </c>
      <c r="HGI1" t="s">
        <v>5917</v>
      </c>
      <c r="HGJ1" t="s">
        <v>5918</v>
      </c>
      <c r="HGK1" t="s">
        <v>5919</v>
      </c>
      <c r="HGL1" t="s">
        <v>5920</v>
      </c>
      <c r="HGM1" t="s">
        <v>5921</v>
      </c>
      <c r="HGN1" t="s">
        <v>5922</v>
      </c>
      <c r="HGO1" t="s">
        <v>5923</v>
      </c>
      <c r="HGP1" t="s">
        <v>5924</v>
      </c>
      <c r="HGQ1" t="s">
        <v>5925</v>
      </c>
      <c r="HGR1" t="s">
        <v>5926</v>
      </c>
      <c r="HGS1" t="s">
        <v>5927</v>
      </c>
      <c r="HGT1" t="s">
        <v>5928</v>
      </c>
      <c r="HGU1" t="s">
        <v>5929</v>
      </c>
      <c r="HGV1" t="s">
        <v>5930</v>
      </c>
      <c r="HGW1" t="s">
        <v>5931</v>
      </c>
      <c r="HGX1" t="s">
        <v>5932</v>
      </c>
      <c r="HGY1" t="s">
        <v>5933</v>
      </c>
      <c r="HGZ1" t="s">
        <v>5934</v>
      </c>
      <c r="HHA1" t="s">
        <v>5935</v>
      </c>
      <c r="HHB1" t="s">
        <v>5936</v>
      </c>
      <c r="HHC1" t="s">
        <v>5937</v>
      </c>
      <c r="HHD1" t="s">
        <v>5938</v>
      </c>
      <c r="HHE1" t="s">
        <v>5939</v>
      </c>
      <c r="HHF1" t="s">
        <v>5940</v>
      </c>
      <c r="HHG1" t="s">
        <v>5941</v>
      </c>
      <c r="HHH1" t="s">
        <v>5942</v>
      </c>
      <c r="HHI1" t="s">
        <v>5943</v>
      </c>
      <c r="HHJ1" t="s">
        <v>5944</v>
      </c>
      <c r="HHK1" t="s">
        <v>5945</v>
      </c>
      <c r="HHL1" t="s">
        <v>5946</v>
      </c>
      <c r="HHM1" t="s">
        <v>5947</v>
      </c>
      <c r="HHN1" t="s">
        <v>5948</v>
      </c>
      <c r="HHO1" t="s">
        <v>5949</v>
      </c>
      <c r="HHP1" t="s">
        <v>5950</v>
      </c>
      <c r="HHQ1" t="s">
        <v>5951</v>
      </c>
      <c r="HHR1" t="s">
        <v>5952</v>
      </c>
      <c r="HHS1" t="s">
        <v>5953</v>
      </c>
      <c r="HHT1" t="s">
        <v>5954</v>
      </c>
      <c r="HHU1" t="s">
        <v>5955</v>
      </c>
      <c r="HHV1" t="s">
        <v>5956</v>
      </c>
      <c r="HHW1" t="s">
        <v>5957</v>
      </c>
      <c r="HHX1" t="s">
        <v>5958</v>
      </c>
      <c r="HHY1" t="s">
        <v>5959</v>
      </c>
      <c r="HHZ1" t="s">
        <v>5960</v>
      </c>
      <c r="HIA1" t="s">
        <v>5961</v>
      </c>
      <c r="HIB1" t="s">
        <v>5962</v>
      </c>
      <c r="HIC1" t="s">
        <v>5963</v>
      </c>
      <c r="HID1" t="s">
        <v>5964</v>
      </c>
      <c r="HIE1" t="s">
        <v>5965</v>
      </c>
      <c r="HIF1" t="s">
        <v>5966</v>
      </c>
      <c r="HIG1" t="s">
        <v>5967</v>
      </c>
      <c r="HIH1" t="s">
        <v>5968</v>
      </c>
      <c r="HII1" t="s">
        <v>5969</v>
      </c>
      <c r="HIJ1" t="s">
        <v>5970</v>
      </c>
      <c r="HIK1" t="s">
        <v>5971</v>
      </c>
      <c r="HIL1" t="s">
        <v>5972</v>
      </c>
      <c r="HIM1" t="s">
        <v>5973</v>
      </c>
      <c r="HIN1" t="s">
        <v>5974</v>
      </c>
      <c r="HIO1" t="s">
        <v>5975</v>
      </c>
      <c r="HIP1" t="s">
        <v>5976</v>
      </c>
      <c r="HIQ1" t="s">
        <v>5977</v>
      </c>
      <c r="HIR1" t="s">
        <v>5978</v>
      </c>
      <c r="HIS1" t="s">
        <v>5979</v>
      </c>
      <c r="HIT1" t="s">
        <v>5980</v>
      </c>
      <c r="HIU1" t="s">
        <v>5981</v>
      </c>
      <c r="HIV1" t="s">
        <v>5982</v>
      </c>
      <c r="HIW1" t="s">
        <v>5983</v>
      </c>
      <c r="HIX1" t="s">
        <v>5984</v>
      </c>
      <c r="HIY1" t="s">
        <v>5985</v>
      </c>
      <c r="HIZ1" t="s">
        <v>5986</v>
      </c>
      <c r="HJA1" t="s">
        <v>5987</v>
      </c>
      <c r="HJB1" t="s">
        <v>5988</v>
      </c>
      <c r="HJC1" t="s">
        <v>5989</v>
      </c>
      <c r="HJD1" t="s">
        <v>5990</v>
      </c>
      <c r="HJE1" t="s">
        <v>5991</v>
      </c>
      <c r="HJF1" t="s">
        <v>5992</v>
      </c>
      <c r="HJG1" t="s">
        <v>5993</v>
      </c>
      <c r="HJH1" t="s">
        <v>5994</v>
      </c>
      <c r="HJI1" t="s">
        <v>5995</v>
      </c>
      <c r="HJJ1" t="s">
        <v>5996</v>
      </c>
      <c r="HJK1" t="s">
        <v>5997</v>
      </c>
      <c r="HJL1" t="s">
        <v>5998</v>
      </c>
      <c r="HJM1" t="s">
        <v>5999</v>
      </c>
      <c r="HJN1" t="s">
        <v>6000</v>
      </c>
      <c r="HJO1" t="s">
        <v>6001</v>
      </c>
      <c r="HJP1" t="s">
        <v>6002</v>
      </c>
      <c r="HJQ1" t="s">
        <v>6003</v>
      </c>
      <c r="HJR1" t="s">
        <v>6004</v>
      </c>
      <c r="HJS1" t="s">
        <v>6005</v>
      </c>
      <c r="HJT1" t="s">
        <v>6006</v>
      </c>
      <c r="HJU1" t="s">
        <v>6007</v>
      </c>
      <c r="HJV1" t="s">
        <v>6008</v>
      </c>
      <c r="HJW1" t="s">
        <v>6009</v>
      </c>
      <c r="HJX1" t="s">
        <v>6010</v>
      </c>
      <c r="HJY1" t="s">
        <v>6011</v>
      </c>
      <c r="HJZ1" t="s">
        <v>6012</v>
      </c>
      <c r="HKA1" t="s">
        <v>6013</v>
      </c>
      <c r="HKB1" t="s">
        <v>6014</v>
      </c>
      <c r="HKC1" t="s">
        <v>6015</v>
      </c>
      <c r="HKD1" t="s">
        <v>6016</v>
      </c>
      <c r="HKE1" t="s">
        <v>6017</v>
      </c>
      <c r="HKF1" t="s">
        <v>6018</v>
      </c>
      <c r="HKG1" t="s">
        <v>6019</v>
      </c>
      <c r="HKH1" t="s">
        <v>6020</v>
      </c>
      <c r="HKI1" t="s">
        <v>6021</v>
      </c>
      <c r="HKJ1" t="s">
        <v>6022</v>
      </c>
      <c r="HKK1" t="s">
        <v>6023</v>
      </c>
      <c r="HKL1" t="s">
        <v>6024</v>
      </c>
      <c r="HKM1" t="s">
        <v>6025</v>
      </c>
      <c r="HKN1" t="s">
        <v>6026</v>
      </c>
      <c r="HKO1" t="s">
        <v>6027</v>
      </c>
      <c r="HKP1" t="s">
        <v>6028</v>
      </c>
      <c r="HKQ1" t="s">
        <v>6029</v>
      </c>
      <c r="HKR1" t="s">
        <v>6030</v>
      </c>
      <c r="HKS1" t="s">
        <v>6031</v>
      </c>
      <c r="HKT1" t="s">
        <v>6032</v>
      </c>
      <c r="HKU1" t="s">
        <v>6033</v>
      </c>
      <c r="HKV1" t="s">
        <v>6034</v>
      </c>
      <c r="HKW1" t="s">
        <v>6035</v>
      </c>
      <c r="HKX1" t="s">
        <v>6036</v>
      </c>
      <c r="HKY1" t="s">
        <v>6037</v>
      </c>
      <c r="HKZ1" t="s">
        <v>6038</v>
      </c>
      <c r="HLA1" t="s">
        <v>6039</v>
      </c>
      <c r="HLB1" t="s">
        <v>6040</v>
      </c>
      <c r="HLC1" t="s">
        <v>6041</v>
      </c>
      <c r="HLD1" t="s">
        <v>6042</v>
      </c>
      <c r="HLE1" t="s">
        <v>6043</v>
      </c>
      <c r="HLF1" t="s">
        <v>6044</v>
      </c>
      <c r="HLG1" t="s">
        <v>6045</v>
      </c>
      <c r="HLH1" t="s">
        <v>6046</v>
      </c>
      <c r="HLI1" t="s">
        <v>6047</v>
      </c>
      <c r="HLJ1" t="s">
        <v>6048</v>
      </c>
      <c r="HLK1" t="s">
        <v>6049</v>
      </c>
      <c r="HLL1" t="s">
        <v>6050</v>
      </c>
      <c r="HLM1" t="s">
        <v>6051</v>
      </c>
      <c r="HLN1" t="s">
        <v>6052</v>
      </c>
      <c r="HLO1" t="s">
        <v>6053</v>
      </c>
      <c r="HLP1" t="s">
        <v>6054</v>
      </c>
      <c r="HLQ1" t="s">
        <v>6055</v>
      </c>
      <c r="HLR1" t="s">
        <v>6056</v>
      </c>
      <c r="HLS1" t="s">
        <v>6057</v>
      </c>
      <c r="HLT1" t="s">
        <v>6058</v>
      </c>
      <c r="HLU1" t="s">
        <v>6059</v>
      </c>
      <c r="HLV1" t="s">
        <v>6060</v>
      </c>
      <c r="HLW1" t="s">
        <v>6061</v>
      </c>
      <c r="HLX1" t="s">
        <v>6062</v>
      </c>
      <c r="HLY1" t="s">
        <v>6063</v>
      </c>
      <c r="HLZ1" t="s">
        <v>6064</v>
      </c>
      <c r="HMA1" t="s">
        <v>6065</v>
      </c>
      <c r="HMB1" t="s">
        <v>6066</v>
      </c>
      <c r="HMC1" t="s">
        <v>6067</v>
      </c>
      <c r="HMD1" t="s">
        <v>6068</v>
      </c>
      <c r="HME1" t="s">
        <v>6069</v>
      </c>
      <c r="HMF1" t="s">
        <v>6070</v>
      </c>
      <c r="HMG1" t="s">
        <v>6071</v>
      </c>
      <c r="HMH1" t="s">
        <v>6072</v>
      </c>
      <c r="HMI1" t="s">
        <v>6073</v>
      </c>
      <c r="HMJ1" t="s">
        <v>6074</v>
      </c>
      <c r="HMK1" t="s">
        <v>6075</v>
      </c>
      <c r="HML1" t="s">
        <v>6076</v>
      </c>
      <c r="HMM1" t="s">
        <v>6077</v>
      </c>
      <c r="HMN1" t="s">
        <v>6078</v>
      </c>
      <c r="HMO1" t="s">
        <v>6079</v>
      </c>
      <c r="HMP1" t="s">
        <v>6080</v>
      </c>
      <c r="HMQ1" t="s">
        <v>6081</v>
      </c>
      <c r="HMR1" t="s">
        <v>6082</v>
      </c>
      <c r="HMS1" t="s">
        <v>6083</v>
      </c>
      <c r="HMT1" t="s">
        <v>6084</v>
      </c>
      <c r="HMU1" t="s">
        <v>6085</v>
      </c>
      <c r="HMV1" t="s">
        <v>6086</v>
      </c>
      <c r="HMW1" t="s">
        <v>6087</v>
      </c>
      <c r="HMX1" t="s">
        <v>6088</v>
      </c>
      <c r="HMY1" t="s">
        <v>6089</v>
      </c>
      <c r="HMZ1" t="s">
        <v>6090</v>
      </c>
      <c r="HNA1" t="s">
        <v>6091</v>
      </c>
      <c r="HNB1" t="s">
        <v>6092</v>
      </c>
      <c r="HNC1" t="s">
        <v>6093</v>
      </c>
      <c r="HND1" t="s">
        <v>6094</v>
      </c>
      <c r="HNE1" t="s">
        <v>6095</v>
      </c>
      <c r="HNF1" t="s">
        <v>6096</v>
      </c>
      <c r="HNG1" t="s">
        <v>6097</v>
      </c>
      <c r="HNH1" t="s">
        <v>6098</v>
      </c>
      <c r="HNI1" t="s">
        <v>6099</v>
      </c>
      <c r="HNJ1" t="s">
        <v>6100</v>
      </c>
      <c r="HNK1" t="s">
        <v>6101</v>
      </c>
      <c r="HNL1" t="s">
        <v>6102</v>
      </c>
      <c r="HNM1" t="s">
        <v>6103</v>
      </c>
      <c r="HNN1" t="s">
        <v>6104</v>
      </c>
      <c r="HNO1" t="s">
        <v>6105</v>
      </c>
      <c r="HNP1" t="s">
        <v>6106</v>
      </c>
      <c r="HNQ1" t="s">
        <v>6107</v>
      </c>
      <c r="HNR1" t="s">
        <v>6108</v>
      </c>
      <c r="HNS1" t="s">
        <v>6109</v>
      </c>
      <c r="HNT1" t="s">
        <v>6110</v>
      </c>
      <c r="HNU1" t="s">
        <v>6111</v>
      </c>
      <c r="HNV1" t="s">
        <v>6112</v>
      </c>
      <c r="HNW1" t="s">
        <v>6113</v>
      </c>
      <c r="HNX1" t="s">
        <v>6114</v>
      </c>
      <c r="HNY1" t="s">
        <v>6115</v>
      </c>
      <c r="HNZ1" t="s">
        <v>6116</v>
      </c>
      <c r="HOA1" t="s">
        <v>6117</v>
      </c>
      <c r="HOB1" t="s">
        <v>6118</v>
      </c>
      <c r="HOC1" t="s">
        <v>6119</v>
      </c>
      <c r="HOD1" t="s">
        <v>6120</v>
      </c>
      <c r="HOE1" t="s">
        <v>6121</v>
      </c>
      <c r="HOF1" t="s">
        <v>6122</v>
      </c>
      <c r="HOG1" t="s">
        <v>6123</v>
      </c>
      <c r="HOH1" t="s">
        <v>6124</v>
      </c>
      <c r="HOI1" t="s">
        <v>6125</v>
      </c>
      <c r="HOJ1" t="s">
        <v>6126</v>
      </c>
      <c r="HOK1" t="s">
        <v>6127</v>
      </c>
      <c r="HOL1" t="s">
        <v>6128</v>
      </c>
      <c r="HOM1" t="s">
        <v>6129</v>
      </c>
      <c r="HON1" t="s">
        <v>6130</v>
      </c>
      <c r="HOO1" t="s">
        <v>6131</v>
      </c>
      <c r="HOP1" t="s">
        <v>6132</v>
      </c>
      <c r="HOQ1" t="s">
        <v>6133</v>
      </c>
      <c r="HOR1" t="s">
        <v>6134</v>
      </c>
      <c r="HOS1" t="s">
        <v>6135</v>
      </c>
      <c r="HOT1" t="s">
        <v>6136</v>
      </c>
      <c r="HOU1" t="s">
        <v>6137</v>
      </c>
      <c r="HOV1" t="s">
        <v>6138</v>
      </c>
      <c r="HOW1" t="s">
        <v>6139</v>
      </c>
      <c r="HOX1" t="s">
        <v>6140</v>
      </c>
      <c r="HOY1" t="s">
        <v>6141</v>
      </c>
      <c r="HOZ1" t="s">
        <v>6142</v>
      </c>
      <c r="HPA1" t="s">
        <v>6143</v>
      </c>
      <c r="HPB1" t="s">
        <v>6144</v>
      </c>
      <c r="HPC1" t="s">
        <v>6145</v>
      </c>
      <c r="HPD1" t="s">
        <v>6146</v>
      </c>
      <c r="HPE1" t="s">
        <v>6147</v>
      </c>
      <c r="HPF1" t="s">
        <v>6148</v>
      </c>
      <c r="HPG1" t="s">
        <v>6149</v>
      </c>
      <c r="HPH1" t="s">
        <v>6150</v>
      </c>
      <c r="HPI1" t="s">
        <v>6151</v>
      </c>
      <c r="HPJ1" t="s">
        <v>6152</v>
      </c>
      <c r="HPK1" t="s">
        <v>6153</v>
      </c>
      <c r="HPL1" t="s">
        <v>6154</v>
      </c>
      <c r="HPM1" t="s">
        <v>6155</v>
      </c>
      <c r="HPN1" t="s">
        <v>6156</v>
      </c>
      <c r="HPO1" t="s">
        <v>6157</v>
      </c>
      <c r="HPP1" t="s">
        <v>6158</v>
      </c>
      <c r="HPQ1" t="s">
        <v>6159</v>
      </c>
      <c r="HPR1" t="s">
        <v>6160</v>
      </c>
      <c r="HPS1" t="s">
        <v>6161</v>
      </c>
      <c r="HPT1" t="s">
        <v>6162</v>
      </c>
      <c r="HPU1" t="s">
        <v>6163</v>
      </c>
      <c r="HPV1" t="s">
        <v>6164</v>
      </c>
      <c r="HPW1" t="s">
        <v>6165</v>
      </c>
      <c r="HPX1" t="s">
        <v>6166</v>
      </c>
      <c r="HPY1" t="s">
        <v>6167</v>
      </c>
      <c r="HPZ1" t="s">
        <v>6168</v>
      </c>
      <c r="HQA1" t="s">
        <v>6169</v>
      </c>
      <c r="HQB1" t="s">
        <v>6170</v>
      </c>
      <c r="HQC1" t="s">
        <v>6171</v>
      </c>
      <c r="HQD1" t="s">
        <v>6172</v>
      </c>
      <c r="HQE1" t="s">
        <v>6173</v>
      </c>
      <c r="HQF1" t="s">
        <v>6174</v>
      </c>
      <c r="HQG1" t="s">
        <v>6175</v>
      </c>
      <c r="HQH1" t="s">
        <v>6176</v>
      </c>
      <c r="HQI1" t="s">
        <v>6177</v>
      </c>
      <c r="HQJ1" t="s">
        <v>6178</v>
      </c>
      <c r="HQK1" t="s">
        <v>6179</v>
      </c>
      <c r="HQL1" t="s">
        <v>6180</v>
      </c>
      <c r="HQM1" t="s">
        <v>6181</v>
      </c>
      <c r="HQN1" t="s">
        <v>6182</v>
      </c>
      <c r="HQO1" t="s">
        <v>6183</v>
      </c>
      <c r="HQP1" t="s">
        <v>6184</v>
      </c>
      <c r="HQQ1" t="s">
        <v>6185</v>
      </c>
      <c r="HQR1" t="s">
        <v>6186</v>
      </c>
      <c r="HQS1" t="s">
        <v>6187</v>
      </c>
      <c r="HQT1" t="s">
        <v>6188</v>
      </c>
      <c r="HQU1" t="s">
        <v>6189</v>
      </c>
      <c r="HQV1" t="s">
        <v>6190</v>
      </c>
      <c r="HQW1" t="s">
        <v>6191</v>
      </c>
      <c r="HQX1" t="s">
        <v>6192</v>
      </c>
      <c r="HQY1" t="s">
        <v>6193</v>
      </c>
      <c r="HQZ1" t="s">
        <v>6194</v>
      </c>
      <c r="HRA1" t="s">
        <v>6195</v>
      </c>
      <c r="HRB1" t="s">
        <v>6196</v>
      </c>
      <c r="HRC1" t="s">
        <v>6197</v>
      </c>
      <c r="HRD1" t="s">
        <v>6198</v>
      </c>
      <c r="HRE1" t="s">
        <v>6199</v>
      </c>
      <c r="HRF1" t="s">
        <v>6200</v>
      </c>
      <c r="HRG1" t="s">
        <v>6201</v>
      </c>
      <c r="HRH1" t="s">
        <v>6202</v>
      </c>
      <c r="HRI1" t="s">
        <v>6203</v>
      </c>
      <c r="HRJ1" t="s">
        <v>6204</v>
      </c>
      <c r="HRK1" t="s">
        <v>6205</v>
      </c>
      <c r="HRL1" t="s">
        <v>6206</v>
      </c>
      <c r="HRM1" t="s">
        <v>6207</v>
      </c>
      <c r="HRN1" t="s">
        <v>6208</v>
      </c>
      <c r="HRO1" t="s">
        <v>6209</v>
      </c>
      <c r="HRP1" t="s">
        <v>6210</v>
      </c>
      <c r="HRQ1" t="s">
        <v>6211</v>
      </c>
      <c r="HRR1" t="s">
        <v>6212</v>
      </c>
      <c r="HRS1" t="s">
        <v>6213</v>
      </c>
      <c r="HRT1" t="s">
        <v>6214</v>
      </c>
      <c r="HRU1" t="s">
        <v>6215</v>
      </c>
      <c r="HRV1" t="s">
        <v>6216</v>
      </c>
      <c r="HRW1" t="s">
        <v>6217</v>
      </c>
      <c r="HRX1" t="s">
        <v>6218</v>
      </c>
      <c r="HRY1" t="s">
        <v>6219</v>
      </c>
      <c r="HRZ1" t="s">
        <v>6220</v>
      </c>
      <c r="HSA1" t="s">
        <v>6221</v>
      </c>
      <c r="HSB1" t="s">
        <v>6222</v>
      </c>
      <c r="HSC1" t="s">
        <v>6223</v>
      </c>
      <c r="HSD1" t="s">
        <v>6224</v>
      </c>
      <c r="HSE1" t="s">
        <v>6225</v>
      </c>
      <c r="HSF1" t="s">
        <v>6226</v>
      </c>
      <c r="HSG1" t="s">
        <v>6227</v>
      </c>
      <c r="HSH1" t="s">
        <v>6228</v>
      </c>
      <c r="HSI1" t="s">
        <v>6229</v>
      </c>
      <c r="HSJ1" t="s">
        <v>6230</v>
      </c>
      <c r="HSK1" t="s">
        <v>6231</v>
      </c>
      <c r="HSL1" t="s">
        <v>6232</v>
      </c>
      <c r="HSM1" t="s">
        <v>6233</v>
      </c>
      <c r="HSN1" t="s">
        <v>6234</v>
      </c>
      <c r="HSO1" t="s">
        <v>6235</v>
      </c>
      <c r="HSP1" t="s">
        <v>6236</v>
      </c>
      <c r="HSQ1" t="s">
        <v>6237</v>
      </c>
      <c r="HSR1" t="s">
        <v>6238</v>
      </c>
      <c r="HSS1" t="s">
        <v>6239</v>
      </c>
      <c r="HST1" t="s">
        <v>6240</v>
      </c>
      <c r="HSU1" t="s">
        <v>6241</v>
      </c>
      <c r="HSV1" t="s">
        <v>6242</v>
      </c>
      <c r="HSW1" t="s">
        <v>6243</v>
      </c>
      <c r="HSX1" t="s">
        <v>6244</v>
      </c>
      <c r="HSY1" t="s">
        <v>6245</v>
      </c>
      <c r="HSZ1" t="s">
        <v>6246</v>
      </c>
      <c r="HTA1" t="s">
        <v>6247</v>
      </c>
      <c r="HTB1" t="s">
        <v>6248</v>
      </c>
      <c r="HTC1" t="s">
        <v>6249</v>
      </c>
      <c r="HTD1" t="s">
        <v>6250</v>
      </c>
      <c r="HTE1" t="s">
        <v>6251</v>
      </c>
      <c r="HTF1" t="s">
        <v>6252</v>
      </c>
      <c r="HTG1" t="s">
        <v>6253</v>
      </c>
      <c r="HTH1" t="s">
        <v>6254</v>
      </c>
      <c r="HTI1" t="s">
        <v>6255</v>
      </c>
      <c r="HTJ1" t="s">
        <v>6256</v>
      </c>
      <c r="HTK1" t="s">
        <v>6257</v>
      </c>
      <c r="HTL1" t="s">
        <v>6258</v>
      </c>
      <c r="HTM1" t="s">
        <v>6259</v>
      </c>
      <c r="HTN1" t="s">
        <v>6260</v>
      </c>
      <c r="HTO1" t="s">
        <v>6261</v>
      </c>
      <c r="HTP1" t="s">
        <v>6262</v>
      </c>
      <c r="HTQ1" t="s">
        <v>6263</v>
      </c>
      <c r="HTR1" t="s">
        <v>6264</v>
      </c>
      <c r="HTS1" t="s">
        <v>6265</v>
      </c>
      <c r="HTT1" t="s">
        <v>6266</v>
      </c>
      <c r="HTU1" t="s">
        <v>6267</v>
      </c>
      <c r="HTV1" t="s">
        <v>6268</v>
      </c>
      <c r="HTW1" t="s">
        <v>6269</v>
      </c>
      <c r="HTX1" t="s">
        <v>6270</v>
      </c>
      <c r="HTY1" t="s">
        <v>6271</v>
      </c>
      <c r="HTZ1" t="s">
        <v>6272</v>
      </c>
      <c r="HUA1" t="s">
        <v>6273</v>
      </c>
      <c r="HUB1" t="s">
        <v>6274</v>
      </c>
      <c r="HUC1" t="s">
        <v>6275</v>
      </c>
      <c r="HUD1" t="s">
        <v>6276</v>
      </c>
      <c r="HUE1" t="s">
        <v>6277</v>
      </c>
      <c r="HUF1" t="s">
        <v>6278</v>
      </c>
      <c r="HUG1" t="s">
        <v>6279</v>
      </c>
      <c r="HUH1" t="s">
        <v>6280</v>
      </c>
      <c r="HUI1" t="s">
        <v>6281</v>
      </c>
      <c r="HUJ1" t="s">
        <v>6282</v>
      </c>
      <c r="HUK1" t="s">
        <v>6283</v>
      </c>
      <c r="HUL1" t="s">
        <v>6284</v>
      </c>
      <c r="HUM1" t="s">
        <v>6285</v>
      </c>
      <c r="HUN1" t="s">
        <v>6286</v>
      </c>
      <c r="HUO1" t="s">
        <v>6287</v>
      </c>
      <c r="HUP1" t="s">
        <v>6288</v>
      </c>
      <c r="HUQ1" t="s">
        <v>6289</v>
      </c>
      <c r="HUR1" t="s">
        <v>6290</v>
      </c>
      <c r="HUS1" t="s">
        <v>6291</v>
      </c>
      <c r="HUT1" t="s">
        <v>6292</v>
      </c>
      <c r="HUU1" t="s">
        <v>6293</v>
      </c>
      <c r="HUV1" t="s">
        <v>6294</v>
      </c>
      <c r="HUW1" t="s">
        <v>6295</v>
      </c>
      <c r="HUX1" t="s">
        <v>6296</v>
      </c>
      <c r="HUY1" t="s">
        <v>6297</v>
      </c>
      <c r="HUZ1" t="s">
        <v>6298</v>
      </c>
      <c r="HVA1" t="s">
        <v>6299</v>
      </c>
      <c r="HVB1" t="s">
        <v>6300</v>
      </c>
      <c r="HVC1" t="s">
        <v>6301</v>
      </c>
      <c r="HVD1" t="s">
        <v>6302</v>
      </c>
      <c r="HVE1" t="s">
        <v>6303</v>
      </c>
      <c r="HVF1" t="s">
        <v>6304</v>
      </c>
      <c r="HVG1" t="s">
        <v>6305</v>
      </c>
      <c r="HVH1" t="s">
        <v>6306</v>
      </c>
      <c r="HVI1" t="s">
        <v>6307</v>
      </c>
      <c r="HVJ1" t="s">
        <v>6308</v>
      </c>
      <c r="HVK1" t="s">
        <v>6309</v>
      </c>
      <c r="HVL1" t="s">
        <v>6310</v>
      </c>
      <c r="HVM1" t="s">
        <v>6311</v>
      </c>
      <c r="HVN1" t="s">
        <v>6312</v>
      </c>
      <c r="HVO1" t="s">
        <v>6313</v>
      </c>
      <c r="HVP1" t="s">
        <v>6314</v>
      </c>
      <c r="HVQ1" t="s">
        <v>6315</v>
      </c>
      <c r="HVR1" t="s">
        <v>6316</v>
      </c>
      <c r="HVS1" t="s">
        <v>6317</v>
      </c>
      <c r="HVT1" t="s">
        <v>6318</v>
      </c>
      <c r="HVU1" t="s">
        <v>6319</v>
      </c>
      <c r="HVV1" t="s">
        <v>6320</v>
      </c>
      <c r="HVW1" t="s">
        <v>6321</v>
      </c>
      <c r="HVX1" t="s">
        <v>6322</v>
      </c>
      <c r="HVY1" t="s">
        <v>6323</v>
      </c>
      <c r="HVZ1" t="s">
        <v>6324</v>
      </c>
      <c r="HWA1" t="s">
        <v>6325</v>
      </c>
      <c r="HWB1" t="s">
        <v>6326</v>
      </c>
      <c r="HWC1" t="s">
        <v>6327</v>
      </c>
      <c r="HWD1" t="s">
        <v>6328</v>
      </c>
      <c r="HWE1" t="s">
        <v>6329</v>
      </c>
      <c r="HWF1" t="s">
        <v>6330</v>
      </c>
      <c r="HWG1" t="s">
        <v>6331</v>
      </c>
      <c r="HWH1" t="s">
        <v>6332</v>
      </c>
      <c r="HWI1" t="s">
        <v>6333</v>
      </c>
      <c r="HWJ1" t="s">
        <v>6334</v>
      </c>
      <c r="HWK1" t="s">
        <v>6335</v>
      </c>
      <c r="HWL1" t="s">
        <v>6336</v>
      </c>
      <c r="HWM1" t="s">
        <v>6337</v>
      </c>
      <c r="HWN1" t="s">
        <v>6338</v>
      </c>
      <c r="HWO1" t="s">
        <v>6339</v>
      </c>
      <c r="HWP1" t="s">
        <v>6340</v>
      </c>
      <c r="HWQ1" t="s">
        <v>6341</v>
      </c>
      <c r="HWR1" t="s">
        <v>6342</v>
      </c>
      <c r="HWS1" t="s">
        <v>6343</v>
      </c>
      <c r="HWT1" t="s">
        <v>6344</v>
      </c>
      <c r="HWU1" t="s">
        <v>6345</v>
      </c>
      <c r="HWV1" t="s">
        <v>6346</v>
      </c>
      <c r="HWW1" t="s">
        <v>6347</v>
      </c>
      <c r="HWX1" t="s">
        <v>6348</v>
      </c>
      <c r="HWY1" t="s">
        <v>6349</v>
      </c>
      <c r="HWZ1" t="s">
        <v>6350</v>
      </c>
      <c r="HXA1" t="s">
        <v>6351</v>
      </c>
      <c r="HXB1" t="s">
        <v>6352</v>
      </c>
      <c r="HXC1" t="s">
        <v>6353</v>
      </c>
      <c r="HXD1" t="s">
        <v>6354</v>
      </c>
      <c r="HXE1" t="s">
        <v>6355</v>
      </c>
      <c r="HXF1" t="s">
        <v>6356</v>
      </c>
      <c r="HXG1" t="s">
        <v>6357</v>
      </c>
      <c r="HXH1" t="s">
        <v>6358</v>
      </c>
      <c r="HXI1" t="s">
        <v>6359</v>
      </c>
      <c r="HXJ1" t="s">
        <v>6360</v>
      </c>
      <c r="HXK1" t="s">
        <v>6361</v>
      </c>
      <c r="HXL1" t="s">
        <v>6362</v>
      </c>
      <c r="HXM1" t="s">
        <v>6363</v>
      </c>
      <c r="HXN1" t="s">
        <v>6364</v>
      </c>
      <c r="HXO1" t="s">
        <v>6365</v>
      </c>
      <c r="HXP1" t="s">
        <v>6366</v>
      </c>
      <c r="HXQ1" t="s">
        <v>6367</v>
      </c>
      <c r="HXR1" t="s">
        <v>6368</v>
      </c>
      <c r="HXS1" t="s">
        <v>6369</v>
      </c>
      <c r="HXT1" t="s">
        <v>6370</v>
      </c>
      <c r="HXU1" t="s">
        <v>6371</v>
      </c>
      <c r="HXV1" t="s">
        <v>6372</v>
      </c>
      <c r="HXW1" t="s">
        <v>6373</v>
      </c>
      <c r="HXX1" t="s">
        <v>6374</v>
      </c>
      <c r="HXY1" t="s">
        <v>6375</v>
      </c>
      <c r="HXZ1" t="s">
        <v>6376</v>
      </c>
      <c r="HYA1" t="s">
        <v>6377</v>
      </c>
      <c r="HYB1" t="s">
        <v>6378</v>
      </c>
      <c r="HYC1" t="s">
        <v>6379</v>
      </c>
      <c r="HYD1" t="s">
        <v>6380</v>
      </c>
      <c r="HYE1" t="s">
        <v>6381</v>
      </c>
      <c r="HYF1" t="s">
        <v>6382</v>
      </c>
      <c r="HYG1" t="s">
        <v>6383</v>
      </c>
      <c r="HYH1" t="s">
        <v>6384</v>
      </c>
      <c r="HYI1" t="s">
        <v>6385</v>
      </c>
      <c r="HYJ1" t="s">
        <v>6386</v>
      </c>
      <c r="HYK1" t="s">
        <v>6387</v>
      </c>
      <c r="HYL1" t="s">
        <v>6388</v>
      </c>
      <c r="HYM1" t="s">
        <v>6389</v>
      </c>
      <c r="HYN1" t="s">
        <v>6390</v>
      </c>
      <c r="HYO1" t="s">
        <v>6391</v>
      </c>
      <c r="HYP1" t="s">
        <v>6392</v>
      </c>
      <c r="HYQ1" t="s">
        <v>6393</v>
      </c>
      <c r="HYR1" t="s">
        <v>6394</v>
      </c>
      <c r="HYS1" t="s">
        <v>6395</v>
      </c>
      <c r="HYT1" t="s">
        <v>6396</v>
      </c>
      <c r="HYU1" t="s">
        <v>6397</v>
      </c>
      <c r="HYV1" t="s">
        <v>6398</v>
      </c>
      <c r="HYW1" t="s">
        <v>6399</v>
      </c>
      <c r="HYX1" t="s">
        <v>6400</v>
      </c>
      <c r="HYY1" t="s">
        <v>6401</v>
      </c>
      <c r="HYZ1" t="s">
        <v>6402</v>
      </c>
      <c r="HZA1" t="s">
        <v>6403</v>
      </c>
      <c r="HZB1" t="s">
        <v>6404</v>
      </c>
      <c r="HZC1" t="s">
        <v>6405</v>
      </c>
      <c r="HZD1" t="s">
        <v>6406</v>
      </c>
      <c r="HZE1" t="s">
        <v>6407</v>
      </c>
      <c r="HZF1" t="s">
        <v>6408</v>
      </c>
      <c r="HZG1" t="s">
        <v>6409</v>
      </c>
      <c r="HZH1" t="s">
        <v>6410</v>
      </c>
      <c r="HZI1" t="s">
        <v>6411</v>
      </c>
      <c r="HZJ1" t="s">
        <v>6412</v>
      </c>
      <c r="HZK1" t="s">
        <v>6413</v>
      </c>
      <c r="HZL1" t="s">
        <v>6414</v>
      </c>
      <c r="HZM1" t="s">
        <v>6415</v>
      </c>
      <c r="HZN1" t="s">
        <v>6416</v>
      </c>
      <c r="HZO1" t="s">
        <v>6417</v>
      </c>
      <c r="HZP1" t="s">
        <v>6418</v>
      </c>
      <c r="HZQ1" t="s">
        <v>6419</v>
      </c>
      <c r="HZR1" t="s">
        <v>6420</v>
      </c>
      <c r="HZS1" t="s">
        <v>6421</v>
      </c>
      <c r="HZT1" t="s">
        <v>6422</v>
      </c>
      <c r="HZU1" t="s">
        <v>6423</v>
      </c>
      <c r="HZV1" t="s">
        <v>6424</v>
      </c>
      <c r="HZW1" t="s">
        <v>6425</v>
      </c>
      <c r="HZX1" t="s">
        <v>6426</v>
      </c>
      <c r="HZY1" t="s">
        <v>6427</v>
      </c>
      <c r="HZZ1" t="s">
        <v>6428</v>
      </c>
      <c r="IAA1" t="s">
        <v>6429</v>
      </c>
      <c r="IAB1" t="s">
        <v>6430</v>
      </c>
      <c r="IAC1" t="s">
        <v>6431</v>
      </c>
      <c r="IAD1" t="s">
        <v>6432</v>
      </c>
      <c r="IAE1" t="s">
        <v>6433</v>
      </c>
      <c r="IAF1" t="s">
        <v>6434</v>
      </c>
      <c r="IAG1" t="s">
        <v>6435</v>
      </c>
      <c r="IAH1" t="s">
        <v>6436</v>
      </c>
      <c r="IAI1" t="s">
        <v>6437</v>
      </c>
      <c r="IAJ1" t="s">
        <v>6438</v>
      </c>
      <c r="IAK1" t="s">
        <v>6439</v>
      </c>
      <c r="IAL1" t="s">
        <v>6440</v>
      </c>
      <c r="IAM1" t="s">
        <v>6441</v>
      </c>
      <c r="IAN1" t="s">
        <v>6442</v>
      </c>
      <c r="IAO1" t="s">
        <v>6443</v>
      </c>
      <c r="IAP1" t="s">
        <v>6444</v>
      </c>
      <c r="IAQ1" t="s">
        <v>6445</v>
      </c>
      <c r="IAR1" t="s">
        <v>6446</v>
      </c>
      <c r="IAS1" t="s">
        <v>6447</v>
      </c>
      <c r="IAT1" t="s">
        <v>6448</v>
      </c>
      <c r="IAU1" t="s">
        <v>6449</v>
      </c>
      <c r="IAV1" t="s">
        <v>6450</v>
      </c>
      <c r="IAW1" t="s">
        <v>6451</v>
      </c>
      <c r="IAX1" t="s">
        <v>6452</v>
      </c>
      <c r="IAY1" t="s">
        <v>6453</v>
      </c>
      <c r="IAZ1" t="s">
        <v>6454</v>
      </c>
      <c r="IBA1" t="s">
        <v>6455</v>
      </c>
      <c r="IBB1" t="s">
        <v>6456</v>
      </c>
      <c r="IBC1" t="s">
        <v>6457</v>
      </c>
      <c r="IBD1" t="s">
        <v>6458</v>
      </c>
      <c r="IBE1" t="s">
        <v>6459</v>
      </c>
      <c r="IBF1" t="s">
        <v>6460</v>
      </c>
      <c r="IBG1" t="s">
        <v>6461</v>
      </c>
      <c r="IBH1" t="s">
        <v>6462</v>
      </c>
      <c r="IBI1" t="s">
        <v>6463</v>
      </c>
      <c r="IBJ1" t="s">
        <v>6464</v>
      </c>
      <c r="IBK1" t="s">
        <v>6465</v>
      </c>
      <c r="IBL1" t="s">
        <v>6466</v>
      </c>
      <c r="IBM1" t="s">
        <v>6467</v>
      </c>
      <c r="IBN1" t="s">
        <v>6468</v>
      </c>
      <c r="IBO1" t="s">
        <v>6469</v>
      </c>
      <c r="IBP1" t="s">
        <v>6470</v>
      </c>
      <c r="IBQ1" t="s">
        <v>6471</v>
      </c>
      <c r="IBR1" t="s">
        <v>6472</v>
      </c>
      <c r="IBS1" t="s">
        <v>6473</v>
      </c>
      <c r="IBT1" t="s">
        <v>6474</v>
      </c>
      <c r="IBU1" t="s">
        <v>6475</v>
      </c>
      <c r="IBV1" t="s">
        <v>6476</v>
      </c>
      <c r="IBW1" t="s">
        <v>6477</v>
      </c>
      <c r="IBX1" t="s">
        <v>6478</v>
      </c>
      <c r="IBY1" t="s">
        <v>6479</v>
      </c>
      <c r="IBZ1" t="s">
        <v>6480</v>
      </c>
      <c r="ICA1" t="s">
        <v>6481</v>
      </c>
      <c r="ICB1" t="s">
        <v>6482</v>
      </c>
      <c r="ICC1" t="s">
        <v>6483</v>
      </c>
      <c r="ICD1" t="s">
        <v>6484</v>
      </c>
      <c r="ICE1" t="s">
        <v>6485</v>
      </c>
      <c r="ICF1" t="s">
        <v>6486</v>
      </c>
      <c r="ICG1" t="s">
        <v>6487</v>
      </c>
      <c r="ICH1" t="s">
        <v>6488</v>
      </c>
      <c r="ICI1" t="s">
        <v>6489</v>
      </c>
      <c r="ICJ1" t="s">
        <v>6490</v>
      </c>
      <c r="ICK1" t="s">
        <v>6491</v>
      </c>
      <c r="ICL1" t="s">
        <v>6492</v>
      </c>
      <c r="ICM1" t="s">
        <v>6493</v>
      </c>
      <c r="ICN1" t="s">
        <v>6494</v>
      </c>
      <c r="ICO1" t="s">
        <v>6495</v>
      </c>
      <c r="ICP1" t="s">
        <v>6496</v>
      </c>
      <c r="ICQ1" t="s">
        <v>6497</v>
      </c>
      <c r="ICR1" t="s">
        <v>6498</v>
      </c>
      <c r="ICS1" t="s">
        <v>6499</v>
      </c>
      <c r="ICT1" t="s">
        <v>6500</v>
      </c>
      <c r="ICU1" t="s">
        <v>6501</v>
      </c>
      <c r="ICV1" t="s">
        <v>6502</v>
      </c>
      <c r="ICW1" t="s">
        <v>6503</v>
      </c>
      <c r="ICX1" t="s">
        <v>6504</v>
      </c>
      <c r="ICY1" t="s">
        <v>6505</v>
      </c>
      <c r="ICZ1" t="s">
        <v>6506</v>
      </c>
      <c r="IDA1" t="s">
        <v>6507</v>
      </c>
      <c r="IDB1" t="s">
        <v>6508</v>
      </c>
      <c r="IDC1" t="s">
        <v>6509</v>
      </c>
      <c r="IDD1" t="s">
        <v>6510</v>
      </c>
      <c r="IDE1" t="s">
        <v>6511</v>
      </c>
      <c r="IDF1" t="s">
        <v>6512</v>
      </c>
      <c r="IDG1" t="s">
        <v>6513</v>
      </c>
      <c r="IDH1" t="s">
        <v>6514</v>
      </c>
      <c r="IDI1" t="s">
        <v>6515</v>
      </c>
      <c r="IDJ1" t="s">
        <v>6516</v>
      </c>
      <c r="IDK1" t="s">
        <v>6517</v>
      </c>
      <c r="IDL1" t="s">
        <v>6518</v>
      </c>
      <c r="IDM1" t="s">
        <v>6519</v>
      </c>
      <c r="IDN1" t="s">
        <v>6520</v>
      </c>
      <c r="IDO1" t="s">
        <v>6521</v>
      </c>
      <c r="IDP1" t="s">
        <v>6522</v>
      </c>
      <c r="IDQ1" t="s">
        <v>6523</v>
      </c>
      <c r="IDR1" t="s">
        <v>6524</v>
      </c>
      <c r="IDS1" t="s">
        <v>6525</v>
      </c>
      <c r="IDT1" t="s">
        <v>6526</v>
      </c>
      <c r="IDU1" t="s">
        <v>6527</v>
      </c>
      <c r="IDV1" t="s">
        <v>6528</v>
      </c>
      <c r="IDW1" t="s">
        <v>6529</v>
      </c>
      <c r="IDX1" t="s">
        <v>6530</v>
      </c>
      <c r="IDY1" t="s">
        <v>6531</v>
      </c>
      <c r="IDZ1" t="s">
        <v>6532</v>
      </c>
      <c r="IEA1" t="s">
        <v>6533</v>
      </c>
      <c r="IEB1" t="s">
        <v>6534</v>
      </c>
      <c r="IEC1" t="s">
        <v>6535</v>
      </c>
      <c r="IED1" t="s">
        <v>6536</v>
      </c>
      <c r="IEE1" t="s">
        <v>6537</v>
      </c>
      <c r="IEF1" t="s">
        <v>6538</v>
      </c>
      <c r="IEG1" t="s">
        <v>6539</v>
      </c>
      <c r="IEH1" t="s">
        <v>6540</v>
      </c>
      <c r="IEI1" t="s">
        <v>6541</v>
      </c>
      <c r="IEJ1" t="s">
        <v>6542</v>
      </c>
      <c r="IEK1" t="s">
        <v>6543</v>
      </c>
      <c r="IEL1" t="s">
        <v>6544</v>
      </c>
      <c r="IEM1" t="s">
        <v>6545</v>
      </c>
      <c r="IEN1" t="s">
        <v>6546</v>
      </c>
      <c r="IEO1" t="s">
        <v>6547</v>
      </c>
      <c r="IEP1" t="s">
        <v>6548</v>
      </c>
      <c r="IEQ1" t="s">
        <v>6549</v>
      </c>
      <c r="IER1" t="s">
        <v>6550</v>
      </c>
      <c r="IES1" t="s">
        <v>6551</v>
      </c>
      <c r="IET1" t="s">
        <v>6552</v>
      </c>
      <c r="IEU1" t="s">
        <v>6553</v>
      </c>
      <c r="IEV1" t="s">
        <v>6554</v>
      </c>
      <c r="IEW1" t="s">
        <v>6555</v>
      </c>
      <c r="IEX1" t="s">
        <v>6556</v>
      </c>
      <c r="IEY1" t="s">
        <v>6557</v>
      </c>
      <c r="IEZ1" t="s">
        <v>6558</v>
      </c>
      <c r="IFA1" t="s">
        <v>6559</v>
      </c>
      <c r="IFB1" t="s">
        <v>6560</v>
      </c>
      <c r="IFC1" t="s">
        <v>6561</v>
      </c>
      <c r="IFD1" t="s">
        <v>6562</v>
      </c>
      <c r="IFE1" t="s">
        <v>6563</v>
      </c>
      <c r="IFF1" t="s">
        <v>6564</v>
      </c>
      <c r="IFG1" t="s">
        <v>6565</v>
      </c>
      <c r="IFH1" t="s">
        <v>6566</v>
      </c>
      <c r="IFI1" t="s">
        <v>6567</v>
      </c>
      <c r="IFJ1" t="s">
        <v>6568</v>
      </c>
      <c r="IFK1" t="s">
        <v>6569</v>
      </c>
      <c r="IFL1" t="s">
        <v>6570</v>
      </c>
      <c r="IFM1" t="s">
        <v>6571</v>
      </c>
      <c r="IFN1" t="s">
        <v>6572</v>
      </c>
      <c r="IFO1" t="s">
        <v>6573</v>
      </c>
      <c r="IFP1" t="s">
        <v>6574</v>
      </c>
      <c r="IFQ1" t="s">
        <v>6575</v>
      </c>
      <c r="IFR1" t="s">
        <v>6576</v>
      </c>
      <c r="IFS1" t="s">
        <v>6577</v>
      </c>
      <c r="IFT1" t="s">
        <v>6578</v>
      </c>
      <c r="IFU1" t="s">
        <v>6579</v>
      </c>
      <c r="IFV1" t="s">
        <v>6580</v>
      </c>
      <c r="IFW1" t="s">
        <v>6581</v>
      </c>
      <c r="IFX1" t="s">
        <v>6582</v>
      </c>
      <c r="IFY1" t="s">
        <v>6583</v>
      </c>
      <c r="IFZ1" t="s">
        <v>6584</v>
      </c>
      <c r="IGA1" t="s">
        <v>6585</v>
      </c>
      <c r="IGB1" t="s">
        <v>6586</v>
      </c>
      <c r="IGC1" t="s">
        <v>6587</v>
      </c>
      <c r="IGD1" t="s">
        <v>6588</v>
      </c>
      <c r="IGE1" t="s">
        <v>6589</v>
      </c>
      <c r="IGF1" t="s">
        <v>6590</v>
      </c>
      <c r="IGG1" t="s">
        <v>6591</v>
      </c>
      <c r="IGH1" t="s">
        <v>6592</v>
      </c>
      <c r="IGI1" t="s">
        <v>6593</v>
      </c>
      <c r="IGJ1" t="s">
        <v>6594</v>
      </c>
      <c r="IGK1" t="s">
        <v>6595</v>
      </c>
      <c r="IGL1" t="s">
        <v>6596</v>
      </c>
      <c r="IGM1" t="s">
        <v>6597</v>
      </c>
      <c r="IGN1" t="s">
        <v>6598</v>
      </c>
      <c r="IGO1" t="s">
        <v>6599</v>
      </c>
      <c r="IGP1" t="s">
        <v>6600</v>
      </c>
      <c r="IGQ1" t="s">
        <v>6601</v>
      </c>
      <c r="IGR1" t="s">
        <v>6602</v>
      </c>
      <c r="IGS1" t="s">
        <v>6603</v>
      </c>
      <c r="IGT1" t="s">
        <v>6604</v>
      </c>
      <c r="IGU1" t="s">
        <v>6605</v>
      </c>
      <c r="IGV1" t="s">
        <v>6606</v>
      </c>
      <c r="IGW1" t="s">
        <v>6607</v>
      </c>
      <c r="IGX1" t="s">
        <v>6608</v>
      </c>
      <c r="IGY1" t="s">
        <v>6609</v>
      </c>
      <c r="IGZ1" t="s">
        <v>6610</v>
      </c>
      <c r="IHA1" t="s">
        <v>6611</v>
      </c>
      <c r="IHB1" t="s">
        <v>6612</v>
      </c>
      <c r="IHC1" t="s">
        <v>6613</v>
      </c>
      <c r="IHD1" t="s">
        <v>6614</v>
      </c>
      <c r="IHE1" t="s">
        <v>6615</v>
      </c>
      <c r="IHF1" t="s">
        <v>6616</v>
      </c>
      <c r="IHG1" t="s">
        <v>6617</v>
      </c>
      <c r="IHH1" t="s">
        <v>6618</v>
      </c>
      <c r="IHI1" t="s">
        <v>6619</v>
      </c>
      <c r="IHJ1" t="s">
        <v>6620</v>
      </c>
      <c r="IHK1" t="s">
        <v>6621</v>
      </c>
      <c r="IHL1" t="s">
        <v>6622</v>
      </c>
      <c r="IHM1" t="s">
        <v>6623</v>
      </c>
      <c r="IHN1" t="s">
        <v>6624</v>
      </c>
      <c r="IHO1" t="s">
        <v>6625</v>
      </c>
      <c r="IHP1" t="s">
        <v>6626</v>
      </c>
      <c r="IHQ1" t="s">
        <v>6627</v>
      </c>
      <c r="IHR1" t="s">
        <v>6628</v>
      </c>
      <c r="IHS1" t="s">
        <v>6629</v>
      </c>
      <c r="IHT1" t="s">
        <v>6630</v>
      </c>
      <c r="IHU1" t="s">
        <v>6631</v>
      </c>
      <c r="IHV1" t="s">
        <v>6632</v>
      </c>
      <c r="IHW1" t="s">
        <v>6633</v>
      </c>
      <c r="IHX1" t="s">
        <v>6634</v>
      </c>
      <c r="IHY1" t="s">
        <v>6635</v>
      </c>
      <c r="IHZ1" t="s">
        <v>6636</v>
      </c>
      <c r="IIA1" t="s">
        <v>6637</v>
      </c>
      <c r="IIB1" t="s">
        <v>6638</v>
      </c>
      <c r="IIC1" t="s">
        <v>6639</v>
      </c>
      <c r="IID1" t="s">
        <v>6640</v>
      </c>
      <c r="IIE1" t="s">
        <v>6641</v>
      </c>
      <c r="IIF1" t="s">
        <v>6642</v>
      </c>
      <c r="IIG1" t="s">
        <v>6643</v>
      </c>
      <c r="IIH1" t="s">
        <v>6644</v>
      </c>
      <c r="III1" t="s">
        <v>6645</v>
      </c>
      <c r="IIJ1" t="s">
        <v>6646</v>
      </c>
      <c r="IIK1" t="s">
        <v>6647</v>
      </c>
      <c r="IIL1" t="s">
        <v>6648</v>
      </c>
      <c r="IIM1" t="s">
        <v>6649</v>
      </c>
      <c r="IIN1" t="s">
        <v>6650</v>
      </c>
      <c r="IIO1" t="s">
        <v>6651</v>
      </c>
      <c r="IIP1" t="s">
        <v>6652</v>
      </c>
      <c r="IIQ1" t="s">
        <v>6653</v>
      </c>
      <c r="IIR1" t="s">
        <v>6654</v>
      </c>
      <c r="IIS1" t="s">
        <v>6655</v>
      </c>
      <c r="IIT1" t="s">
        <v>6656</v>
      </c>
      <c r="IIU1" t="s">
        <v>6657</v>
      </c>
      <c r="IIV1" t="s">
        <v>6658</v>
      </c>
      <c r="IIW1" t="s">
        <v>6659</v>
      </c>
      <c r="IIX1" t="s">
        <v>6660</v>
      </c>
      <c r="IIY1" t="s">
        <v>6661</v>
      </c>
      <c r="IIZ1" t="s">
        <v>6662</v>
      </c>
      <c r="IJA1" t="s">
        <v>6663</v>
      </c>
      <c r="IJB1" t="s">
        <v>6664</v>
      </c>
      <c r="IJC1" t="s">
        <v>6665</v>
      </c>
      <c r="IJD1" t="s">
        <v>6666</v>
      </c>
      <c r="IJE1" t="s">
        <v>6667</v>
      </c>
      <c r="IJF1" t="s">
        <v>6668</v>
      </c>
      <c r="IJG1" t="s">
        <v>6669</v>
      </c>
      <c r="IJH1" t="s">
        <v>6670</v>
      </c>
      <c r="IJI1" t="s">
        <v>6671</v>
      </c>
      <c r="IJJ1" t="s">
        <v>6672</v>
      </c>
      <c r="IJK1" t="s">
        <v>6673</v>
      </c>
      <c r="IJL1" t="s">
        <v>6674</v>
      </c>
      <c r="IJM1" t="s">
        <v>6675</v>
      </c>
      <c r="IJN1" t="s">
        <v>6676</v>
      </c>
      <c r="IJO1" t="s">
        <v>6677</v>
      </c>
      <c r="IJP1" t="s">
        <v>6678</v>
      </c>
      <c r="IJQ1" t="s">
        <v>6679</v>
      </c>
      <c r="IJR1" t="s">
        <v>6680</v>
      </c>
      <c r="IJS1" t="s">
        <v>6681</v>
      </c>
      <c r="IJT1" t="s">
        <v>6682</v>
      </c>
      <c r="IJU1" t="s">
        <v>6683</v>
      </c>
      <c r="IJV1" t="s">
        <v>6684</v>
      </c>
      <c r="IJW1" t="s">
        <v>6685</v>
      </c>
      <c r="IJX1" t="s">
        <v>6686</v>
      </c>
      <c r="IJY1" t="s">
        <v>6687</v>
      </c>
      <c r="IJZ1" t="s">
        <v>6688</v>
      </c>
      <c r="IKA1" t="s">
        <v>6689</v>
      </c>
      <c r="IKB1" t="s">
        <v>6690</v>
      </c>
      <c r="IKC1" t="s">
        <v>6691</v>
      </c>
      <c r="IKD1" t="s">
        <v>6692</v>
      </c>
      <c r="IKE1" t="s">
        <v>6693</v>
      </c>
      <c r="IKF1" t="s">
        <v>6694</v>
      </c>
      <c r="IKG1" t="s">
        <v>6695</v>
      </c>
      <c r="IKH1" t="s">
        <v>6696</v>
      </c>
      <c r="IKI1" t="s">
        <v>6697</v>
      </c>
      <c r="IKJ1" t="s">
        <v>6698</v>
      </c>
      <c r="IKK1" t="s">
        <v>6699</v>
      </c>
      <c r="IKL1" t="s">
        <v>6700</v>
      </c>
      <c r="IKM1" t="s">
        <v>6701</v>
      </c>
      <c r="IKN1" t="s">
        <v>6702</v>
      </c>
      <c r="IKO1" t="s">
        <v>6703</v>
      </c>
      <c r="IKP1" t="s">
        <v>6704</v>
      </c>
      <c r="IKQ1" t="s">
        <v>6705</v>
      </c>
      <c r="IKR1" t="s">
        <v>6706</v>
      </c>
      <c r="IKS1" t="s">
        <v>6707</v>
      </c>
      <c r="IKT1" t="s">
        <v>6708</v>
      </c>
      <c r="IKU1" t="s">
        <v>6709</v>
      </c>
      <c r="IKV1" t="s">
        <v>6710</v>
      </c>
      <c r="IKW1" t="s">
        <v>6711</v>
      </c>
      <c r="IKX1" t="s">
        <v>6712</v>
      </c>
      <c r="IKY1" t="s">
        <v>6713</v>
      </c>
      <c r="IKZ1" t="s">
        <v>6714</v>
      </c>
      <c r="ILA1" t="s">
        <v>6715</v>
      </c>
      <c r="ILB1" t="s">
        <v>6716</v>
      </c>
      <c r="ILC1" t="s">
        <v>6717</v>
      </c>
      <c r="ILD1" t="s">
        <v>6718</v>
      </c>
      <c r="ILE1" t="s">
        <v>6719</v>
      </c>
      <c r="ILF1" t="s">
        <v>6720</v>
      </c>
      <c r="ILG1" t="s">
        <v>6721</v>
      </c>
      <c r="ILH1" t="s">
        <v>6722</v>
      </c>
      <c r="ILI1" t="s">
        <v>6723</v>
      </c>
      <c r="ILJ1" t="s">
        <v>6724</v>
      </c>
      <c r="ILK1" t="s">
        <v>6725</v>
      </c>
      <c r="ILL1" t="s">
        <v>6726</v>
      </c>
      <c r="ILM1" t="s">
        <v>6727</v>
      </c>
      <c r="ILN1" t="s">
        <v>6728</v>
      </c>
      <c r="ILO1" t="s">
        <v>6729</v>
      </c>
      <c r="ILP1" t="s">
        <v>6730</v>
      </c>
      <c r="ILQ1" t="s">
        <v>6731</v>
      </c>
      <c r="ILR1" t="s">
        <v>6732</v>
      </c>
      <c r="ILS1" t="s">
        <v>6733</v>
      </c>
      <c r="ILT1" t="s">
        <v>6734</v>
      </c>
      <c r="ILU1" t="s">
        <v>6735</v>
      </c>
      <c r="ILV1" t="s">
        <v>6736</v>
      </c>
      <c r="ILW1" t="s">
        <v>6737</v>
      </c>
      <c r="ILX1" t="s">
        <v>6738</v>
      </c>
      <c r="ILY1" t="s">
        <v>6739</v>
      </c>
      <c r="ILZ1" t="s">
        <v>6740</v>
      </c>
      <c r="IMA1" t="s">
        <v>6741</v>
      </c>
      <c r="IMB1" t="s">
        <v>6742</v>
      </c>
      <c r="IMC1" t="s">
        <v>6743</v>
      </c>
      <c r="IMD1" t="s">
        <v>6744</v>
      </c>
      <c r="IME1" t="s">
        <v>6745</v>
      </c>
      <c r="IMF1" t="s">
        <v>6746</v>
      </c>
      <c r="IMG1" t="s">
        <v>6747</v>
      </c>
      <c r="IMH1" t="s">
        <v>6748</v>
      </c>
      <c r="IMI1" t="s">
        <v>6749</v>
      </c>
      <c r="IMJ1" t="s">
        <v>6750</v>
      </c>
      <c r="IMK1" t="s">
        <v>6751</v>
      </c>
      <c r="IML1" t="s">
        <v>6752</v>
      </c>
      <c r="IMM1" t="s">
        <v>6753</v>
      </c>
      <c r="IMN1" t="s">
        <v>6754</v>
      </c>
      <c r="IMO1" t="s">
        <v>6755</v>
      </c>
      <c r="IMP1" t="s">
        <v>6756</v>
      </c>
      <c r="IMQ1" t="s">
        <v>6757</v>
      </c>
      <c r="IMR1" t="s">
        <v>6758</v>
      </c>
      <c r="IMS1" t="s">
        <v>6759</v>
      </c>
      <c r="IMT1" t="s">
        <v>6760</v>
      </c>
      <c r="IMU1" t="s">
        <v>6761</v>
      </c>
      <c r="IMV1" t="s">
        <v>6762</v>
      </c>
      <c r="IMW1" t="s">
        <v>6763</v>
      </c>
      <c r="IMX1" t="s">
        <v>6764</v>
      </c>
      <c r="IMY1" t="s">
        <v>6765</v>
      </c>
      <c r="IMZ1" t="s">
        <v>6766</v>
      </c>
      <c r="INA1" t="s">
        <v>6767</v>
      </c>
      <c r="INB1" t="s">
        <v>6768</v>
      </c>
      <c r="INC1" t="s">
        <v>6769</v>
      </c>
      <c r="IND1" t="s">
        <v>6770</v>
      </c>
      <c r="INE1" t="s">
        <v>6771</v>
      </c>
      <c r="INF1" t="s">
        <v>6772</v>
      </c>
      <c r="ING1" t="s">
        <v>6773</v>
      </c>
      <c r="INH1" t="s">
        <v>6774</v>
      </c>
      <c r="INI1" t="s">
        <v>6775</v>
      </c>
      <c r="INJ1" t="s">
        <v>6776</v>
      </c>
      <c r="INK1" t="s">
        <v>6777</v>
      </c>
      <c r="INL1" t="s">
        <v>6778</v>
      </c>
      <c r="INM1" t="s">
        <v>6779</v>
      </c>
      <c r="INN1" t="s">
        <v>6780</v>
      </c>
      <c r="INO1" t="s">
        <v>6781</v>
      </c>
      <c r="INP1" t="s">
        <v>6782</v>
      </c>
      <c r="INQ1" t="s">
        <v>6783</v>
      </c>
      <c r="INR1" t="s">
        <v>6784</v>
      </c>
      <c r="INS1" t="s">
        <v>6785</v>
      </c>
      <c r="INT1" t="s">
        <v>6786</v>
      </c>
      <c r="INU1" t="s">
        <v>6787</v>
      </c>
      <c r="INV1" t="s">
        <v>6788</v>
      </c>
      <c r="INW1" t="s">
        <v>6789</v>
      </c>
      <c r="INX1" t="s">
        <v>6790</v>
      </c>
      <c r="INY1" t="s">
        <v>6791</v>
      </c>
      <c r="INZ1" t="s">
        <v>6792</v>
      </c>
      <c r="IOA1" t="s">
        <v>6793</v>
      </c>
      <c r="IOB1" t="s">
        <v>6794</v>
      </c>
      <c r="IOC1" t="s">
        <v>6795</v>
      </c>
      <c r="IOD1" t="s">
        <v>6796</v>
      </c>
      <c r="IOE1" t="s">
        <v>6797</v>
      </c>
      <c r="IOF1" t="s">
        <v>6798</v>
      </c>
      <c r="IOG1" t="s">
        <v>6799</v>
      </c>
      <c r="IOH1" t="s">
        <v>6800</v>
      </c>
      <c r="IOI1" t="s">
        <v>6801</v>
      </c>
      <c r="IOJ1" t="s">
        <v>6802</v>
      </c>
      <c r="IOK1" t="s">
        <v>6803</v>
      </c>
      <c r="IOL1" t="s">
        <v>6804</v>
      </c>
      <c r="IOM1" t="s">
        <v>6805</v>
      </c>
      <c r="ION1" t="s">
        <v>6806</v>
      </c>
      <c r="IOO1" t="s">
        <v>6807</v>
      </c>
      <c r="IOP1" t="s">
        <v>6808</v>
      </c>
      <c r="IOQ1" t="s">
        <v>6809</v>
      </c>
      <c r="IOR1" t="s">
        <v>6810</v>
      </c>
      <c r="IOS1" t="s">
        <v>6811</v>
      </c>
      <c r="IOT1" t="s">
        <v>6812</v>
      </c>
      <c r="IOU1" t="s">
        <v>6813</v>
      </c>
      <c r="IOV1" t="s">
        <v>6814</v>
      </c>
      <c r="IOW1" t="s">
        <v>6815</v>
      </c>
      <c r="IOX1" t="s">
        <v>6816</v>
      </c>
      <c r="IOY1" t="s">
        <v>6817</v>
      </c>
      <c r="IOZ1" t="s">
        <v>6818</v>
      </c>
      <c r="IPA1" t="s">
        <v>6819</v>
      </c>
      <c r="IPB1" t="s">
        <v>6820</v>
      </c>
      <c r="IPC1" t="s">
        <v>6821</v>
      </c>
      <c r="IPD1" t="s">
        <v>6822</v>
      </c>
      <c r="IPE1" t="s">
        <v>6823</v>
      </c>
      <c r="IPF1" t="s">
        <v>6824</v>
      </c>
      <c r="IPG1" t="s">
        <v>6825</v>
      </c>
      <c r="IPH1" t="s">
        <v>6826</v>
      </c>
      <c r="IPI1" t="s">
        <v>6827</v>
      </c>
      <c r="IPJ1" t="s">
        <v>6828</v>
      </c>
      <c r="IPK1" t="s">
        <v>6829</v>
      </c>
      <c r="IPL1" t="s">
        <v>6830</v>
      </c>
      <c r="IPM1" t="s">
        <v>6831</v>
      </c>
      <c r="IPN1" t="s">
        <v>6832</v>
      </c>
      <c r="IPO1" t="s">
        <v>6833</v>
      </c>
      <c r="IPP1" t="s">
        <v>6834</v>
      </c>
      <c r="IPQ1" t="s">
        <v>6835</v>
      </c>
      <c r="IPR1" t="s">
        <v>6836</v>
      </c>
      <c r="IPS1" t="s">
        <v>6837</v>
      </c>
      <c r="IPT1" t="s">
        <v>6838</v>
      </c>
      <c r="IPU1" t="s">
        <v>6839</v>
      </c>
      <c r="IPV1" t="s">
        <v>6840</v>
      </c>
      <c r="IPW1" t="s">
        <v>6841</v>
      </c>
      <c r="IPX1" t="s">
        <v>6842</v>
      </c>
      <c r="IPY1" t="s">
        <v>6843</v>
      </c>
      <c r="IPZ1" t="s">
        <v>6844</v>
      </c>
      <c r="IQA1" t="s">
        <v>6845</v>
      </c>
      <c r="IQB1" t="s">
        <v>6846</v>
      </c>
      <c r="IQC1" t="s">
        <v>6847</v>
      </c>
      <c r="IQD1" t="s">
        <v>6848</v>
      </c>
      <c r="IQE1" t="s">
        <v>6849</v>
      </c>
      <c r="IQF1" t="s">
        <v>6850</v>
      </c>
      <c r="IQG1" t="s">
        <v>6851</v>
      </c>
      <c r="IQH1" t="s">
        <v>6852</v>
      </c>
      <c r="IQI1" t="s">
        <v>6853</v>
      </c>
      <c r="IQJ1" t="s">
        <v>6854</v>
      </c>
      <c r="IQK1" t="s">
        <v>6855</v>
      </c>
      <c r="IQL1" t="s">
        <v>6856</v>
      </c>
      <c r="IQM1" t="s">
        <v>6857</v>
      </c>
      <c r="IQN1" t="s">
        <v>6858</v>
      </c>
      <c r="IQO1" t="s">
        <v>6859</v>
      </c>
      <c r="IQP1" t="s">
        <v>6860</v>
      </c>
      <c r="IQQ1" t="s">
        <v>6861</v>
      </c>
      <c r="IQR1" t="s">
        <v>6862</v>
      </c>
      <c r="IQS1" t="s">
        <v>6863</v>
      </c>
      <c r="IQT1" t="s">
        <v>6864</v>
      </c>
      <c r="IQU1" t="s">
        <v>6865</v>
      </c>
      <c r="IQV1" t="s">
        <v>6866</v>
      </c>
      <c r="IQW1" t="s">
        <v>6867</v>
      </c>
      <c r="IQX1" t="s">
        <v>6868</v>
      </c>
      <c r="IQY1" t="s">
        <v>6869</v>
      </c>
      <c r="IQZ1" t="s">
        <v>6870</v>
      </c>
      <c r="IRA1" t="s">
        <v>6871</v>
      </c>
      <c r="IRB1" t="s">
        <v>6872</v>
      </c>
      <c r="IRC1" t="s">
        <v>6873</v>
      </c>
      <c r="IRD1" t="s">
        <v>6874</v>
      </c>
      <c r="IRE1" t="s">
        <v>6875</v>
      </c>
      <c r="IRF1" t="s">
        <v>6876</v>
      </c>
      <c r="IRG1" t="s">
        <v>6877</v>
      </c>
      <c r="IRH1" t="s">
        <v>6878</v>
      </c>
      <c r="IRI1" t="s">
        <v>6879</v>
      </c>
      <c r="IRJ1" t="s">
        <v>6880</v>
      </c>
      <c r="IRK1" t="s">
        <v>6881</v>
      </c>
      <c r="IRL1" t="s">
        <v>6882</v>
      </c>
      <c r="IRM1" t="s">
        <v>6883</v>
      </c>
      <c r="IRN1" t="s">
        <v>6884</v>
      </c>
      <c r="IRO1" t="s">
        <v>6885</v>
      </c>
      <c r="IRP1" t="s">
        <v>6886</v>
      </c>
      <c r="IRQ1" t="s">
        <v>6887</v>
      </c>
      <c r="IRR1" t="s">
        <v>6888</v>
      </c>
      <c r="IRS1" t="s">
        <v>6889</v>
      </c>
      <c r="IRT1" t="s">
        <v>6890</v>
      </c>
      <c r="IRU1" t="s">
        <v>6891</v>
      </c>
      <c r="IRV1" t="s">
        <v>6892</v>
      </c>
      <c r="IRW1" t="s">
        <v>6893</v>
      </c>
      <c r="IRX1" t="s">
        <v>6894</v>
      </c>
      <c r="IRY1" t="s">
        <v>6895</v>
      </c>
      <c r="IRZ1" t="s">
        <v>6896</v>
      </c>
      <c r="ISA1" t="s">
        <v>6897</v>
      </c>
      <c r="ISB1" t="s">
        <v>6898</v>
      </c>
      <c r="ISC1" t="s">
        <v>6899</v>
      </c>
      <c r="ISD1" t="s">
        <v>6900</v>
      </c>
      <c r="ISE1" t="s">
        <v>6901</v>
      </c>
      <c r="ISF1" t="s">
        <v>6902</v>
      </c>
      <c r="ISG1" t="s">
        <v>6903</v>
      </c>
      <c r="ISH1" t="s">
        <v>6904</v>
      </c>
      <c r="ISI1" t="s">
        <v>6905</v>
      </c>
      <c r="ISJ1" t="s">
        <v>6906</v>
      </c>
      <c r="ISK1" t="s">
        <v>6907</v>
      </c>
      <c r="ISL1" t="s">
        <v>6908</v>
      </c>
      <c r="ISM1" t="s">
        <v>6909</v>
      </c>
      <c r="ISN1" t="s">
        <v>6910</v>
      </c>
      <c r="ISO1" t="s">
        <v>6911</v>
      </c>
      <c r="ISP1" t="s">
        <v>6912</v>
      </c>
      <c r="ISQ1" t="s">
        <v>6913</v>
      </c>
      <c r="ISR1" t="s">
        <v>6914</v>
      </c>
      <c r="ISS1" t="s">
        <v>6915</v>
      </c>
      <c r="IST1" t="s">
        <v>6916</v>
      </c>
      <c r="ISU1" t="s">
        <v>6917</v>
      </c>
      <c r="ISV1" t="s">
        <v>6918</v>
      </c>
      <c r="ISW1" t="s">
        <v>6919</v>
      </c>
      <c r="ISX1" t="s">
        <v>6920</v>
      </c>
      <c r="ISY1" t="s">
        <v>6921</v>
      </c>
      <c r="ISZ1" t="s">
        <v>6922</v>
      </c>
      <c r="ITA1" t="s">
        <v>6923</v>
      </c>
      <c r="ITB1" t="s">
        <v>6924</v>
      </c>
      <c r="ITC1" t="s">
        <v>6925</v>
      </c>
      <c r="ITD1" t="s">
        <v>6926</v>
      </c>
      <c r="ITE1" t="s">
        <v>6927</v>
      </c>
      <c r="ITF1" t="s">
        <v>6928</v>
      </c>
      <c r="ITG1" t="s">
        <v>6929</v>
      </c>
      <c r="ITH1" t="s">
        <v>6930</v>
      </c>
      <c r="ITI1" t="s">
        <v>6931</v>
      </c>
      <c r="ITJ1" t="s">
        <v>6932</v>
      </c>
      <c r="ITK1" t="s">
        <v>6933</v>
      </c>
      <c r="ITL1" t="s">
        <v>6934</v>
      </c>
      <c r="ITM1" t="s">
        <v>6935</v>
      </c>
      <c r="ITN1" t="s">
        <v>6936</v>
      </c>
      <c r="ITO1" t="s">
        <v>6937</v>
      </c>
      <c r="ITP1" t="s">
        <v>6938</v>
      </c>
      <c r="ITQ1" t="s">
        <v>6939</v>
      </c>
      <c r="ITR1" t="s">
        <v>6940</v>
      </c>
      <c r="ITS1" t="s">
        <v>6941</v>
      </c>
      <c r="ITT1" t="s">
        <v>6942</v>
      </c>
      <c r="ITU1" t="s">
        <v>6943</v>
      </c>
      <c r="ITV1" t="s">
        <v>6944</v>
      </c>
      <c r="ITW1" t="s">
        <v>6945</v>
      </c>
      <c r="ITX1" t="s">
        <v>6946</v>
      </c>
      <c r="ITY1" t="s">
        <v>6947</v>
      </c>
      <c r="ITZ1" t="s">
        <v>6948</v>
      </c>
      <c r="IUA1" t="s">
        <v>6949</v>
      </c>
      <c r="IUB1" t="s">
        <v>6950</v>
      </c>
      <c r="IUC1" t="s">
        <v>6951</v>
      </c>
      <c r="IUD1" t="s">
        <v>6952</v>
      </c>
      <c r="IUE1" t="s">
        <v>6953</v>
      </c>
      <c r="IUF1" t="s">
        <v>6954</v>
      </c>
      <c r="IUG1" t="s">
        <v>6955</v>
      </c>
      <c r="IUH1" t="s">
        <v>6956</v>
      </c>
      <c r="IUI1" t="s">
        <v>6957</v>
      </c>
      <c r="IUJ1" t="s">
        <v>6958</v>
      </c>
      <c r="IUK1" t="s">
        <v>6959</v>
      </c>
      <c r="IUL1" t="s">
        <v>6960</v>
      </c>
      <c r="IUM1" t="s">
        <v>6961</v>
      </c>
      <c r="IUN1" t="s">
        <v>6962</v>
      </c>
      <c r="IUO1" t="s">
        <v>6963</v>
      </c>
      <c r="IUP1" t="s">
        <v>6964</v>
      </c>
      <c r="IUQ1" t="s">
        <v>6965</v>
      </c>
      <c r="IUR1" t="s">
        <v>6966</v>
      </c>
      <c r="IUS1" t="s">
        <v>6967</v>
      </c>
      <c r="IUT1" t="s">
        <v>6968</v>
      </c>
      <c r="IUU1" t="s">
        <v>6969</v>
      </c>
      <c r="IUV1" t="s">
        <v>6970</v>
      </c>
      <c r="IUW1" t="s">
        <v>6971</v>
      </c>
      <c r="IUX1" t="s">
        <v>6972</v>
      </c>
      <c r="IUY1" t="s">
        <v>6973</v>
      </c>
      <c r="IUZ1" t="s">
        <v>6974</v>
      </c>
      <c r="IVA1" t="s">
        <v>6975</v>
      </c>
      <c r="IVB1" t="s">
        <v>6976</v>
      </c>
      <c r="IVC1" t="s">
        <v>6977</v>
      </c>
      <c r="IVD1" t="s">
        <v>6978</v>
      </c>
      <c r="IVE1" t="s">
        <v>6979</v>
      </c>
      <c r="IVF1" t="s">
        <v>6980</v>
      </c>
      <c r="IVG1" t="s">
        <v>6981</v>
      </c>
      <c r="IVH1" t="s">
        <v>6982</v>
      </c>
      <c r="IVI1" t="s">
        <v>6983</v>
      </c>
      <c r="IVJ1" t="s">
        <v>6984</v>
      </c>
      <c r="IVK1" t="s">
        <v>6985</v>
      </c>
      <c r="IVL1" t="s">
        <v>6986</v>
      </c>
      <c r="IVM1" t="s">
        <v>6987</v>
      </c>
      <c r="IVN1" t="s">
        <v>6988</v>
      </c>
      <c r="IVO1" t="s">
        <v>6989</v>
      </c>
      <c r="IVP1" t="s">
        <v>6990</v>
      </c>
      <c r="IVQ1" t="s">
        <v>6991</v>
      </c>
      <c r="IVR1" t="s">
        <v>6992</v>
      </c>
      <c r="IVS1" t="s">
        <v>6993</v>
      </c>
      <c r="IVT1" t="s">
        <v>6994</v>
      </c>
      <c r="IVU1" t="s">
        <v>6995</v>
      </c>
      <c r="IVV1" t="s">
        <v>6996</v>
      </c>
      <c r="IVW1" t="s">
        <v>6997</v>
      </c>
      <c r="IVX1" t="s">
        <v>6998</v>
      </c>
      <c r="IVY1" t="s">
        <v>6999</v>
      </c>
      <c r="IVZ1" t="s">
        <v>7000</v>
      </c>
      <c r="IWA1" t="s">
        <v>7001</v>
      </c>
      <c r="IWB1" t="s">
        <v>7002</v>
      </c>
      <c r="IWC1" t="s">
        <v>7003</v>
      </c>
      <c r="IWD1" t="s">
        <v>7004</v>
      </c>
      <c r="IWE1" t="s">
        <v>7005</v>
      </c>
      <c r="IWF1" t="s">
        <v>7006</v>
      </c>
      <c r="IWG1" t="s">
        <v>7007</v>
      </c>
      <c r="IWH1" t="s">
        <v>7008</v>
      </c>
      <c r="IWI1" t="s">
        <v>7009</v>
      </c>
      <c r="IWJ1" t="s">
        <v>7010</v>
      </c>
      <c r="IWK1" t="s">
        <v>7011</v>
      </c>
      <c r="IWL1" t="s">
        <v>7012</v>
      </c>
      <c r="IWM1" t="s">
        <v>7013</v>
      </c>
      <c r="IWN1" t="s">
        <v>7014</v>
      </c>
      <c r="IWO1" t="s">
        <v>7015</v>
      </c>
      <c r="IWP1" t="s">
        <v>7016</v>
      </c>
      <c r="IWQ1" t="s">
        <v>7017</v>
      </c>
      <c r="IWR1" t="s">
        <v>7018</v>
      </c>
      <c r="IWS1" t="s">
        <v>7019</v>
      </c>
      <c r="IWT1" t="s">
        <v>7020</v>
      </c>
      <c r="IWU1" t="s">
        <v>7021</v>
      </c>
      <c r="IWV1" t="s">
        <v>7022</v>
      </c>
      <c r="IWW1" t="s">
        <v>7023</v>
      </c>
      <c r="IWX1" t="s">
        <v>7024</v>
      </c>
      <c r="IWY1" t="s">
        <v>7025</v>
      </c>
      <c r="IWZ1" t="s">
        <v>7026</v>
      </c>
      <c r="IXA1" t="s">
        <v>7027</v>
      </c>
      <c r="IXB1" t="s">
        <v>7028</v>
      </c>
      <c r="IXC1" t="s">
        <v>7029</v>
      </c>
      <c r="IXD1" t="s">
        <v>7030</v>
      </c>
      <c r="IXE1" t="s">
        <v>7031</v>
      </c>
      <c r="IXF1" t="s">
        <v>7032</v>
      </c>
      <c r="IXG1" t="s">
        <v>7033</v>
      </c>
      <c r="IXH1" t="s">
        <v>7034</v>
      </c>
      <c r="IXI1" t="s">
        <v>7035</v>
      </c>
      <c r="IXJ1" t="s">
        <v>7036</v>
      </c>
      <c r="IXK1" t="s">
        <v>7037</v>
      </c>
      <c r="IXL1" t="s">
        <v>7038</v>
      </c>
      <c r="IXM1" t="s">
        <v>7039</v>
      </c>
      <c r="IXN1" t="s">
        <v>7040</v>
      </c>
      <c r="IXO1" t="s">
        <v>7041</v>
      </c>
      <c r="IXP1" t="s">
        <v>7042</v>
      </c>
      <c r="IXQ1" t="s">
        <v>7043</v>
      </c>
      <c r="IXR1" t="s">
        <v>7044</v>
      </c>
      <c r="IXS1" t="s">
        <v>7045</v>
      </c>
      <c r="IXT1" t="s">
        <v>7046</v>
      </c>
      <c r="IXU1" t="s">
        <v>7047</v>
      </c>
      <c r="IXV1" t="s">
        <v>7048</v>
      </c>
      <c r="IXW1" t="s">
        <v>7049</v>
      </c>
      <c r="IXX1" t="s">
        <v>7050</v>
      </c>
      <c r="IXY1" t="s">
        <v>7051</v>
      </c>
      <c r="IXZ1" t="s">
        <v>7052</v>
      </c>
      <c r="IYA1" t="s">
        <v>7053</v>
      </c>
      <c r="IYB1" t="s">
        <v>7054</v>
      </c>
      <c r="IYC1" t="s">
        <v>7055</v>
      </c>
      <c r="IYD1" t="s">
        <v>7056</v>
      </c>
      <c r="IYE1" t="s">
        <v>7057</v>
      </c>
      <c r="IYF1" t="s">
        <v>7058</v>
      </c>
      <c r="IYG1" t="s">
        <v>7059</v>
      </c>
      <c r="IYH1" t="s">
        <v>7060</v>
      </c>
      <c r="IYI1" t="s">
        <v>7061</v>
      </c>
      <c r="IYJ1" t="s">
        <v>7062</v>
      </c>
      <c r="IYK1" t="s">
        <v>7063</v>
      </c>
      <c r="IYL1" t="s">
        <v>7064</v>
      </c>
      <c r="IYM1" t="s">
        <v>7065</v>
      </c>
      <c r="IYN1" t="s">
        <v>7066</v>
      </c>
      <c r="IYO1" t="s">
        <v>7067</v>
      </c>
      <c r="IYP1" t="s">
        <v>7068</v>
      </c>
      <c r="IYQ1" t="s">
        <v>7069</v>
      </c>
      <c r="IYR1" t="s">
        <v>7070</v>
      </c>
      <c r="IYS1" t="s">
        <v>7071</v>
      </c>
      <c r="IYT1" t="s">
        <v>7072</v>
      </c>
      <c r="IYU1" t="s">
        <v>7073</v>
      </c>
      <c r="IYV1" t="s">
        <v>7074</v>
      </c>
      <c r="IYW1" t="s">
        <v>7075</v>
      </c>
      <c r="IYX1" t="s">
        <v>7076</v>
      </c>
      <c r="IYY1" t="s">
        <v>7077</v>
      </c>
      <c r="IYZ1" t="s">
        <v>7078</v>
      </c>
      <c r="IZA1" t="s">
        <v>7079</v>
      </c>
      <c r="IZB1" t="s">
        <v>7080</v>
      </c>
      <c r="IZC1" t="s">
        <v>7081</v>
      </c>
      <c r="IZD1" t="s">
        <v>7082</v>
      </c>
      <c r="IZE1" t="s">
        <v>7083</v>
      </c>
      <c r="IZF1" t="s">
        <v>7084</v>
      </c>
      <c r="IZG1" t="s">
        <v>7085</v>
      </c>
      <c r="IZH1" t="s">
        <v>7086</v>
      </c>
      <c r="IZI1" t="s">
        <v>7087</v>
      </c>
      <c r="IZJ1" t="s">
        <v>7088</v>
      </c>
      <c r="IZK1" t="s">
        <v>7089</v>
      </c>
      <c r="IZL1" t="s">
        <v>7090</v>
      </c>
      <c r="IZM1" t="s">
        <v>7091</v>
      </c>
      <c r="IZN1" t="s">
        <v>7092</v>
      </c>
      <c r="IZO1" t="s">
        <v>7093</v>
      </c>
      <c r="IZP1" t="s">
        <v>7094</v>
      </c>
      <c r="IZQ1" t="s">
        <v>7095</v>
      </c>
      <c r="IZR1" t="s">
        <v>7096</v>
      </c>
      <c r="IZS1" t="s">
        <v>7097</v>
      </c>
      <c r="IZT1" t="s">
        <v>7098</v>
      </c>
      <c r="IZU1" t="s">
        <v>7099</v>
      </c>
      <c r="IZV1" t="s">
        <v>7100</v>
      </c>
      <c r="IZW1" t="s">
        <v>7101</v>
      </c>
      <c r="IZX1" t="s">
        <v>7102</v>
      </c>
      <c r="IZY1" t="s">
        <v>7103</v>
      </c>
      <c r="IZZ1" t="s">
        <v>7104</v>
      </c>
      <c r="JAA1" t="s">
        <v>7105</v>
      </c>
      <c r="JAB1" t="s">
        <v>7106</v>
      </c>
      <c r="JAC1" t="s">
        <v>7107</v>
      </c>
      <c r="JAD1" t="s">
        <v>7108</v>
      </c>
      <c r="JAE1" t="s">
        <v>7109</v>
      </c>
      <c r="JAF1" t="s">
        <v>7110</v>
      </c>
      <c r="JAG1" t="s">
        <v>7111</v>
      </c>
      <c r="JAH1" t="s">
        <v>7112</v>
      </c>
      <c r="JAI1" t="s">
        <v>7113</v>
      </c>
      <c r="JAJ1" t="s">
        <v>7114</v>
      </c>
      <c r="JAK1" t="s">
        <v>7115</v>
      </c>
      <c r="JAL1" t="s">
        <v>7116</v>
      </c>
      <c r="JAM1" t="s">
        <v>7117</v>
      </c>
      <c r="JAN1" t="s">
        <v>7118</v>
      </c>
      <c r="JAO1" t="s">
        <v>7119</v>
      </c>
      <c r="JAP1" t="s">
        <v>7120</v>
      </c>
      <c r="JAQ1" t="s">
        <v>7121</v>
      </c>
      <c r="JAR1" t="s">
        <v>7122</v>
      </c>
      <c r="JAS1" t="s">
        <v>7123</v>
      </c>
      <c r="JAT1" t="s">
        <v>7124</v>
      </c>
      <c r="JAU1" t="s">
        <v>7125</v>
      </c>
      <c r="JAV1" t="s">
        <v>7126</v>
      </c>
      <c r="JAW1" t="s">
        <v>7127</v>
      </c>
      <c r="JAX1" t="s">
        <v>7128</v>
      </c>
      <c r="JAY1" t="s">
        <v>7129</v>
      </c>
      <c r="JAZ1" t="s">
        <v>7130</v>
      </c>
      <c r="JBA1" t="s">
        <v>7131</v>
      </c>
      <c r="JBB1" t="s">
        <v>7132</v>
      </c>
      <c r="JBC1" t="s">
        <v>7133</v>
      </c>
      <c r="JBD1" t="s">
        <v>7134</v>
      </c>
      <c r="JBE1" t="s">
        <v>7135</v>
      </c>
      <c r="JBF1" t="s">
        <v>7136</v>
      </c>
      <c r="JBG1" t="s">
        <v>7137</v>
      </c>
      <c r="JBH1" t="s">
        <v>7138</v>
      </c>
      <c r="JBI1" t="s">
        <v>7139</v>
      </c>
      <c r="JBJ1" t="s">
        <v>7140</v>
      </c>
      <c r="JBK1" t="s">
        <v>7141</v>
      </c>
      <c r="JBL1" t="s">
        <v>7142</v>
      </c>
      <c r="JBM1" t="s">
        <v>7143</v>
      </c>
      <c r="JBN1" t="s">
        <v>7144</v>
      </c>
      <c r="JBO1" t="s">
        <v>7145</v>
      </c>
      <c r="JBP1" t="s">
        <v>7146</v>
      </c>
      <c r="JBQ1" t="s">
        <v>7147</v>
      </c>
      <c r="JBR1" t="s">
        <v>7148</v>
      </c>
      <c r="JBS1" t="s">
        <v>7149</v>
      </c>
      <c r="JBT1" t="s">
        <v>7150</v>
      </c>
      <c r="JBU1" t="s">
        <v>7151</v>
      </c>
      <c r="JBV1" t="s">
        <v>7152</v>
      </c>
      <c r="JBW1" t="s">
        <v>7153</v>
      </c>
      <c r="JBX1" t="s">
        <v>7154</v>
      </c>
      <c r="JBY1" t="s">
        <v>7155</v>
      </c>
      <c r="JBZ1" t="s">
        <v>7156</v>
      </c>
      <c r="JCA1" t="s">
        <v>7157</v>
      </c>
      <c r="JCB1" t="s">
        <v>7158</v>
      </c>
      <c r="JCC1" t="s">
        <v>7159</v>
      </c>
      <c r="JCD1" t="s">
        <v>7160</v>
      </c>
      <c r="JCE1" t="s">
        <v>7161</v>
      </c>
      <c r="JCF1" t="s">
        <v>7162</v>
      </c>
      <c r="JCG1" t="s">
        <v>7163</v>
      </c>
      <c r="JCH1" t="s">
        <v>7164</v>
      </c>
      <c r="JCI1" t="s">
        <v>7165</v>
      </c>
      <c r="JCJ1" t="s">
        <v>7166</v>
      </c>
      <c r="JCK1" t="s">
        <v>7167</v>
      </c>
      <c r="JCL1" t="s">
        <v>7168</v>
      </c>
      <c r="JCM1" t="s">
        <v>7169</v>
      </c>
      <c r="JCN1" t="s">
        <v>7170</v>
      </c>
      <c r="JCO1" t="s">
        <v>7171</v>
      </c>
      <c r="JCP1" t="s">
        <v>7172</v>
      </c>
      <c r="JCQ1" t="s">
        <v>7173</v>
      </c>
      <c r="JCR1" t="s">
        <v>7174</v>
      </c>
      <c r="JCS1" t="s">
        <v>7175</v>
      </c>
      <c r="JCT1" t="s">
        <v>7176</v>
      </c>
      <c r="JCU1" t="s">
        <v>7177</v>
      </c>
      <c r="JCV1" t="s">
        <v>7178</v>
      </c>
      <c r="JCW1" t="s">
        <v>7179</v>
      </c>
      <c r="JCX1" t="s">
        <v>7180</v>
      </c>
      <c r="JCY1" t="s">
        <v>7181</v>
      </c>
      <c r="JCZ1" t="s">
        <v>7182</v>
      </c>
      <c r="JDA1" t="s">
        <v>7183</v>
      </c>
      <c r="JDB1" t="s">
        <v>7184</v>
      </c>
      <c r="JDC1" t="s">
        <v>7185</v>
      </c>
      <c r="JDD1" t="s">
        <v>7186</v>
      </c>
      <c r="JDE1" t="s">
        <v>7187</v>
      </c>
      <c r="JDF1" t="s">
        <v>7188</v>
      </c>
      <c r="JDG1" t="s">
        <v>7189</v>
      </c>
      <c r="JDH1" t="s">
        <v>7190</v>
      </c>
      <c r="JDI1" t="s">
        <v>7191</v>
      </c>
      <c r="JDJ1" t="s">
        <v>7192</v>
      </c>
      <c r="JDK1" t="s">
        <v>7193</v>
      </c>
      <c r="JDL1" t="s">
        <v>7194</v>
      </c>
      <c r="JDM1" t="s">
        <v>7195</v>
      </c>
      <c r="JDN1" t="s">
        <v>7196</v>
      </c>
      <c r="JDO1" t="s">
        <v>7197</v>
      </c>
      <c r="JDP1" t="s">
        <v>7198</v>
      </c>
      <c r="JDQ1" t="s">
        <v>7199</v>
      </c>
      <c r="JDR1" t="s">
        <v>7200</v>
      </c>
      <c r="JDS1" t="s">
        <v>7201</v>
      </c>
      <c r="JDT1" t="s">
        <v>7202</v>
      </c>
      <c r="JDU1" t="s">
        <v>7203</v>
      </c>
      <c r="JDV1" t="s">
        <v>7204</v>
      </c>
      <c r="JDW1" t="s">
        <v>7205</v>
      </c>
      <c r="JDX1" t="s">
        <v>7206</v>
      </c>
      <c r="JDY1" t="s">
        <v>7207</v>
      </c>
      <c r="JDZ1" t="s">
        <v>7208</v>
      </c>
      <c r="JEA1" t="s">
        <v>7209</v>
      </c>
      <c r="JEB1" t="s">
        <v>7210</v>
      </c>
      <c r="JEC1" t="s">
        <v>7211</v>
      </c>
      <c r="JED1" t="s">
        <v>7212</v>
      </c>
      <c r="JEE1" t="s">
        <v>7213</v>
      </c>
      <c r="JEF1" t="s">
        <v>7214</v>
      </c>
      <c r="JEG1" t="s">
        <v>7215</v>
      </c>
      <c r="JEH1" t="s">
        <v>7216</v>
      </c>
      <c r="JEI1" t="s">
        <v>7217</v>
      </c>
      <c r="JEJ1" t="s">
        <v>7218</v>
      </c>
      <c r="JEK1" t="s">
        <v>7219</v>
      </c>
      <c r="JEL1" t="s">
        <v>7220</v>
      </c>
      <c r="JEM1" t="s">
        <v>7221</v>
      </c>
      <c r="JEN1" t="s">
        <v>7222</v>
      </c>
      <c r="JEO1" t="s">
        <v>7223</v>
      </c>
      <c r="JEP1" t="s">
        <v>7224</v>
      </c>
      <c r="JEQ1" t="s">
        <v>7225</v>
      </c>
      <c r="JER1" t="s">
        <v>7226</v>
      </c>
      <c r="JES1" t="s">
        <v>7227</v>
      </c>
      <c r="JET1" t="s">
        <v>7228</v>
      </c>
      <c r="JEU1" t="s">
        <v>7229</v>
      </c>
      <c r="JEV1" t="s">
        <v>7230</v>
      </c>
      <c r="JEW1" t="s">
        <v>7231</v>
      </c>
      <c r="JEX1" t="s">
        <v>7232</v>
      </c>
      <c r="JEY1" t="s">
        <v>7233</v>
      </c>
      <c r="JEZ1" t="s">
        <v>7234</v>
      </c>
      <c r="JFA1" t="s">
        <v>7235</v>
      </c>
      <c r="JFB1" t="s">
        <v>7236</v>
      </c>
      <c r="JFC1" t="s">
        <v>7237</v>
      </c>
      <c r="JFD1" t="s">
        <v>7238</v>
      </c>
      <c r="JFE1" t="s">
        <v>7239</v>
      </c>
      <c r="JFF1" t="s">
        <v>7240</v>
      </c>
      <c r="JFG1" t="s">
        <v>7241</v>
      </c>
      <c r="JFH1" t="s">
        <v>7242</v>
      </c>
      <c r="JFI1" t="s">
        <v>7243</v>
      </c>
      <c r="JFJ1" t="s">
        <v>7244</v>
      </c>
      <c r="JFK1" t="s">
        <v>7245</v>
      </c>
      <c r="JFL1" t="s">
        <v>7246</v>
      </c>
      <c r="JFM1" t="s">
        <v>7247</v>
      </c>
      <c r="JFN1" t="s">
        <v>7248</v>
      </c>
      <c r="JFO1" t="s">
        <v>7249</v>
      </c>
      <c r="JFP1" t="s">
        <v>7250</v>
      </c>
      <c r="JFQ1" t="s">
        <v>7251</v>
      </c>
      <c r="JFR1" t="s">
        <v>7252</v>
      </c>
      <c r="JFS1" t="s">
        <v>7253</v>
      </c>
      <c r="JFT1" t="s">
        <v>7254</v>
      </c>
      <c r="JFU1" t="s">
        <v>7255</v>
      </c>
      <c r="JFV1" t="s">
        <v>7256</v>
      </c>
      <c r="JFW1" t="s">
        <v>7257</v>
      </c>
      <c r="JFX1" t="s">
        <v>7258</v>
      </c>
      <c r="JFY1" t="s">
        <v>7259</v>
      </c>
      <c r="JFZ1" t="s">
        <v>7260</v>
      </c>
      <c r="JGA1" t="s">
        <v>7261</v>
      </c>
      <c r="JGB1" t="s">
        <v>7262</v>
      </c>
      <c r="JGC1" t="s">
        <v>7263</v>
      </c>
      <c r="JGD1" t="s">
        <v>7264</v>
      </c>
      <c r="JGE1" t="s">
        <v>7265</v>
      </c>
      <c r="JGF1" t="s">
        <v>7266</v>
      </c>
      <c r="JGG1" t="s">
        <v>7267</v>
      </c>
      <c r="JGH1" t="s">
        <v>7268</v>
      </c>
      <c r="JGI1" t="s">
        <v>7269</v>
      </c>
      <c r="JGJ1" t="s">
        <v>7270</v>
      </c>
      <c r="JGK1" t="s">
        <v>7271</v>
      </c>
      <c r="JGL1" t="s">
        <v>7272</v>
      </c>
      <c r="JGM1" t="s">
        <v>7273</v>
      </c>
      <c r="JGN1" t="s">
        <v>7274</v>
      </c>
      <c r="JGO1" t="s">
        <v>7275</v>
      </c>
      <c r="JGP1" t="s">
        <v>7276</v>
      </c>
      <c r="JGQ1" t="s">
        <v>7277</v>
      </c>
      <c r="JGR1" t="s">
        <v>7278</v>
      </c>
      <c r="JGS1" t="s">
        <v>7279</v>
      </c>
      <c r="JGT1" t="s">
        <v>7280</v>
      </c>
      <c r="JGU1" t="s">
        <v>7281</v>
      </c>
      <c r="JGV1" t="s">
        <v>7282</v>
      </c>
      <c r="JGW1" t="s">
        <v>7283</v>
      </c>
      <c r="JGX1" t="s">
        <v>7284</v>
      </c>
      <c r="JGY1" t="s">
        <v>7285</v>
      </c>
      <c r="JGZ1" t="s">
        <v>7286</v>
      </c>
      <c r="JHA1" t="s">
        <v>7287</v>
      </c>
      <c r="JHB1" t="s">
        <v>7288</v>
      </c>
      <c r="JHC1" t="s">
        <v>7289</v>
      </c>
      <c r="JHD1" t="s">
        <v>7290</v>
      </c>
      <c r="JHE1" t="s">
        <v>7291</v>
      </c>
      <c r="JHF1" t="s">
        <v>7292</v>
      </c>
      <c r="JHG1" t="s">
        <v>7293</v>
      </c>
      <c r="JHH1" t="s">
        <v>7294</v>
      </c>
      <c r="JHI1" t="s">
        <v>7295</v>
      </c>
      <c r="JHJ1" t="s">
        <v>7296</v>
      </c>
      <c r="JHK1" t="s">
        <v>7297</v>
      </c>
      <c r="JHL1" t="s">
        <v>7298</v>
      </c>
      <c r="JHM1" t="s">
        <v>7299</v>
      </c>
      <c r="JHN1" t="s">
        <v>7300</v>
      </c>
      <c r="JHO1" t="s">
        <v>7301</v>
      </c>
      <c r="JHP1" t="s">
        <v>7302</v>
      </c>
      <c r="JHQ1" t="s">
        <v>7303</v>
      </c>
      <c r="JHR1" t="s">
        <v>7304</v>
      </c>
      <c r="JHS1" t="s">
        <v>7305</v>
      </c>
      <c r="JHT1" t="s">
        <v>7306</v>
      </c>
      <c r="JHU1" t="s">
        <v>7307</v>
      </c>
      <c r="JHV1" t="s">
        <v>7308</v>
      </c>
      <c r="JHW1" t="s">
        <v>7309</v>
      </c>
      <c r="JHX1" t="s">
        <v>7310</v>
      </c>
      <c r="JHY1" t="s">
        <v>7311</v>
      </c>
      <c r="JHZ1" t="s">
        <v>7312</v>
      </c>
      <c r="JIA1" t="s">
        <v>7313</v>
      </c>
      <c r="JIB1" t="s">
        <v>7314</v>
      </c>
      <c r="JIC1" t="s">
        <v>7315</v>
      </c>
      <c r="JID1" t="s">
        <v>7316</v>
      </c>
      <c r="JIE1" t="s">
        <v>7317</v>
      </c>
      <c r="JIF1" t="s">
        <v>7318</v>
      </c>
      <c r="JIG1" t="s">
        <v>7319</v>
      </c>
      <c r="JIH1" t="s">
        <v>7320</v>
      </c>
      <c r="JII1" t="s">
        <v>7321</v>
      </c>
      <c r="JIJ1" t="s">
        <v>7322</v>
      </c>
      <c r="JIK1" t="s">
        <v>7323</v>
      </c>
      <c r="JIL1" t="s">
        <v>7324</v>
      </c>
      <c r="JIM1" t="s">
        <v>7325</v>
      </c>
      <c r="JIN1" t="s">
        <v>7326</v>
      </c>
      <c r="JIO1" t="s">
        <v>7327</v>
      </c>
      <c r="JIP1" t="s">
        <v>7328</v>
      </c>
      <c r="JIQ1" t="s">
        <v>7329</v>
      </c>
      <c r="JIR1" t="s">
        <v>7330</v>
      </c>
      <c r="JIS1" t="s">
        <v>7331</v>
      </c>
      <c r="JIT1" t="s">
        <v>7332</v>
      </c>
      <c r="JIU1" t="s">
        <v>7333</v>
      </c>
      <c r="JIV1" t="s">
        <v>7334</v>
      </c>
      <c r="JIW1" t="s">
        <v>7335</v>
      </c>
      <c r="JIX1" t="s">
        <v>7336</v>
      </c>
      <c r="JIY1" t="s">
        <v>7337</v>
      </c>
      <c r="JIZ1" t="s">
        <v>7338</v>
      </c>
      <c r="JJA1" t="s">
        <v>7339</v>
      </c>
      <c r="JJB1" t="s">
        <v>7340</v>
      </c>
      <c r="JJC1" t="s">
        <v>7341</v>
      </c>
      <c r="JJD1" t="s">
        <v>7342</v>
      </c>
      <c r="JJE1" t="s">
        <v>7343</v>
      </c>
      <c r="JJF1" t="s">
        <v>7344</v>
      </c>
      <c r="JJG1" t="s">
        <v>7345</v>
      </c>
      <c r="JJH1" t="s">
        <v>7346</v>
      </c>
      <c r="JJI1" t="s">
        <v>7347</v>
      </c>
      <c r="JJJ1" t="s">
        <v>7348</v>
      </c>
      <c r="JJK1" t="s">
        <v>7349</v>
      </c>
      <c r="JJL1" t="s">
        <v>7350</v>
      </c>
      <c r="JJM1" t="s">
        <v>7351</v>
      </c>
      <c r="JJN1" t="s">
        <v>7352</v>
      </c>
      <c r="JJO1" t="s">
        <v>7353</v>
      </c>
      <c r="JJP1" t="s">
        <v>7354</v>
      </c>
      <c r="JJQ1" t="s">
        <v>7355</v>
      </c>
      <c r="JJR1" t="s">
        <v>7356</v>
      </c>
      <c r="JJS1" t="s">
        <v>7357</v>
      </c>
      <c r="JJT1" t="s">
        <v>7358</v>
      </c>
      <c r="JJU1" t="s">
        <v>7359</v>
      </c>
      <c r="JJV1" t="s">
        <v>7360</v>
      </c>
      <c r="JJW1" t="s">
        <v>7361</v>
      </c>
      <c r="JJX1" t="s">
        <v>7362</v>
      </c>
      <c r="JJY1" t="s">
        <v>7363</v>
      </c>
      <c r="JJZ1" t="s">
        <v>7364</v>
      </c>
      <c r="JKA1" t="s">
        <v>7365</v>
      </c>
      <c r="JKB1" t="s">
        <v>7366</v>
      </c>
      <c r="JKC1" t="s">
        <v>7367</v>
      </c>
      <c r="JKD1" t="s">
        <v>7368</v>
      </c>
      <c r="JKE1" t="s">
        <v>7369</v>
      </c>
      <c r="JKF1" t="s">
        <v>7370</v>
      </c>
      <c r="JKG1" t="s">
        <v>7371</v>
      </c>
      <c r="JKH1" t="s">
        <v>7372</v>
      </c>
      <c r="JKI1" t="s">
        <v>7373</v>
      </c>
      <c r="JKJ1" t="s">
        <v>7374</v>
      </c>
      <c r="JKK1" t="s">
        <v>7375</v>
      </c>
      <c r="JKL1" t="s">
        <v>7376</v>
      </c>
      <c r="JKM1" t="s">
        <v>7377</v>
      </c>
      <c r="JKN1" t="s">
        <v>7378</v>
      </c>
      <c r="JKO1" t="s">
        <v>7379</v>
      </c>
      <c r="JKP1" t="s">
        <v>7380</v>
      </c>
      <c r="JKQ1" t="s">
        <v>7381</v>
      </c>
      <c r="JKR1" t="s">
        <v>7382</v>
      </c>
      <c r="JKS1" t="s">
        <v>7383</v>
      </c>
      <c r="JKT1" t="s">
        <v>7384</v>
      </c>
      <c r="JKU1" t="s">
        <v>7385</v>
      </c>
      <c r="JKV1" t="s">
        <v>7386</v>
      </c>
      <c r="JKW1" t="s">
        <v>7387</v>
      </c>
      <c r="JKX1" t="s">
        <v>7388</v>
      </c>
      <c r="JKY1" t="s">
        <v>7389</v>
      </c>
      <c r="JKZ1" t="s">
        <v>7390</v>
      </c>
      <c r="JLA1" t="s">
        <v>7391</v>
      </c>
      <c r="JLB1" t="s">
        <v>7392</v>
      </c>
      <c r="JLC1" t="s">
        <v>7393</v>
      </c>
      <c r="JLD1" t="s">
        <v>7394</v>
      </c>
      <c r="JLE1" t="s">
        <v>7395</v>
      </c>
      <c r="JLF1" t="s">
        <v>7396</v>
      </c>
      <c r="JLG1" t="s">
        <v>7397</v>
      </c>
      <c r="JLH1" t="s">
        <v>7398</v>
      </c>
      <c r="JLI1" t="s">
        <v>7399</v>
      </c>
      <c r="JLJ1" t="s">
        <v>7400</v>
      </c>
      <c r="JLK1" t="s">
        <v>7401</v>
      </c>
      <c r="JLL1" t="s">
        <v>7402</v>
      </c>
      <c r="JLM1" t="s">
        <v>7403</v>
      </c>
      <c r="JLN1" t="s">
        <v>7404</v>
      </c>
      <c r="JLO1" t="s">
        <v>7405</v>
      </c>
      <c r="JLP1" t="s">
        <v>7406</v>
      </c>
      <c r="JLQ1" t="s">
        <v>7407</v>
      </c>
      <c r="JLR1" t="s">
        <v>7408</v>
      </c>
      <c r="JLS1" t="s">
        <v>7409</v>
      </c>
      <c r="JLT1" t="s">
        <v>7410</v>
      </c>
      <c r="JLU1" t="s">
        <v>7411</v>
      </c>
      <c r="JLV1" t="s">
        <v>7412</v>
      </c>
      <c r="JLW1" t="s">
        <v>7413</v>
      </c>
      <c r="JLX1" t="s">
        <v>7414</v>
      </c>
      <c r="JLY1" t="s">
        <v>7415</v>
      </c>
      <c r="JLZ1" t="s">
        <v>7416</v>
      </c>
      <c r="JMA1" t="s">
        <v>7417</v>
      </c>
      <c r="JMB1" t="s">
        <v>7418</v>
      </c>
      <c r="JMC1" t="s">
        <v>7419</v>
      </c>
      <c r="JMD1" t="s">
        <v>7420</v>
      </c>
      <c r="JME1" t="s">
        <v>7421</v>
      </c>
      <c r="JMF1" t="s">
        <v>7422</v>
      </c>
      <c r="JMG1" t="s">
        <v>7423</v>
      </c>
      <c r="JMH1" t="s">
        <v>7424</v>
      </c>
      <c r="JMI1" t="s">
        <v>7425</v>
      </c>
      <c r="JMJ1" t="s">
        <v>7426</v>
      </c>
      <c r="JMK1" t="s">
        <v>7427</v>
      </c>
      <c r="JML1" t="s">
        <v>7428</v>
      </c>
      <c r="JMM1" t="s">
        <v>7429</v>
      </c>
      <c r="JMN1" t="s">
        <v>7430</v>
      </c>
      <c r="JMO1" t="s">
        <v>7431</v>
      </c>
      <c r="JMP1" t="s">
        <v>7432</v>
      </c>
      <c r="JMQ1" t="s">
        <v>7433</v>
      </c>
      <c r="JMR1" t="s">
        <v>7434</v>
      </c>
      <c r="JMS1" t="s">
        <v>7435</v>
      </c>
      <c r="JMT1" t="s">
        <v>7436</v>
      </c>
      <c r="JMU1" t="s">
        <v>7437</v>
      </c>
      <c r="JMV1" t="s">
        <v>7438</v>
      </c>
      <c r="JMW1" t="s">
        <v>7439</v>
      </c>
      <c r="JMX1" t="s">
        <v>7440</v>
      </c>
      <c r="JMY1" t="s">
        <v>7441</v>
      </c>
      <c r="JMZ1" t="s">
        <v>7442</v>
      </c>
      <c r="JNA1" t="s">
        <v>7443</v>
      </c>
      <c r="JNB1" t="s">
        <v>7444</v>
      </c>
      <c r="JNC1" t="s">
        <v>7445</v>
      </c>
      <c r="JND1" t="s">
        <v>7446</v>
      </c>
      <c r="JNE1" t="s">
        <v>7447</v>
      </c>
      <c r="JNF1" t="s">
        <v>7448</v>
      </c>
      <c r="JNG1" t="s">
        <v>7449</v>
      </c>
      <c r="JNH1" t="s">
        <v>7450</v>
      </c>
      <c r="JNI1" t="s">
        <v>7451</v>
      </c>
      <c r="JNJ1" t="s">
        <v>7452</v>
      </c>
      <c r="JNK1" t="s">
        <v>7453</v>
      </c>
      <c r="JNL1" t="s">
        <v>7454</v>
      </c>
      <c r="JNM1" t="s">
        <v>7455</v>
      </c>
      <c r="JNN1" t="s">
        <v>7456</v>
      </c>
      <c r="JNO1" t="s">
        <v>7457</v>
      </c>
      <c r="JNP1" t="s">
        <v>7458</v>
      </c>
      <c r="JNQ1" t="s">
        <v>7459</v>
      </c>
      <c r="JNR1" t="s">
        <v>7460</v>
      </c>
      <c r="JNS1" t="s">
        <v>7461</v>
      </c>
      <c r="JNT1" t="s">
        <v>7462</v>
      </c>
      <c r="JNU1" t="s">
        <v>7463</v>
      </c>
      <c r="JNV1" t="s">
        <v>7464</v>
      </c>
      <c r="JNW1" t="s">
        <v>7465</v>
      </c>
      <c r="JNX1" t="s">
        <v>7466</v>
      </c>
      <c r="JNY1" t="s">
        <v>7467</v>
      </c>
      <c r="JNZ1" t="s">
        <v>7468</v>
      </c>
      <c r="JOA1" t="s">
        <v>7469</v>
      </c>
      <c r="JOB1" t="s">
        <v>7470</v>
      </c>
      <c r="JOC1" t="s">
        <v>7471</v>
      </c>
      <c r="JOD1" t="s">
        <v>7472</v>
      </c>
      <c r="JOE1" t="s">
        <v>7473</v>
      </c>
      <c r="JOF1" t="s">
        <v>7474</v>
      </c>
      <c r="JOG1" t="s">
        <v>7475</v>
      </c>
      <c r="JOH1" t="s">
        <v>7476</v>
      </c>
      <c r="JOI1" t="s">
        <v>7477</v>
      </c>
      <c r="JOJ1" t="s">
        <v>7478</v>
      </c>
      <c r="JOK1" t="s">
        <v>7479</v>
      </c>
      <c r="JOL1" t="s">
        <v>7480</v>
      </c>
      <c r="JOM1" t="s">
        <v>7481</v>
      </c>
      <c r="JON1" t="s">
        <v>7482</v>
      </c>
      <c r="JOO1" t="s">
        <v>7483</v>
      </c>
      <c r="JOP1" t="s">
        <v>7484</v>
      </c>
      <c r="JOQ1" t="s">
        <v>7485</v>
      </c>
      <c r="JOR1" t="s">
        <v>7486</v>
      </c>
      <c r="JOS1" t="s">
        <v>7487</v>
      </c>
      <c r="JOT1" t="s">
        <v>7488</v>
      </c>
      <c r="JOU1" t="s">
        <v>7489</v>
      </c>
      <c r="JOV1" t="s">
        <v>7490</v>
      </c>
      <c r="JOW1" t="s">
        <v>7491</v>
      </c>
      <c r="JOX1" t="s">
        <v>7492</v>
      </c>
      <c r="JOY1" t="s">
        <v>7493</v>
      </c>
      <c r="JOZ1" t="s">
        <v>7494</v>
      </c>
      <c r="JPA1" t="s">
        <v>7495</v>
      </c>
      <c r="JPB1" t="s">
        <v>7496</v>
      </c>
      <c r="JPC1" t="s">
        <v>7497</v>
      </c>
      <c r="JPD1" t="s">
        <v>7498</v>
      </c>
      <c r="JPE1" t="s">
        <v>7499</v>
      </c>
      <c r="JPF1" t="s">
        <v>7500</v>
      </c>
      <c r="JPG1" t="s">
        <v>7501</v>
      </c>
      <c r="JPH1" t="s">
        <v>7502</v>
      </c>
      <c r="JPI1" t="s">
        <v>7503</v>
      </c>
      <c r="JPJ1" t="s">
        <v>7504</v>
      </c>
      <c r="JPK1" t="s">
        <v>7505</v>
      </c>
      <c r="JPL1" t="s">
        <v>7506</v>
      </c>
      <c r="JPM1" t="s">
        <v>7507</v>
      </c>
      <c r="JPN1" t="s">
        <v>7508</v>
      </c>
      <c r="JPO1" t="s">
        <v>7509</v>
      </c>
      <c r="JPP1" t="s">
        <v>7510</v>
      </c>
      <c r="JPQ1" t="s">
        <v>7511</v>
      </c>
      <c r="JPR1" t="s">
        <v>7512</v>
      </c>
      <c r="JPS1" t="s">
        <v>7513</v>
      </c>
      <c r="JPT1" t="s">
        <v>7514</v>
      </c>
      <c r="JPU1" t="s">
        <v>7515</v>
      </c>
      <c r="JPV1" t="s">
        <v>7516</v>
      </c>
      <c r="JPW1" t="s">
        <v>7517</v>
      </c>
      <c r="JPX1" t="s">
        <v>7518</v>
      </c>
      <c r="JPY1" t="s">
        <v>7519</v>
      </c>
      <c r="JPZ1" t="s">
        <v>7520</v>
      </c>
      <c r="JQA1" t="s">
        <v>7521</v>
      </c>
      <c r="JQB1" t="s">
        <v>7522</v>
      </c>
      <c r="JQC1" t="s">
        <v>7523</v>
      </c>
      <c r="JQD1" t="s">
        <v>7524</v>
      </c>
      <c r="JQE1" t="s">
        <v>7525</v>
      </c>
      <c r="JQF1" t="s">
        <v>7526</v>
      </c>
      <c r="JQG1" t="s">
        <v>7527</v>
      </c>
      <c r="JQH1" t="s">
        <v>7528</v>
      </c>
      <c r="JQI1" t="s">
        <v>7529</v>
      </c>
      <c r="JQJ1" t="s">
        <v>7530</v>
      </c>
      <c r="JQK1" t="s">
        <v>7531</v>
      </c>
      <c r="JQL1" t="s">
        <v>7532</v>
      </c>
      <c r="JQM1" t="s">
        <v>7533</v>
      </c>
      <c r="JQN1" t="s">
        <v>7534</v>
      </c>
      <c r="JQO1" t="s">
        <v>7535</v>
      </c>
      <c r="JQP1" t="s">
        <v>7536</v>
      </c>
      <c r="JQQ1" t="s">
        <v>7537</v>
      </c>
      <c r="JQR1" t="s">
        <v>7538</v>
      </c>
      <c r="JQS1" t="s">
        <v>7539</v>
      </c>
      <c r="JQT1" t="s">
        <v>7540</v>
      </c>
      <c r="JQU1" t="s">
        <v>7541</v>
      </c>
      <c r="JQV1" t="s">
        <v>7542</v>
      </c>
      <c r="JQW1" t="s">
        <v>7543</v>
      </c>
      <c r="JQX1" t="s">
        <v>7544</v>
      </c>
      <c r="JQY1" t="s">
        <v>7545</v>
      </c>
      <c r="JQZ1" t="s">
        <v>7546</v>
      </c>
      <c r="JRA1" t="s">
        <v>7547</v>
      </c>
      <c r="JRB1" t="s">
        <v>7548</v>
      </c>
      <c r="JRC1" t="s">
        <v>7549</v>
      </c>
      <c r="JRD1" t="s">
        <v>7550</v>
      </c>
      <c r="JRE1" t="s">
        <v>7551</v>
      </c>
      <c r="JRF1" t="s">
        <v>7552</v>
      </c>
      <c r="JRG1" t="s">
        <v>7553</v>
      </c>
      <c r="JRH1" t="s">
        <v>7554</v>
      </c>
      <c r="JRI1" t="s">
        <v>7555</v>
      </c>
      <c r="JRJ1" t="s">
        <v>7556</v>
      </c>
      <c r="JRK1" t="s">
        <v>7557</v>
      </c>
      <c r="JRL1" t="s">
        <v>7558</v>
      </c>
      <c r="JRM1" t="s">
        <v>7559</v>
      </c>
      <c r="JRN1" t="s">
        <v>7560</v>
      </c>
      <c r="JRO1" t="s">
        <v>7561</v>
      </c>
      <c r="JRP1" t="s">
        <v>7562</v>
      </c>
      <c r="JRQ1" t="s">
        <v>7563</v>
      </c>
      <c r="JRR1" t="s">
        <v>7564</v>
      </c>
      <c r="JRS1" t="s">
        <v>7565</v>
      </c>
      <c r="JRT1" t="s">
        <v>7566</v>
      </c>
      <c r="JRU1" t="s">
        <v>7567</v>
      </c>
      <c r="JRV1" t="s">
        <v>7568</v>
      </c>
      <c r="JRW1" t="s">
        <v>7569</v>
      </c>
      <c r="JRX1" t="s">
        <v>7570</v>
      </c>
      <c r="JRY1" t="s">
        <v>7571</v>
      </c>
      <c r="JRZ1" t="s">
        <v>7572</v>
      </c>
      <c r="JSA1" t="s">
        <v>7573</v>
      </c>
      <c r="JSB1" t="s">
        <v>7574</v>
      </c>
      <c r="JSC1" t="s">
        <v>7575</v>
      </c>
      <c r="JSD1" t="s">
        <v>7576</v>
      </c>
      <c r="JSE1" t="s">
        <v>7577</v>
      </c>
      <c r="JSF1" t="s">
        <v>7578</v>
      </c>
      <c r="JSG1" t="s">
        <v>7579</v>
      </c>
      <c r="JSH1" t="s">
        <v>7580</v>
      </c>
      <c r="JSI1" t="s">
        <v>7581</v>
      </c>
      <c r="JSJ1" t="s">
        <v>7582</v>
      </c>
      <c r="JSK1" t="s">
        <v>7583</v>
      </c>
      <c r="JSL1" t="s">
        <v>7584</v>
      </c>
      <c r="JSM1" t="s">
        <v>7585</v>
      </c>
      <c r="JSN1" t="s">
        <v>7586</v>
      </c>
      <c r="JSO1" t="s">
        <v>7587</v>
      </c>
      <c r="JSP1" t="s">
        <v>7588</v>
      </c>
      <c r="JSQ1" t="s">
        <v>7589</v>
      </c>
      <c r="JSR1" t="s">
        <v>7590</v>
      </c>
      <c r="JSS1" t="s">
        <v>7591</v>
      </c>
      <c r="JST1" t="s">
        <v>7592</v>
      </c>
      <c r="JSU1" t="s">
        <v>7593</v>
      </c>
      <c r="JSV1" t="s">
        <v>7594</v>
      </c>
      <c r="JSW1" t="s">
        <v>7595</v>
      </c>
      <c r="JSX1" t="s">
        <v>7596</v>
      </c>
      <c r="JSY1" t="s">
        <v>7597</v>
      </c>
      <c r="JSZ1" t="s">
        <v>7598</v>
      </c>
      <c r="JTA1" t="s">
        <v>7599</v>
      </c>
      <c r="JTB1" t="s">
        <v>7600</v>
      </c>
      <c r="JTC1" t="s">
        <v>7601</v>
      </c>
      <c r="JTD1" t="s">
        <v>7602</v>
      </c>
      <c r="JTE1" t="s">
        <v>7603</v>
      </c>
      <c r="JTF1" t="s">
        <v>7604</v>
      </c>
      <c r="JTG1" t="s">
        <v>7605</v>
      </c>
      <c r="JTH1" t="s">
        <v>7606</v>
      </c>
      <c r="JTI1" t="s">
        <v>7607</v>
      </c>
      <c r="JTJ1" t="s">
        <v>7608</v>
      </c>
      <c r="JTK1" t="s">
        <v>7609</v>
      </c>
      <c r="JTL1" t="s">
        <v>7610</v>
      </c>
      <c r="JTM1" t="s">
        <v>7611</v>
      </c>
      <c r="JTN1" t="s">
        <v>7612</v>
      </c>
      <c r="JTO1" t="s">
        <v>7613</v>
      </c>
      <c r="JTP1" t="s">
        <v>7614</v>
      </c>
      <c r="JTQ1" t="s">
        <v>7615</v>
      </c>
      <c r="JTR1" t="s">
        <v>7616</v>
      </c>
      <c r="JTS1" t="s">
        <v>7617</v>
      </c>
      <c r="JTT1" t="s">
        <v>7618</v>
      </c>
      <c r="JTU1" t="s">
        <v>7619</v>
      </c>
      <c r="JTV1" t="s">
        <v>7620</v>
      </c>
      <c r="JTW1" t="s">
        <v>7621</v>
      </c>
      <c r="JTX1" t="s">
        <v>7622</v>
      </c>
      <c r="JTY1" t="s">
        <v>7623</v>
      </c>
      <c r="JTZ1" t="s">
        <v>7624</v>
      </c>
      <c r="JUA1" t="s">
        <v>7625</v>
      </c>
      <c r="JUB1" t="s">
        <v>7626</v>
      </c>
      <c r="JUC1" t="s">
        <v>7627</v>
      </c>
      <c r="JUD1" t="s">
        <v>7628</v>
      </c>
      <c r="JUE1" t="s">
        <v>7629</v>
      </c>
      <c r="JUF1" t="s">
        <v>7630</v>
      </c>
      <c r="JUG1" t="s">
        <v>7631</v>
      </c>
      <c r="JUH1" t="s">
        <v>7632</v>
      </c>
      <c r="JUI1" t="s">
        <v>7633</v>
      </c>
      <c r="JUJ1" t="s">
        <v>7634</v>
      </c>
      <c r="JUK1" t="s">
        <v>7635</v>
      </c>
      <c r="JUL1" t="s">
        <v>7636</v>
      </c>
      <c r="JUM1" t="s">
        <v>7637</v>
      </c>
      <c r="JUN1" t="s">
        <v>7638</v>
      </c>
      <c r="JUO1" t="s">
        <v>7639</v>
      </c>
      <c r="JUP1" t="s">
        <v>7640</v>
      </c>
      <c r="JUQ1" t="s">
        <v>7641</v>
      </c>
      <c r="JUR1" t="s">
        <v>7642</v>
      </c>
      <c r="JUS1" t="s">
        <v>7643</v>
      </c>
      <c r="JUT1" t="s">
        <v>7644</v>
      </c>
      <c r="JUU1" t="s">
        <v>7645</v>
      </c>
      <c r="JUV1" t="s">
        <v>7646</v>
      </c>
      <c r="JUW1" t="s">
        <v>7647</v>
      </c>
      <c r="JUX1" t="s">
        <v>7648</v>
      </c>
      <c r="JUY1" t="s">
        <v>7649</v>
      </c>
      <c r="JUZ1" t="s">
        <v>7650</v>
      </c>
      <c r="JVA1" t="s">
        <v>7651</v>
      </c>
      <c r="JVB1" t="s">
        <v>7652</v>
      </c>
      <c r="JVC1" t="s">
        <v>7653</v>
      </c>
      <c r="JVD1" t="s">
        <v>7654</v>
      </c>
      <c r="JVE1" t="s">
        <v>7655</v>
      </c>
      <c r="JVF1" t="s">
        <v>7656</v>
      </c>
      <c r="JVG1" t="s">
        <v>7657</v>
      </c>
      <c r="JVH1" t="s">
        <v>7658</v>
      </c>
      <c r="JVI1" t="s">
        <v>7659</v>
      </c>
      <c r="JVJ1" t="s">
        <v>7660</v>
      </c>
      <c r="JVK1" t="s">
        <v>7661</v>
      </c>
      <c r="JVL1" t="s">
        <v>7662</v>
      </c>
      <c r="JVM1" t="s">
        <v>7663</v>
      </c>
      <c r="JVN1" t="s">
        <v>7664</v>
      </c>
      <c r="JVO1" t="s">
        <v>7665</v>
      </c>
      <c r="JVP1" t="s">
        <v>7666</v>
      </c>
      <c r="JVQ1" t="s">
        <v>7667</v>
      </c>
      <c r="JVR1" t="s">
        <v>7668</v>
      </c>
      <c r="JVS1" t="s">
        <v>7669</v>
      </c>
      <c r="JVT1" t="s">
        <v>7670</v>
      </c>
      <c r="JVU1" t="s">
        <v>7671</v>
      </c>
      <c r="JVV1" t="s">
        <v>7672</v>
      </c>
      <c r="JVW1" t="s">
        <v>7673</v>
      </c>
      <c r="JVX1" t="s">
        <v>7674</v>
      </c>
      <c r="JVY1" t="s">
        <v>7675</v>
      </c>
      <c r="JVZ1" t="s">
        <v>7676</v>
      </c>
      <c r="JWA1" t="s">
        <v>7677</v>
      </c>
      <c r="JWB1" t="s">
        <v>7678</v>
      </c>
      <c r="JWC1" t="s">
        <v>7679</v>
      </c>
      <c r="JWD1" t="s">
        <v>7680</v>
      </c>
      <c r="JWE1" t="s">
        <v>7681</v>
      </c>
      <c r="JWF1" t="s">
        <v>7682</v>
      </c>
      <c r="JWG1" t="s">
        <v>7683</v>
      </c>
      <c r="JWH1" t="s">
        <v>7684</v>
      </c>
      <c r="JWI1" t="s">
        <v>7685</v>
      </c>
      <c r="JWJ1" t="s">
        <v>7686</v>
      </c>
      <c r="JWK1" t="s">
        <v>7687</v>
      </c>
      <c r="JWL1" t="s">
        <v>7688</v>
      </c>
      <c r="JWM1" t="s">
        <v>7689</v>
      </c>
      <c r="JWN1" t="s">
        <v>7690</v>
      </c>
      <c r="JWO1" t="s">
        <v>7691</v>
      </c>
      <c r="JWP1" t="s">
        <v>7692</v>
      </c>
      <c r="JWQ1" t="s">
        <v>7693</v>
      </c>
      <c r="JWR1" t="s">
        <v>7694</v>
      </c>
      <c r="JWS1" t="s">
        <v>7695</v>
      </c>
      <c r="JWT1" t="s">
        <v>7696</v>
      </c>
      <c r="JWU1" t="s">
        <v>7697</v>
      </c>
      <c r="JWV1" t="s">
        <v>7698</v>
      </c>
      <c r="JWW1" t="s">
        <v>7699</v>
      </c>
      <c r="JWX1" t="s">
        <v>7700</v>
      </c>
      <c r="JWY1" t="s">
        <v>7701</v>
      </c>
      <c r="JWZ1" t="s">
        <v>7702</v>
      </c>
      <c r="JXA1" t="s">
        <v>7703</v>
      </c>
      <c r="JXB1" t="s">
        <v>7704</v>
      </c>
      <c r="JXC1" t="s">
        <v>7705</v>
      </c>
      <c r="JXD1" t="s">
        <v>7706</v>
      </c>
      <c r="JXE1" t="s">
        <v>7707</v>
      </c>
      <c r="JXF1" t="s">
        <v>7708</v>
      </c>
      <c r="JXG1" t="s">
        <v>7709</v>
      </c>
      <c r="JXH1" t="s">
        <v>7710</v>
      </c>
      <c r="JXI1" t="s">
        <v>7711</v>
      </c>
      <c r="JXJ1" t="s">
        <v>7712</v>
      </c>
      <c r="JXK1" t="s">
        <v>7713</v>
      </c>
      <c r="JXL1" t="s">
        <v>7714</v>
      </c>
      <c r="JXM1" t="s">
        <v>7715</v>
      </c>
      <c r="JXN1" t="s">
        <v>7716</v>
      </c>
      <c r="JXO1" t="s">
        <v>7717</v>
      </c>
      <c r="JXP1" t="s">
        <v>7718</v>
      </c>
      <c r="JXQ1" t="s">
        <v>7719</v>
      </c>
      <c r="JXR1" t="s">
        <v>7720</v>
      </c>
      <c r="JXS1" t="s">
        <v>7721</v>
      </c>
      <c r="JXT1" t="s">
        <v>7722</v>
      </c>
      <c r="JXU1" t="s">
        <v>7723</v>
      </c>
      <c r="JXV1" t="s">
        <v>7724</v>
      </c>
      <c r="JXW1" t="s">
        <v>7725</v>
      </c>
      <c r="JXX1" t="s">
        <v>7726</v>
      </c>
      <c r="JXY1" t="s">
        <v>7727</v>
      </c>
      <c r="JXZ1" t="s">
        <v>7728</v>
      </c>
      <c r="JYA1" t="s">
        <v>7729</v>
      </c>
      <c r="JYB1" t="s">
        <v>7730</v>
      </c>
      <c r="JYC1" t="s">
        <v>7731</v>
      </c>
      <c r="JYD1" t="s">
        <v>7732</v>
      </c>
      <c r="JYE1" t="s">
        <v>7733</v>
      </c>
      <c r="JYF1" t="s">
        <v>7734</v>
      </c>
      <c r="JYG1" t="s">
        <v>7735</v>
      </c>
      <c r="JYH1" t="s">
        <v>7736</v>
      </c>
      <c r="JYI1" t="s">
        <v>7737</v>
      </c>
      <c r="JYJ1" t="s">
        <v>7738</v>
      </c>
      <c r="JYK1" t="s">
        <v>7739</v>
      </c>
      <c r="JYL1" t="s">
        <v>7740</v>
      </c>
      <c r="JYM1" t="s">
        <v>7741</v>
      </c>
      <c r="JYN1" t="s">
        <v>7742</v>
      </c>
      <c r="JYO1" t="s">
        <v>7743</v>
      </c>
      <c r="JYP1" t="s">
        <v>7744</v>
      </c>
      <c r="JYQ1" t="s">
        <v>7745</v>
      </c>
      <c r="JYR1" t="s">
        <v>7746</v>
      </c>
      <c r="JYS1" t="s">
        <v>7747</v>
      </c>
      <c r="JYT1" t="s">
        <v>7748</v>
      </c>
      <c r="JYU1" t="s">
        <v>7749</v>
      </c>
      <c r="JYV1" t="s">
        <v>7750</v>
      </c>
      <c r="JYW1" t="s">
        <v>7751</v>
      </c>
      <c r="JYX1" t="s">
        <v>7752</v>
      </c>
      <c r="JYY1" t="s">
        <v>7753</v>
      </c>
      <c r="JYZ1" t="s">
        <v>7754</v>
      </c>
      <c r="JZA1" t="s">
        <v>7755</v>
      </c>
      <c r="JZB1" t="s">
        <v>7756</v>
      </c>
      <c r="JZC1" t="s">
        <v>7757</v>
      </c>
      <c r="JZD1" t="s">
        <v>7758</v>
      </c>
      <c r="JZE1" t="s">
        <v>7759</v>
      </c>
      <c r="JZF1" t="s">
        <v>7760</v>
      </c>
      <c r="JZG1" t="s">
        <v>7761</v>
      </c>
      <c r="JZH1" t="s">
        <v>7762</v>
      </c>
      <c r="JZI1" t="s">
        <v>7763</v>
      </c>
      <c r="JZJ1" t="s">
        <v>7764</v>
      </c>
      <c r="JZK1" t="s">
        <v>7765</v>
      </c>
      <c r="JZL1" t="s">
        <v>7766</v>
      </c>
      <c r="JZM1" t="s">
        <v>7767</v>
      </c>
      <c r="JZN1" t="s">
        <v>7768</v>
      </c>
      <c r="JZO1" t="s">
        <v>7769</v>
      </c>
      <c r="JZP1" t="s">
        <v>7770</v>
      </c>
      <c r="JZQ1" t="s">
        <v>7771</v>
      </c>
      <c r="JZR1" t="s">
        <v>7772</v>
      </c>
      <c r="JZS1" t="s">
        <v>7773</v>
      </c>
      <c r="JZT1" t="s">
        <v>7774</v>
      </c>
      <c r="JZU1" t="s">
        <v>7775</v>
      </c>
      <c r="JZV1" t="s">
        <v>7776</v>
      </c>
      <c r="JZW1" t="s">
        <v>7777</v>
      </c>
      <c r="JZX1" t="s">
        <v>7778</v>
      </c>
      <c r="JZY1" t="s">
        <v>7779</v>
      </c>
      <c r="JZZ1" t="s">
        <v>7780</v>
      </c>
      <c r="KAA1" t="s">
        <v>7781</v>
      </c>
      <c r="KAB1" t="s">
        <v>7782</v>
      </c>
      <c r="KAC1" t="s">
        <v>7783</v>
      </c>
      <c r="KAD1" t="s">
        <v>7784</v>
      </c>
      <c r="KAE1" t="s">
        <v>7785</v>
      </c>
      <c r="KAF1" t="s">
        <v>7786</v>
      </c>
      <c r="KAG1" t="s">
        <v>7787</v>
      </c>
      <c r="KAH1" t="s">
        <v>7788</v>
      </c>
      <c r="KAI1" t="s">
        <v>7789</v>
      </c>
      <c r="KAJ1" t="s">
        <v>7790</v>
      </c>
      <c r="KAK1" t="s">
        <v>7791</v>
      </c>
      <c r="KAL1" t="s">
        <v>7792</v>
      </c>
      <c r="KAM1" t="s">
        <v>7793</v>
      </c>
      <c r="KAN1" t="s">
        <v>7794</v>
      </c>
      <c r="KAO1" t="s">
        <v>7795</v>
      </c>
      <c r="KAP1" t="s">
        <v>7796</v>
      </c>
      <c r="KAQ1" t="s">
        <v>7797</v>
      </c>
      <c r="KAR1" t="s">
        <v>7798</v>
      </c>
      <c r="KAS1" t="s">
        <v>7799</v>
      </c>
      <c r="KAT1" t="s">
        <v>7800</v>
      </c>
      <c r="KAU1" t="s">
        <v>7801</v>
      </c>
      <c r="KAV1" t="s">
        <v>7802</v>
      </c>
      <c r="KAW1" t="s">
        <v>7803</v>
      </c>
      <c r="KAX1" t="s">
        <v>7804</v>
      </c>
      <c r="KAY1" t="s">
        <v>7805</v>
      </c>
      <c r="KAZ1" t="s">
        <v>7806</v>
      </c>
      <c r="KBA1" t="s">
        <v>7807</v>
      </c>
      <c r="KBB1" t="s">
        <v>7808</v>
      </c>
      <c r="KBC1" t="s">
        <v>7809</v>
      </c>
      <c r="KBD1" t="s">
        <v>7810</v>
      </c>
      <c r="KBE1" t="s">
        <v>7811</v>
      </c>
      <c r="KBF1" t="s">
        <v>7812</v>
      </c>
      <c r="KBG1" t="s">
        <v>7813</v>
      </c>
      <c r="KBH1" t="s">
        <v>7814</v>
      </c>
      <c r="KBI1" t="s">
        <v>7815</v>
      </c>
      <c r="KBJ1" t="s">
        <v>7816</v>
      </c>
      <c r="KBK1" t="s">
        <v>7817</v>
      </c>
      <c r="KBL1" t="s">
        <v>7818</v>
      </c>
      <c r="KBM1" t="s">
        <v>7819</v>
      </c>
      <c r="KBN1" t="s">
        <v>7820</v>
      </c>
      <c r="KBO1" t="s">
        <v>7821</v>
      </c>
      <c r="KBP1" t="s">
        <v>7822</v>
      </c>
      <c r="KBQ1" t="s">
        <v>7823</v>
      </c>
      <c r="KBR1" t="s">
        <v>7824</v>
      </c>
      <c r="KBS1" t="s">
        <v>7825</v>
      </c>
      <c r="KBT1" t="s">
        <v>7826</v>
      </c>
      <c r="KBU1" t="s">
        <v>7827</v>
      </c>
      <c r="KBV1" t="s">
        <v>7828</v>
      </c>
      <c r="KBW1" t="s">
        <v>7829</v>
      </c>
      <c r="KBX1" t="s">
        <v>7830</v>
      </c>
      <c r="KBY1" t="s">
        <v>7831</v>
      </c>
      <c r="KBZ1" t="s">
        <v>7832</v>
      </c>
      <c r="KCA1" t="s">
        <v>7833</v>
      </c>
      <c r="KCB1" t="s">
        <v>7834</v>
      </c>
      <c r="KCC1" t="s">
        <v>7835</v>
      </c>
      <c r="KCD1" t="s">
        <v>7836</v>
      </c>
      <c r="KCE1" t="s">
        <v>7837</v>
      </c>
      <c r="KCF1" t="s">
        <v>7838</v>
      </c>
      <c r="KCG1" t="s">
        <v>7839</v>
      </c>
      <c r="KCH1" t="s">
        <v>7840</v>
      </c>
      <c r="KCI1" t="s">
        <v>7841</v>
      </c>
      <c r="KCJ1" t="s">
        <v>7842</v>
      </c>
      <c r="KCK1" t="s">
        <v>7843</v>
      </c>
      <c r="KCL1" t="s">
        <v>7844</v>
      </c>
      <c r="KCM1" t="s">
        <v>7845</v>
      </c>
      <c r="KCN1" t="s">
        <v>7846</v>
      </c>
      <c r="KCO1" t="s">
        <v>7847</v>
      </c>
      <c r="KCP1" t="s">
        <v>7848</v>
      </c>
      <c r="KCQ1" t="s">
        <v>7849</v>
      </c>
      <c r="KCR1" t="s">
        <v>7850</v>
      </c>
      <c r="KCS1" t="s">
        <v>7851</v>
      </c>
      <c r="KCT1" t="s">
        <v>7852</v>
      </c>
      <c r="KCU1" t="s">
        <v>7853</v>
      </c>
      <c r="KCV1" t="s">
        <v>7854</v>
      </c>
      <c r="KCW1" t="s">
        <v>7855</v>
      </c>
      <c r="KCX1" t="s">
        <v>7856</v>
      </c>
      <c r="KCY1" t="s">
        <v>7857</v>
      </c>
      <c r="KCZ1" t="s">
        <v>7858</v>
      </c>
      <c r="KDA1" t="s">
        <v>7859</v>
      </c>
      <c r="KDB1" t="s">
        <v>7860</v>
      </c>
      <c r="KDC1" t="s">
        <v>7861</v>
      </c>
      <c r="KDD1" t="s">
        <v>7862</v>
      </c>
      <c r="KDE1" t="s">
        <v>7863</v>
      </c>
      <c r="KDF1" t="s">
        <v>7864</v>
      </c>
      <c r="KDG1" t="s">
        <v>7865</v>
      </c>
      <c r="KDH1" t="s">
        <v>7866</v>
      </c>
      <c r="KDI1" t="s">
        <v>7867</v>
      </c>
      <c r="KDJ1" t="s">
        <v>7868</v>
      </c>
      <c r="KDK1" t="s">
        <v>7869</v>
      </c>
      <c r="KDL1" t="s">
        <v>7870</v>
      </c>
      <c r="KDM1" t="s">
        <v>7871</v>
      </c>
      <c r="KDN1" t="s">
        <v>7872</v>
      </c>
      <c r="KDO1" t="s">
        <v>7873</v>
      </c>
      <c r="KDP1" t="s">
        <v>7874</v>
      </c>
      <c r="KDQ1" t="s">
        <v>7875</v>
      </c>
      <c r="KDR1" t="s">
        <v>7876</v>
      </c>
      <c r="KDS1" t="s">
        <v>7877</v>
      </c>
      <c r="KDT1" t="s">
        <v>7878</v>
      </c>
      <c r="KDU1" t="s">
        <v>7879</v>
      </c>
      <c r="KDV1" t="s">
        <v>7880</v>
      </c>
      <c r="KDW1" t="s">
        <v>7881</v>
      </c>
      <c r="KDX1" t="s">
        <v>7882</v>
      </c>
      <c r="KDY1" t="s">
        <v>7883</v>
      </c>
      <c r="KDZ1" t="s">
        <v>7884</v>
      </c>
      <c r="KEA1" t="s">
        <v>7885</v>
      </c>
      <c r="KEB1" t="s">
        <v>7886</v>
      </c>
      <c r="KEC1" t="s">
        <v>7887</v>
      </c>
      <c r="KED1" t="s">
        <v>7888</v>
      </c>
      <c r="KEE1" t="s">
        <v>7889</v>
      </c>
      <c r="KEF1" t="s">
        <v>7890</v>
      </c>
      <c r="KEG1" t="s">
        <v>7891</v>
      </c>
      <c r="KEH1" t="s">
        <v>7892</v>
      </c>
      <c r="KEI1" t="s">
        <v>7893</v>
      </c>
      <c r="KEJ1" t="s">
        <v>7894</v>
      </c>
      <c r="KEK1" t="s">
        <v>7895</v>
      </c>
      <c r="KEL1" t="s">
        <v>7896</v>
      </c>
      <c r="KEM1" t="s">
        <v>7897</v>
      </c>
      <c r="KEN1" t="s">
        <v>7898</v>
      </c>
      <c r="KEO1" t="s">
        <v>7899</v>
      </c>
      <c r="KEP1" t="s">
        <v>7900</v>
      </c>
      <c r="KEQ1" t="s">
        <v>7901</v>
      </c>
      <c r="KER1" t="s">
        <v>7902</v>
      </c>
      <c r="KES1" t="s">
        <v>7903</v>
      </c>
      <c r="KET1" t="s">
        <v>7904</v>
      </c>
      <c r="KEU1" t="s">
        <v>7905</v>
      </c>
      <c r="KEV1" t="s">
        <v>7906</v>
      </c>
      <c r="KEW1" t="s">
        <v>7907</v>
      </c>
      <c r="KEX1" t="s">
        <v>7908</v>
      </c>
      <c r="KEY1" t="s">
        <v>7909</v>
      </c>
      <c r="KEZ1" t="s">
        <v>7910</v>
      </c>
      <c r="KFA1" t="s">
        <v>7911</v>
      </c>
      <c r="KFB1" t="s">
        <v>7912</v>
      </c>
      <c r="KFC1" t="s">
        <v>7913</v>
      </c>
      <c r="KFD1" t="s">
        <v>7914</v>
      </c>
      <c r="KFE1" t="s">
        <v>7915</v>
      </c>
      <c r="KFF1" t="s">
        <v>7916</v>
      </c>
      <c r="KFG1" t="s">
        <v>7917</v>
      </c>
      <c r="KFH1" t="s">
        <v>7918</v>
      </c>
      <c r="KFI1" t="s">
        <v>7919</v>
      </c>
      <c r="KFJ1" t="s">
        <v>7920</v>
      </c>
      <c r="KFK1" t="s">
        <v>7921</v>
      </c>
      <c r="KFL1" t="s">
        <v>7922</v>
      </c>
      <c r="KFM1" t="s">
        <v>7923</v>
      </c>
      <c r="KFN1" t="s">
        <v>7924</v>
      </c>
      <c r="KFO1" t="s">
        <v>7925</v>
      </c>
      <c r="KFP1" t="s">
        <v>7926</v>
      </c>
      <c r="KFQ1" t="s">
        <v>7927</v>
      </c>
      <c r="KFR1" t="s">
        <v>7928</v>
      </c>
      <c r="KFS1" t="s">
        <v>7929</v>
      </c>
      <c r="KFT1" t="s">
        <v>7930</v>
      </c>
      <c r="KFU1" t="s">
        <v>7931</v>
      </c>
      <c r="KFV1" t="s">
        <v>7932</v>
      </c>
      <c r="KFW1" t="s">
        <v>7933</v>
      </c>
      <c r="KFX1" t="s">
        <v>7934</v>
      </c>
      <c r="KFY1" t="s">
        <v>7935</v>
      </c>
      <c r="KFZ1" t="s">
        <v>7936</v>
      </c>
      <c r="KGA1" t="s">
        <v>7937</v>
      </c>
      <c r="KGB1" t="s">
        <v>7938</v>
      </c>
      <c r="KGC1" t="s">
        <v>7939</v>
      </c>
      <c r="KGD1" t="s">
        <v>7940</v>
      </c>
      <c r="KGE1" t="s">
        <v>7941</v>
      </c>
      <c r="KGF1" t="s">
        <v>7942</v>
      </c>
      <c r="KGG1" t="s">
        <v>7943</v>
      </c>
      <c r="KGH1" t="s">
        <v>7944</v>
      </c>
      <c r="KGI1" t="s">
        <v>7945</v>
      </c>
      <c r="KGJ1" t="s">
        <v>7946</v>
      </c>
      <c r="KGK1" t="s">
        <v>7947</v>
      </c>
      <c r="KGL1" t="s">
        <v>7948</v>
      </c>
      <c r="KGM1" t="s">
        <v>7949</v>
      </c>
      <c r="KGN1" t="s">
        <v>7950</v>
      </c>
      <c r="KGO1" t="s">
        <v>7951</v>
      </c>
      <c r="KGP1" t="s">
        <v>7952</v>
      </c>
      <c r="KGQ1" t="s">
        <v>7953</v>
      </c>
      <c r="KGR1" t="s">
        <v>7954</v>
      </c>
      <c r="KGS1" t="s">
        <v>7955</v>
      </c>
      <c r="KGT1" t="s">
        <v>7956</v>
      </c>
      <c r="KGU1" t="s">
        <v>7957</v>
      </c>
      <c r="KGV1" t="s">
        <v>7958</v>
      </c>
      <c r="KGW1" t="s">
        <v>7959</v>
      </c>
      <c r="KGX1" t="s">
        <v>7960</v>
      </c>
      <c r="KGY1" t="s">
        <v>7961</v>
      </c>
      <c r="KGZ1" t="s">
        <v>7962</v>
      </c>
      <c r="KHA1" t="s">
        <v>7963</v>
      </c>
      <c r="KHB1" t="s">
        <v>7964</v>
      </c>
      <c r="KHC1" t="s">
        <v>7965</v>
      </c>
      <c r="KHD1" t="s">
        <v>7966</v>
      </c>
      <c r="KHE1" t="s">
        <v>7967</v>
      </c>
      <c r="KHF1" t="s">
        <v>7968</v>
      </c>
      <c r="KHG1" t="s">
        <v>7969</v>
      </c>
      <c r="KHH1" t="s">
        <v>7970</v>
      </c>
      <c r="KHI1" t="s">
        <v>7971</v>
      </c>
      <c r="KHJ1" t="s">
        <v>7972</v>
      </c>
      <c r="KHK1" t="s">
        <v>7973</v>
      </c>
      <c r="KHL1" t="s">
        <v>7974</v>
      </c>
      <c r="KHM1" t="s">
        <v>7975</v>
      </c>
      <c r="KHN1" t="s">
        <v>7976</v>
      </c>
      <c r="KHO1" t="s">
        <v>7977</v>
      </c>
      <c r="KHP1" t="s">
        <v>7978</v>
      </c>
      <c r="KHQ1" t="s">
        <v>7979</v>
      </c>
      <c r="KHR1" t="s">
        <v>7980</v>
      </c>
      <c r="KHS1" t="s">
        <v>7981</v>
      </c>
      <c r="KHT1" t="s">
        <v>7982</v>
      </c>
      <c r="KHU1" t="s">
        <v>7983</v>
      </c>
      <c r="KHV1" t="s">
        <v>7984</v>
      </c>
      <c r="KHW1" t="s">
        <v>7985</v>
      </c>
      <c r="KHX1" t="s">
        <v>7986</v>
      </c>
      <c r="KHY1" t="s">
        <v>7987</v>
      </c>
      <c r="KHZ1" t="s">
        <v>7988</v>
      </c>
      <c r="KIA1" t="s">
        <v>7989</v>
      </c>
      <c r="KIB1" t="s">
        <v>7990</v>
      </c>
      <c r="KIC1" t="s">
        <v>7991</v>
      </c>
      <c r="KID1" t="s">
        <v>7992</v>
      </c>
      <c r="KIE1" t="s">
        <v>7993</v>
      </c>
      <c r="KIF1" t="s">
        <v>7994</v>
      </c>
      <c r="KIG1" t="s">
        <v>7995</v>
      </c>
      <c r="KIH1" t="s">
        <v>7996</v>
      </c>
      <c r="KII1" t="s">
        <v>7997</v>
      </c>
      <c r="KIJ1" t="s">
        <v>7998</v>
      </c>
      <c r="KIK1" t="s">
        <v>7999</v>
      </c>
      <c r="KIL1" t="s">
        <v>8000</v>
      </c>
      <c r="KIM1" t="s">
        <v>8001</v>
      </c>
      <c r="KIN1" t="s">
        <v>8002</v>
      </c>
      <c r="KIO1" t="s">
        <v>8003</v>
      </c>
      <c r="KIP1" t="s">
        <v>8004</v>
      </c>
      <c r="KIQ1" t="s">
        <v>8005</v>
      </c>
      <c r="KIR1" t="s">
        <v>8006</v>
      </c>
      <c r="KIS1" t="s">
        <v>8007</v>
      </c>
      <c r="KIT1" t="s">
        <v>8008</v>
      </c>
      <c r="KIU1" t="s">
        <v>8009</v>
      </c>
      <c r="KIV1" t="s">
        <v>8010</v>
      </c>
      <c r="KIW1" t="s">
        <v>8011</v>
      </c>
      <c r="KIX1" t="s">
        <v>8012</v>
      </c>
      <c r="KIY1" t="s">
        <v>8013</v>
      </c>
      <c r="KIZ1" t="s">
        <v>8014</v>
      </c>
      <c r="KJA1" t="s">
        <v>8015</v>
      </c>
      <c r="KJB1" t="s">
        <v>8016</v>
      </c>
      <c r="KJC1" t="s">
        <v>8017</v>
      </c>
      <c r="KJD1" t="s">
        <v>8018</v>
      </c>
      <c r="KJE1" t="s">
        <v>8019</v>
      </c>
      <c r="KJF1" t="s">
        <v>8020</v>
      </c>
      <c r="KJG1" t="s">
        <v>8021</v>
      </c>
      <c r="KJH1" t="s">
        <v>8022</v>
      </c>
      <c r="KJI1" t="s">
        <v>8023</v>
      </c>
      <c r="KJJ1" t="s">
        <v>8024</v>
      </c>
      <c r="KJK1" t="s">
        <v>8025</v>
      </c>
      <c r="KJL1" t="s">
        <v>8026</v>
      </c>
      <c r="KJM1" t="s">
        <v>8027</v>
      </c>
      <c r="KJN1" t="s">
        <v>8028</v>
      </c>
      <c r="KJO1" t="s">
        <v>8029</v>
      </c>
      <c r="KJP1" t="s">
        <v>8030</v>
      </c>
      <c r="KJQ1" t="s">
        <v>8031</v>
      </c>
      <c r="KJR1" t="s">
        <v>8032</v>
      </c>
      <c r="KJS1" t="s">
        <v>8033</v>
      </c>
      <c r="KJT1" t="s">
        <v>8034</v>
      </c>
      <c r="KJU1" t="s">
        <v>8035</v>
      </c>
      <c r="KJV1" t="s">
        <v>8036</v>
      </c>
      <c r="KJW1" t="s">
        <v>8037</v>
      </c>
      <c r="KJX1" t="s">
        <v>8038</v>
      </c>
      <c r="KJY1" t="s">
        <v>8039</v>
      </c>
      <c r="KJZ1" t="s">
        <v>8040</v>
      </c>
      <c r="KKA1" t="s">
        <v>8041</v>
      </c>
      <c r="KKB1" t="s">
        <v>8042</v>
      </c>
      <c r="KKC1" t="s">
        <v>8043</v>
      </c>
      <c r="KKD1" t="s">
        <v>8044</v>
      </c>
      <c r="KKE1" t="s">
        <v>8045</v>
      </c>
      <c r="KKF1" t="s">
        <v>8046</v>
      </c>
      <c r="KKG1" t="s">
        <v>8047</v>
      </c>
      <c r="KKH1" t="s">
        <v>8048</v>
      </c>
      <c r="KKI1" t="s">
        <v>8049</v>
      </c>
      <c r="KKJ1" t="s">
        <v>8050</v>
      </c>
      <c r="KKK1" t="s">
        <v>8051</v>
      </c>
      <c r="KKL1" t="s">
        <v>8052</v>
      </c>
      <c r="KKM1" t="s">
        <v>8053</v>
      </c>
      <c r="KKN1" t="s">
        <v>8054</v>
      </c>
      <c r="KKO1" t="s">
        <v>8055</v>
      </c>
      <c r="KKP1" t="s">
        <v>8056</v>
      </c>
      <c r="KKQ1" t="s">
        <v>8057</v>
      </c>
      <c r="KKR1" t="s">
        <v>8058</v>
      </c>
      <c r="KKS1" t="s">
        <v>8059</v>
      </c>
      <c r="KKT1" t="s">
        <v>8060</v>
      </c>
      <c r="KKU1" t="s">
        <v>8061</v>
      </c>
      <c r="KKV1" t="s">
        <v>8062</v>
      </c>
      <c r="KKW1" t="s">
        <v>8063</v>
      </c>
      <c r="KKX1" t="s">
        <v>8064</v>
      </c>
      <c r="KKY1" t="s">
        <v>8065</v>
      </c>
      <c r="KKZ1" t="s">
        <v>8066</v>
      </c>
      <c r="KLA1" t="s">
        <v>8067</v>
      </c>
      <c r="KLB1" t="s">
        <v>8068</v>
      </c>
      <c r="KLC1" t="s">
        <v>8069</v>
      </c>
      <c r="KLD1" t="s">
        <v>8070</v>
      </c>
      <c r="KLE1" t="s">
        <v>8071</v>
      </c>
      <c r="KLF1" t="s">
        <v>8072</v>
      </c>
      <c r="KLG1" t="s">
        <v>8073</v>
      </c>
      <c r="KLH1" t="s">
        <v>8074</v>
      </c>
      <c r="KLI1" t="s">
        <v>8075</v>
      </c>
      <c r="KLJ1" t="s">
        <v>8076</v>
      </c>
      <c r="KLK1" t="s">
        <v>8077</v>
      </c>
      <c r="KLL1" t="s">
        <v>8078</v>
      </c>
      <c r="KLM1" t="s">
        <v>8079</v>
      </c>
      <c r="KLN1" t="s">
        <v>8080</v>
      </c>
      <c r="KLO1" t="s">
        <v>8081</v>
      </c>
      <c r="KLP1" t="s">
        <v>8082</v>
      </c>
      <c r="KLQ1" t="s">
        <v>8083</v>
      </c>
      <c r="KLR1" t="s">
        <v>8084</v>
      </c>
      <c r="KLS1" t="s">
        <v>8085</v>
      </c>
      <c r="KLT1" t="s">
        <v>8086</v>
      </c>
      <c r="KLU1" t="s">
        <v>8087</v>
      </c>
      <c r="KLV1" t="s">
        <v>8088</v>
      </c>
      <c r="KLW1" t="s">
        <v>8089</v>
      </c>
      <c r="KLX1" t="s">
        <v>8090</v>
      </c>
      <c r="KLY1" t="s">
        <v>8091</v>
      </c>
      <c r="KLZ1" t="s">
        <v>8092</v>
      </c>
      <c r="KMA1" t="s">
        <v>8093</v>
      </c>
      <c r="KMB1" t="s">
        <v>8094</v>
      </c>
      <c r="KMC1" t="s">
        <v>8095</v>
      </c>
      <c r="KMD1" t="s">
        <v>8096</v>
      </c>
      <c r="KME1" t="s">
        <v>8097</v>
      </c>
      <c r="KMF1" t="s">
        <v>8098</v>
      </c>
      <c r="KMG1" t="s">
        <v>8099</v>
      </c>
      <c r="KMH1" t="s">
        <v>8100</v>
      </c>
      <c r="KMI1" t="s">
        <v>8101</v>
      </c>
      <c r="KMJ1" t="s">
        <v>8102</v>
      </c>
      <c r="KMK1" t="s">
        <v>8103</v>
      </c>
      <c r="KML1" t="s">
        <v>8104</v>
      </c>
      <c r="KMM1" t="s">
        <v>8105</v>
      </c>
      <c r="KMN1" t="s">
        <v>8106</v>
      </c>
      <c r="KMO1" t="s">
        <v>8107</v>
      </c>
      <c r="KMP1" t="s">
        <v>8108</v>
      </c>
      <c r="KMQ1" t="s">
        <v>8109</v>
      </c>
      <c r="KMR1" t="s">
        <v>8110</v>
      </c>
      <c r="KMS1" t="s">
        <v>8111</v>
      </c>
      <c r="KMT1" t="s">
        <v>8112</v>
      </c>
      <c r="KMU1" t="s">
        <v>8113</v>
      </c>
      <c r="KMV1" t="s">
        <v>8114</v>
      </c>
      <c r="KMW1" t="s">
        <v>8115</v>
      </c>
      <c r="KMX1" t="s">
        <v>8116</v>
      </c>
      <c r="KMY1" t="s">
        <v>8117</v>
      </c>
      <c r="KMZ1" t="s">
        <v>8118</v>
      </c>
      <c r="KNA1" t="s">
        <v>8119</v>
      </c>
      <c r="KNB1" t="s">
        <v>8120</v>
      </c>
      <c r="KNC1" t="s">
        <v>8121</v>
      </c>
      <c r="KND1" t="s">
        <v>8122</v>
      </c>
      <c r="KNE1" t="s">
        <v>8123</v>
      </c>
      <c r="KNF1" t="s">
        <v>8124</v>
      </c>
      <c r="KNG1" t="s">
        <v>8125</v>
      </c>
      <c r="KNH1" t="s">
        <v>8126</v>
      </c>
      <c r="KNI1" t="s">
        <v>8127</v>
      </c>
      <c r="KNJ1" t="s">
        <v>8128</v>
      </c>
      <c r="KNK1" t="s">
        <v>8129</v>
      </c>
      <c r="KNL1" t="s">
        <v>8130</v>
      </c>
      <c r="KNM1" t="s">
        <v>8131</v>
      </c>
      <c r="KNN1" t="s">
        <v>8132</v>
      </c>
      <c r="KNO1" t="s">
        <v>8133</v>
      </c>
      <c r="KNP1" t="s">
        <v>8134</v>
      </c>
      <c r="KNQ1" t="s">
        <v>8135</v>
      </c>
      <c r="KNR1" t="s">
        <v>8136</v>
      </c>
      <c r="KNS1" t="s">
        <v>8137</v>
      </c>
      <c r="KNT1" t="s">
        <v>8138</v>
      </c>
      <c r="KNU1" t="s">
        <v>8139</v>
      </c>
      <c r="KNV1" t="s">
        <v>8140</v>
      </c>
      <c r="KNW1" t="s">
        <v>8141</v>
      </c>
      <c r="KNX1" t="s">
        <v>8142</v>
      </c>
      <c r="KNY1" t="s">
        <v>8143</v>
      </c>
      <c r="KNZ1" t="s">
        <v>8144</v>
      </c>
      <c r="KOA1" t="s">
        <v>8145</v>
      </c>
      <c r="KOB1" t="s">
        <v>8146</v>
      </c>
      <c r="KOC1" t="s">
        <v>8147</v>
      </c>
      <c r="KOD1" t="s">
        <v>8148</v>
      </c>
      <c r="KOE1" t="s">
        <v>8149</v>
      </c>
      <c r="KOF1" t="s">
        <v>8150</v>
      </c>
      <c r="KOG1" t="s">
        <v>8151</v>
      </c>
      <c r="KOH1" t="s">
        <v>8152</v>
      </c>
      <c r="KOI1" t="s">
        <v>8153</v>
      </c>
      <c r="KOJ1" t="s">
        <v>8154</v>
      </c>
      <c r="KOK1" t="s">
        <v>8155</v>
      </c>
      <c r="KOL1" t="s">
        <v>8156</v>
      </c>
      <c r="KOM1" t="s">
        <v>8157</v>
      </c>
      <c r="KON1" t="s">
        <v>8158</v>
      </c>
      <c r="KOO1" t="s">
        <v>8159</v>
      </c>
      <c r="KOP1" t="s">
        <v>8160</v>
      </c>
      <c r="KOQ1" t="s">
        <v>8161</v>
      </c>
      <c r="KOR1" t="s">
        <v>8162</v>
      </c>
      <c r="KOS1" t="s">
        <v>8163</v>
      </c>
      <c r="KOT1" t="s">
        <v>8164</v>
      </c>
      <c r="KOU1" t="s">
        <v>8165</v>
      </c>
      <c r="KOV1" t="s">
        <v>8166</v>
      </c>
      <c r="KOW1" t="s">
        <v>8167</v>
      </c>
      <c r="KOX1" t="s">
        <v>8168</v>
      </c>
      <c r="KOY1" t="s">
        <v>8169</v>
      </c>
      <c r="KOZ1" t="s">
        <v>8170</v>
      </c>
      <c r="KPA1" t="s">
        <v>8171</v>
      </c>
      <c r="KPB1" t="s">
        <v>8172</v>
      </c>
      <c r="KPC1" t="s">
        <v>8173</v>
      </c>
      <c r="KPD1" t="s">
        <v>8174</v>
      </c>
      <c r="KPE1" t="s">
        <v>8175</v>
      </c>
      <c r="KPF1" t="s">
        <v>8176</v>
      </c>
      <c r="KPG1" t="s">
        <v>8177</v>
      </c>
      <c r="KPH1" t="s">
        <v>8178</v>
      </c>
      <c r="KPI1" t="s">
        <v>8179</v>
      </c>
      <c r="KPJ1" t="s">
        <v>8180</v>
      </c>
      <c r="KPK1" t="s">
        <v>8181</v>
      </c>
      <c r="KPL1" t="s">
        <v>8182</v>
      </c>
      <c r="KPM1" t="s">
        <v>8183</v>
      </c>
      <c r="KPN1" t="s">
        <v>8184</v>
      </c>
      <c r="KPO1" t="s">
        <v>8185</v>
      </c>
      <c r="KPP1" t="s">
        <v>8186</v>
      </c>
      <c r="KPQ1" t="s">
        <v>8187</v>
      </c>
      <c r="KPR1" t="s">
        <v>8188</v>
      </c>
      <c r="KPS1" t="s">
        <v>8189</v>
      </c>
      <c r="KPT1" t="s">
        <v>8190</v>
      </c>
      <c r="KPU1" t="s">
        <v>8191</v>
      </c>
      <c r="KPV1" t="s">
        <v>8192</v>
      </c>
      <c r="KPW1" t="s">
        <v>8193</v>
      </c>
      <c r="KPX1" t="s">
        <v>8194</v>
      </c>
      <c r="KPY1" t="s">
        <v>8195</v>
      </c>
      <c r="KPZ1" t="s">
        <v>8196</v>
      </c>
      <c r="KQA1" t="s">
        <v>8197</v>
      </c>
      <c r="KQB1" t="s">
        <v>8198</v>
      </c>
      <c r="KQC1" t="s">
        <v>8199</v>
      </c>
      <c r="KQD1" t="s">
        <v>8200</v>
      </c>
      <c r="KQE1" t="s">
        <v>8201</v>
      </c>
      <c r="KQF1" t="s">
        <v>8202</v>
      </c>
      <c r="KQG1" t="s">
        <v>8203</v>
      </c>
      <c r="KQH1" t="s">
        <v>8204</v>
      </c>
      <c r="KQI1" t="s">
        <v>8205</v>
      </c>
      <c r="KQJ1" t="s">
        <v>8206</v>
      </c>
      <c r="KQK1" t="s">
        <v>8207</v>
      </c>
      <c r="KQL1" t="s">
        <v>8208</v>
      </c>
      <c r="KQM1" t="s">
        <v>8209</v>
      </c>
      <c r="KQN1" t="s">
        <v>8210</v>
      </c>
      <c r="KQO1" t="s">
        <v>8211</v>
      </c>
      <c r="KQP1" t="s">
        <v>8212</v>
      </c>
      <c r="KQQ1" t="s">
        <v>8213</v>
      </c>
      <c r="KQR1" t="s">
        <v>8214</v>
      </c>
      <c r="KQS1" t="s">
        <v>8215</v>
      </c>
      <c r="KQT1" t="s">
        <v>8216</v>
      </c>
      <c r="KQU1" t="s">
        <v>8217</v>
      </c>
      <c r="KQV1" t="s">
        <v>8218</v>
      </c>
      <c r="KQW1" t="s">
        <v>8219</v>
      </c>
      <c r="KQX1" t="s">
        <v>8220</v>
      </c>
      <c r="KQY1" t="s">
        <v>8221</v>
      </c>
      <c r="KQZ1" t="s">
        <v>8222</v>
      </c>
      <c r="KRA1" t="s">
        <v>8223</v>
      </c>
      <c r="KRB1" t="s">
        <v>8224</v>
      </c>
      <c r="KRC1" t="s">
        <v>8225</v>
      </c>
      <c r="KRD1" t="s">
        <v>8226</v>
      </c>
      <c r="KRE1" t="s">
        <v>8227</v>
      </c>
      <c r="KRF1" t="s">
        <v>8228</v>
      </c>
      <c r="KRG1" t="s">
        <v>8229</v>
      </c>
      <c r="KRH1" t="s">
        <v>8230</v>
      </c>
      <c r="KRI1" t="s">
        <v>8231</v>
      </c>
      <c r="KRJ1" t="s">
        <v>8232</v>
      </c>
      <c r="KRK1" t="s">
        <v>8233</v>
      </c>
      <c r="KRL1" t="s">
        <v>8234</v>
      </c>
      <c r="KRM1" t="s">
        <v>8235</v>
      </c>
      <c r="KRN1" t="s">
        <v>8236</v>
      </c>
      <c r="KRO1" t="s">
        <v>8237</v>
      </c>
      <c r="KRP1" t="s">
        <v>8238</v>
      </c>
      <c r="KRQ1" t="s">
        <v>8239</v>
      </c>
      <c r="KRR1" t="s">
        <v>8240</v>
      </c>
      <c r="KRS1" t="s">
        <v>8241</v>
      </c>
      <c r="KRT1" t="s">
        <v>8242</v>
      </c>
      <c r="KRU1" t="s">
        <v>8243</v>
      </c>
      <c r="KRV1" t="s">
        <v>8244</v>
      </c>
      <c r="KRW1" t="s">
        <v>8245</v>
      </c>
      <c r="KRX1" t="s">
        <v>8246</v>
      </c>
      <c r="KRY1" t="s">
        <v>8247</v>
      </c>
      <c r="KRZ1" t="s">
        <v>8248</v>
      </c>
      <c r="KSA1" t="s">
        <v>8249</v>
      </c>
      <c r="KSB1" t="s">
        <v>8250</v>
      </c>
      <c r="KSC1" t="s">
        <v>8251</v>
      </c>
      <c r="KSD1" t="s">
        <v>8252</v>
      </c>
      <c r="KSE1" t="s">
        <v>8253</v>
      </c>
      <c r="KSF1" t="s">
        <v>8254</v>
      </c>
      <c r="KSG1" t="s">
        <v>8255</v>
      </c>
      <c r="KSH1" t="s">
        <v>8256</v>
      </c>
      <c r="KSI1" t="s">
        <v>8257</v>
      </c>
      <c r="KSJ1" t="s">
        <v>8258</v>
      </c>
      <c r="KSK1" t="s">
        <v>8259</v>
      </c>
      <c r="KSL1" t="s">
        <v>8260</v>
      </c>
      <c r="KSM1" t="s">
        <v>8261</v>
      </c>
      <c r="KSN1" t="s">
        <v>8262</v>
      </c>
      <c r="KSO1" t="s">
        <v>8263</v>
      </c>
      <c r="KSP1" t="s">
        <v>8264</v>
      </c>
      <c r="KSQ1" t="s">
        <v>8265</v>
      </c>
      <c r="KSR1" t="s">
        <v>8266</v>
      </c>
      <c r="KSS1" t="s">
        <v>8267</v>
      </c>
      <c r="KST1" t="s">
        <v>8268</v>
      </c>
      <c r="KSU1" t="s">
        <v>8269</v>
      </c>
      <c r="KSV1" t="s">
        <v>8270</v>
      </c>
      <c r="KSW1" t="s">
        <v>8271</v>
      </c>
      <c r="KSX1" t="s">
        <v>8272</v>
      </c>
      <c r="KSY1" t="s">
        <v>8273</v>
      </c>
      <c r="KSZ1" t="s">
        <v>8274</v>
      </c>
      <c r="KTA1" t="s">
        <v>8275</v>
      </c>
      <c r="KTB1" t="s">
        <v>8276</v>
      </c>
      <c r="KTC1" t="s">
        <v>8277</v>
      </c>
      <c r="KTD1" t="s">
        <v>8278</v>
      </c>
      <c r="KTE1" t="s">
        <v>8279</v>
      </c>
      <c r="KTF1" t="s">
        <v>8280</v>
      </c>
      <c r="KTG1" t="s">
        <v>8281</v>
      </c>
      <c r="KTH1" t="s">
        <v>8282</v>
      </c>
      <c r="KTI1" t="s">
        <v>8283</v>
      </c>
      <c r="KTJ1" t="s">
        <v>8284</v>
      </c>
      <c r="KTK1" t="s">
        <v>8285</v>
      </c>
      <c r="KTL1" t="s">
        <v>8286</v>
      </c>
      <c r="KTM1" t="s">
        <v>8287</v>
      </c>
      <c r="KTN1" t="s">
        <v>8288</v>
      </c>
      <c r="KTO1" t="s">
        <v>8289</v>
      </c>
      <c r="KTP1" t="s">
        <v>8290</v>
      </c>
      <c r="KTQ1" t="s">
        <v>8291</v>
      </c>
      <c r="KTR1" t="s">
        <v>8292</v>
      </c>
      <c r="KTS1" t="s">
        <v>8293</v>
      </c>
      <c r="KTT1" t="s">
        <v>8294</v>
      </c>
      <c r="KTU1" t="s">
        <v>8295</v>
      </c>
      <c r="KTV1" t="s">
        <v>8296</v>
      </c>
      <c r="KTW1" t="s">
        <v>8297</v>
      </c>
      <c r="KTX1" t="s">
        <v>8298</v>
      </c>
      <c r="KTY1" t="s">
        <v>8299</v>
      </c>
      <c r="KTZ1" t="s">
        <v>8300</v>
      </c>
      <c r="KUA1" t="s">
        <v>8301</v>
      </c>
      <c r="KUB1" t="s">
        <v>8302</v>
      </c>
      <c r="KUC1" t="s">
        <v>8303</v>
      </c>
      <c r="KUD1" t="s">
        <v>8304</v>
      </c>
      <c r="KUE1" t="s">
        <v>8305</v>
      </c>
      <c r="KUF1" t="s">
        <v>8306</v>
      </c>
      <c r="KUG1" t="s">
        <v>8307</v>
      </c>
      <c r="KUH1" t="s">
        <v>8308</v>
      </c>
      <c r="KUI1" t="s">
        <v>8309</v>
      </c>
      <c r="KUJ1" t="s">
        <v>8310</v>
      </c>
      <c r="KUK1" t="s">
        <v>8311</v>
      </c>
      <c r="KUL1" t="s">
        <v>8312</v>
      </c>
      <c r="KUM1" t="s">
        <v>8313</v>
      </c>
      <c r="KUN1" t="s">
        <v>8314</v>
      </c>
      <c r="KUO1" t="s">
        <v>8315</v>
      </c>
      <c r="KUP1" t="s">
        <v>8316</v>
      </c>
      <c r="KUQ1" t="s">
        <v>8317</v>
      </c>
      <c r="KUR1" t="s">
        <v>8318</v>
      </c>
      <c r="KUS1" t="s">
        <v>8319</v>
      </c>
      <c r="KUT1" t="s">
        <v>8320</v>
      </c>
      <c r="KUU1" t="s">
        <v>8321</v>
      </c>
      <c r="KUV1" t="s">
        <v>8322</v>
      </c>
      <c r="KUW1" t="s">
        <v>8323</v>
      </c>
      <c r="KUX1" t="s">
        <v>8324</v>
      </c>
      <c r="KUY1" t="s">
        <v>8325</v>
      </c>
      <c r="KUZ1" t="s">
        <v>8326</v>
      </c>
      <c r="KVA1" t="s">
        <v>8327</v>
      </c>
      <c r="KVB1" t="s">
        <v>8328</v>
      </c>
      <c r="KVC1" t="s">
        <v>8329</v>
      </c>
      <c r="KVD1" t="s">
        <v>8330</v>
      </c>
      <c r="KVE1" t="s">
        <v>8331</v>
      </c>
      <c r="KVF1" t="s">
        <v>8332</v>
      </c>
      <c r="KVG1" t="s">
        <v>8333</v>
      </c>
      <c r="KVH1" t="s">
        <v>8334</v>
      </c>
      <c r="KVI1" t="s">
        <v>8335</v>
      </c>
      <c r="KVJ1" t="s">
        <v>8336</v>
      </c>
      <c r="KVK1" t="s">
        <v>8337</v>
      </c>
      <c r="KVL1" t="s">
        <v>8338</v>
      </c>
      <c r="KVM1" t="s">
        <v>8339</v>
      </c>
      <c r="KVN1" t="s">
        <v>8340</v>
      </c>
      <c r="KVO1" t="s">
        <v>8341</v>
      </c>
      <c r="KVP1" t="s">
        <v>8342</v>
      </c>
      <c r="KVQ1" t="s">
        <v>8343</v>
      </c>
      <c r="KVR1" t="s">
        <v>8344</v>
      </c>
      <c r="KVS1" t="s">
        <v>8345</v>
      </c>
      <c r="KVT1" t="s">
        <v>8346</v>
      </c>
      <c r="KVU1" t="s">
        <v>8347</v>
      </c>
      <c r="KVV1" t="s">
        <v>8348</v>
      </c>
      <c r="KVW1" t="s">
        <v>8349</v>
      </c>
      <c r="KVX1" t="s">
        <v>8350</v>
      </c>
      <c r="KVY1" t="s">
        <v>8351</v>
      </c>
      <c r="KVZ1" t="s">
        <v>8352</v>
      </c>
      <c r="KWA1" t="s">
        <v>8353</v>
      </c>
      <c r="KWB1" t="s">
        <v>8354</v>
      </c>
      <c r="KWC1" t="s">
        <v>8355</v>
      </c>
      <c r="KWD1" t="s">
        <v>8356</v>
      </c>
      <c r="KWE1" t="s">
        <v>8357</v>
      </c>
      <c r="KWF1" t="s">
        <v>8358</v>
      </c>
      <c r="KWG1" t="s">
        <v>8359</v>
      </c>
      <c r="KWH1" t="s">
        <v>8360</v>
      </c>
      <c r="KWI1" t="s">
        <v>8361</v>
      </c>
      <c r="KWJ1" t="s">
        <v>8362</v>
      </c>
      <c r="KWK1" t="s">
        <v>8363</v>
      </c>
      <c r="KWL1" t="s">
        <v>8364</v>
      </c>
      <c r="KWM1" t="s">
        <v>8365</v>
      </c>
      <c r="KWN1" t="s">
        <v>8366</v>
      </c>
      <c r="KWO1" t="s">
        <v>8367</v>
      </c>
      <c r="KWP1" t="s">
        <v>8368</v>
      </c>
      <c r="KWQ1" t="s">
        <v>8369</v>
      </c>
      <c r="KWR1" t="s">
        <v>8370</v>
      </c>
      <c r="KWS1" t="s">
        <v>8371</v>
      </c>
      <c r="KWT1" t="s">
        <v>8372</v>
      </c>
      <c r="KWU1" t="s">
        <v>8373</v>
      </c>
      <c r="KWV1" t="s">
        <v>8374</v>
      </c>
      <c r="KWW1" t="s">
        <v>8375</v>
      </c>
      <c r="KWX1" t="s">
        <v>8376</v>
      </c>
      <c r="KWY1" t="s">
        <v>8377</v>
      </c>
      <c r="KWZ1" t="s">
        <v>8378</v>
      </c>
      <c r="KXA1" t="s">
        <v>8379</v>
      </c>
      <c r="KXB1" t="s">
        <v>8380</v>
      </c>
      <c r="KXC1" t="s">
        <v>8381</v>
      </c>
      <c r="KXD1" t="s">
        <v>8382</v>
      </c>
      <c r="KXE1" t="s">
        <v>8383</v>
      </c>
      <c r="KXF1" t="s">
        <v>8384</v>
      </c>
      <c r="KXG1" t="s">
        <v>8385</v>
      </c>
      <c r="KXH1" t="s">
        <v>8386</v>
      </c>
      <c r="KXI1" t="s">
        <v>8387</v>
      </c>
      <c r="KXJ1" t="s">
        <v>8388</v>
      </c>
      <c r="KXK1" t="s">
        <v>8389</v>
      </c>
      <c r="KXL1" t="s">
        <v>8390</v>
      </c>
      <c r="KXM1" t="s">
        <v>8391</v>
      </c>
      <c r="KXN1" t="s">
        <v>8392</v>
      </c>
      <c r="KXO1" t="s">
        <v>8393</v>
      </c>
      <c r="KXP1" t="s">
        <v>8394</v>
      </c>
      <c r="KXQ1" t="s">
        <v>8395</v>
      </c>
      <c r="KXR1" t="s">
        <v>8396</v>
      </c>
      <c r="KXS1" t="s">
        <v>8397</v>
      </c>
      <c r="KXT1" t="s">
        <v>8398</v>
      </c>
      <c r="KXU1" t="s">
        <v>8399</v>
      </c>
      <c r="KXV1" t="s">
        <v>8400</v>
      </c>
      <c r="KXW1" t="s">
        <v>8401</v>
      </c>
      <c r="KXX1" t="s">
        <v>8402</v>
      </c>
      <c r="KXY1" t="s">
        <v>8403</v>
      </c>
      <c r="KXZ1" t="s">
        <v>8404</v>
      </c>
      <c r="KYA1" t="s">
        <v>8405</v>
      </c>
      <c r="KYB1" t="s">
        <v>8406</v>
      </c>
      <c r="KYC1" t="s">
        <v>8407</v>
      </c>
      <c r="KYD1" t="s">
        <v>8408</v>
      </c>
      <c r="KYE1" t="s">
        <v>8409</v>
      </c>
      <c r="KYF1" t="s">
        <v>8410</v>
      </c>
      <c r="KYG1" t="s">
        <v>8411</v>
      </c>
      <c r="KYH1" t="s">
        <v>8412</v>
      </c>
      <c r="KYI1" t="s">
        <v>8413</v>
      </c>
      <c r="KYJ1" t="s">
        <v>8414</v>
      </c>
      <c r="KYK1" t="s">
        <v>8415</v>
      </c>
      <c r="KYL1" t="s">
        <v>8416</v>
      </c>
      <c r="KYM1" t="s">
        <v>8417</v>
      </c>
      <c r="KYN1" t="s">
        <v>8418</v>
      </c>
      <c r="KYO1" t="s">
        <v>8419</v>
      </c>
      <c r="KYP1" t="s">
        <v>8420</v>
      </c>
      <c r="KYQ1" t="s">
        <v>8421</v>
      </c>
      <c r="KYR1" t="s">
        <v>8422</v>
      </c>
      <c r="KYS1" t="s">
        <v>8423</v>
      </c>
      <c r="KYT1" t="s">
        <v>8424</v>
      </c>
      <c r="KYU1" t="s">
        <v>8425</v>
      </c>
      <c r="KYV1" t="s">
        <v>8426</v>
      </c>
      <c r="KYW1" t="s">
        <v>8427</v>
      </c>
      <c r="KYX1" t="s">
        <v>8428</v>
      </c>
      <c r="KYY1" t="s">
        <v>8429</v>
      </c>
      <c r="KYZ1" t="s">
        <v>8430</v>
      </c>
      <c r="KZA1" t="s">
        <v>8431</v>
      </c>
      <c r="KZB1" t="s">
        <v>8432</v>
      </c>
      <c r="KZC1" t="s">
        <v>8433</v>
      </c>
      <c r="KZD1" t="s">
        <v>8434</v>
      </c>
      <c r="KZE1" t="s">
        <v>8435</v>
      </c>
      <c r="KZF1" t="s">
        <v>8436</v>
      </c>
      <c r="KZG1" t="s">
        <v>8437</v>
      </c>
      <c r="KZH1" t="s">
        <v>8438</v>
      </c>
      <c r="KZI1" t="s">
        <v>8439</v>
      </c>
      <c r="KZJ1" t="s">
        <v>8440</v>
      </c>
      <c r="KZK1" t="s">
        <v>8441</v>
      </c>
      <c r="KZL1" t="s">
        <v>8442</v>
      </c>
      <c r="KZM1" t="s">
        <v>8443</v>
      </c>
      <c r="KZN1" t="s">
        <v>8444</v>
      </c>
      <c r="KZO1" t="s">
        <v>8445</v>
      </c>
      <c r="KZP1" t="s">
        <v>8446</v>
      </c>
      <c r="KZQ1" t="s">
        <v>8447</v>
      </c>
      <c r="KZR1" t="s">
        <v>8448</v>
      </c>
      <c r="KZS1" t="s">
        <v>8449</v>
      </c>
      <c r="KZT1" t="s">
        <v>8450</v>
      </c>
      <c r="KZU1" t="s">
        <v>8451</v>
      </c>
      <c r="KZV1" t="s">
        <v>8452</v>
      </c>
      <c r="KZW1" t="s">
        <v>8453</v>
      </c>
      <c r="KZX1" t="s">
        <v>8454</v>
      </c>
      <c r="KZY1" t="s">
        <v>8455</v>
      </c>
      <c r="KZZ1" t="s">
        <v>8456</v>
      </c>
      <c r="LAA1" t="s">
        <v>8457</v>
      </c>
      <c r="LAB1" t="s">
        <v>8458</v>
      </c>
      <c r="LAC1" t="s">
        <v>8459</v>
      </c>
      <c r="LAD1" t="s">
        <v>8460</v>
      </c>
      <c r="LAE1" t="s">
        <v>8461</v>
      </c>
      <c r="LAF1" t="s">
        <v>8462</v>
      </c>
      <c r="LAG1" t="s">
        <v>8463</v>
      </c>
      <c r="LAH1" t="s">
        <v>8464</v>
      </c>
      <c r="LAI1" t="s">
        <v>8465</v>
      </c>
      <c r="LAJ1" t="s">
        <v>8466</v>
      </c>
      <c r="LAK1" t="s">
        <v>8467</v>
      </c>
      <c r="LAL1" t="s">
        <v>8468</v>
      </c>
      <c r="LAM1" t="s">
        <v>8469</v>
      </c>
      <c r="LAN1" t="s">
        <v>8470</v>
      </c>
      <c r="LAO1" t="s">
        <v>8471</v>
      </c>
      <c r="LAP1" t="s">
        <v>8472</v>
      </c>
      <c r="LAQ1" t="s">
        <v>8473</v>
      </c>
      <c r="LAR1" t="s">
        <v>8474</v>
      </c>
      <c r="LAS1" t="s">
        <v>8475</v>
      </c>
      <c r="LAT1" t="s">
        <v>8476</v>
      </c>
      <c r="LAU1" t="s">
        <v>8477</v>
      </c>
      <c r="LAV1" t="s">
        <v>8478</v>
      </c>
      <c r="LAW1" t="s">
        <v>8479</v>
      </c>
      <c r="LAX1" t="s">
        <v>8480</v>
      </c>
      <c r="LAY1" t="s">
        <v>8481</v>
      </c>
      <c r="LAZ1" t="s">
        <v>8482</v>
      </c>
      <c r="LBA1" t="s">
        <v>8483</v>
      </c>
      <c r="LBB1" t="s">
        <v>8484</v>
      </c>
      <c r="LBC1" t="s">
        <v>8485</v>
      </c>
      <c r="LBD1" t="s">
        <v>8486</v>
      </c>
      <c r="LBE1" t="s">
        <v>8487</v>
      </c>
      <c r="LBF1" t="s">
        <v>8488</v>
      </c>
      <c r="LBG1" t="s">
        <v>8489</v>
      </c>
      <c r="LBH1" t="s">
        <v>8490</v>
      </c>
      <c r="LBI1" t="s">
        <v>8491</v>
      </c>
      <c r="LBJ1" t="s">
        <v>8492</v>
      </c>
      <c r="LBK1" t="s">
        <v>8493</v>
      </c>
      <c r="LBL1" t="s">
        <v>8494</v>
      </c>
      <c r="LBM1" t="s">
        <v>8495</v>
      </c>
      <c r="LBN1" t="s">
        <v>8496</v>
      </c>
      <c r="LBO1" t="s">
        <v>8497</v>
      </c>
      <c r="LBP1" t="s">
        <v>8498</v>
      </c>
      <c r="LBQ1" t="s">
        <v>8499</v>
      </c>
      <c r="LBR1" t="s">
        <v>8500</v>
      </c>
      <c r="LBS1" t="s">
        <v>8501</v>
      </c>
      <c r="LBT1" t="s">
        <v>8502</v>
      </c>
      <c r="LBU1" t="s">
        <v>8503</v>
      </c>
      <c r="LBV1" t="s">
        <v>8504</v>
      </c>
      <c r="LBW1" t="s">
        <v>8505</v>
      </c>
      <c r="LBX1" t="s">
        <v>8506</v>
      </c>
      <c r="LBY1" t="s">
        <v>8507</v>
      </c>
      <c r="LBZ1" t="s">
        <v>8508</v>
      </c>
      <c r="LCA1" t="s">
        <v>8509</v>
      </c>
      <c r="LCB1" t="s">
        <v>8510</v>
      </c>
      <c r="LCC1" t="s">
        <v>8511</v>
      </c>
      <c r="LCD1" t="s">
        <v>8512</v>
      </c>
      <c r="LCE1" t="s">
        <v>8513</v>
      </c>
      <c r="LCF1" t="s">
        <v>8514</v>
      </c>
      <c r="LCG1" t="s">
        <v>8515</v>
      </c>
      <c r="LCH1" t="s">
        <v>8516</v>
      </c>
      <c r="LCI1" t="s">
        <v>8517</v>
      </c>
      <c r="LCJ1" t="s">
        <v>8518</v>
      </c>
      <c r="LCK1" t="s">
        <v>8519</v>
      </c>
      <c r="LCL1" t="s">
        <v>8520</v>
      </c>
      <c r="LCM1" t="s">
        <v>8521</v>
      </c>
      <c r="LCN1" t="s">
        <v>8522</v>
      </c>
      <c r="LCO1" t="s">
        <v>8523</v>
      </c>
      <c r="LCP1" t="s">
        <v>8524</v>
      </c>
      <c r="LCQ1" t="s">
        <v>8525</v>
      </c>
      <c r="LCR1" t="s">
        <v>8526</v>
      </c>
      <c r="LCS1" t="s">
        <v>8527</v>
      </c>
      <c r="LCT1" t="s">
        <v>8528</v>
      </c>
      <c r="LCU1" t="s">
        <v>8529</v>
      </c>
      <c r="LCV1" t="s">
        <v>8530</v>
      </c>
      <c r="LCW1" t="s">
        <v>8531</v>
      </c>
      <c r="LCX1" t="s">
        <v>8532</v>
      </c>
      <c r="LCY1" t="s">
        <v>8533</v>
      </c>
      <c r="LCZ1" t="s">
        <v>8534</v>
      </c>
      <c r="LDA1" t="s">
        <v>8535</v>
      </c>
      <c r="LDB1" t="s">
        <v>8536</v>
      </c>
      <c r="LDC1" t="s">
        <v>8537</v>
      </c>
      <c r="LDD1" t="s">
        <v>8538</v>
      </c>
      <c r="LDE1" t="s">
        <v>8539</v>
      </c>
      <c r="LDF1" t="s">
        <v>8540</v>
      </c>
      <c r="LDG1" t="s">
        <v>8541</v>
      </c>
      <c r="LDH1" t="s">
        <v>8542</v>
      </c>
      <c r="LDI1" t="s">
        <v>8543</v>
      </c>
      <c r="LDJ1" t="s">
        <v>8544</v>
      </c>
      <c r="LDK1" t="s">
        <v>8545</v>
      </c>
      <c r="LDL1" t="s">
        <v>8546</v>
      </c>
      <c r="LDM1" t="s">
        <v>8547</v>
      </c>
      <c r="LDN1" t="s">
        <v>8548</v>
      </c>
      <c r="LDO1" t="s">
        <v>8549</v>
      </c>
      <c r="LDP1" t="s">
        <v>8550</v>
      </c>
      <c r="LDQ1" t="s">
        <v>8551</v>
      </c>
      <c r="LDR1" t="s">
        <v>8552</v>
      </c>
      <c r="LDS1" t="s">
        <v>8553</v>
      </c>
      <c r="LDT1" t="s">
        <v>8554</v>
      </c>
      <c r="LDU1" t="s">
        <v>8555</v>
      </c>
      <c r="LDV1" t="s">
        <v>8556</v>
      </c>
      <c r="LDW1" t="s">
        <v>8557</v>
      </c>
      <c r="LDX1" t="s">
        <v>8558</v>
      </c>
      <c r="LDY1" t="s">
        <v>8559</v>
      </c>
      <c r="LDZ1" t="s">
        <v>8560</v>
      </c>
      <c r="LEA1" t="s">
        <v>8561</v>
      </c>
      <c r="LEB1" t="s">
        <v>8562</v>
      </c>
      <c r="LEC1" t="s">
        <v>8563</v>
      </c>
      <c r="LED1" t="s">
        <v>8564</v>
      </c>
      <c r="LEE1" t="s">
        <v>8565</v>
      </c>
      <c r="LEF1" t="s">
        <v>8566</v>
      </c>
      <c r="LEG1" t="s">
        <v>8567</v>
      </c>
      <c r="LEH1" t="s">
        <v>8568</v>
      </c>
      <c r="LEI1" t="s">
        <v>8569</v>
      </c>
      <c r="LEJ1" t="s">
        <v>8570</v>
      </c>
      <c r="LEK1" t="s">
        <v>8571</v>
      </c>
      <c r="LEL1" t="s">
        <v>8572</v>
      </c>
      <c r="LEM1" t="s">
        <v>8573</v>
      </c>
      <c r="LEN1" t="s">
        <v>8574</v>
      </c>
      <c r="LEO1" t="s">
        <v>8575</v>
      </c>
      <c r="LEP1" t="s">
        <v>8576</v>
      </c>
      <c r="LEQ1" t="s">
        <v>8577</v>
      </c>
      <c r="LER1" t="s">
        <v>8578</v>
      </c>
      <c r="LES1" t="s">
        <v>8579</v>
      </c>
      <c r="LET1" t="s">
        <v>8580</v>
      </c>
      <c r="LEU1" t="s">
        <v>8581</v>
      </c>
      <c r="LEV1" t="s">
        <v>8582</v>
      </c>
      <c r="LEW1" t="s">
        <v>8583</v>
      </c>
      <c r="LEX1" t="s">
        <v>8584</v>
      </c>
      <c r="LEY1" t="s">
        <v>8585</v>
      </c>
      <c r="LEZ1" t="s">
        <v>8586</v>
      </c>
      <c r="LFA1" t="s">
        <v>8587</v>
      </c>
      <c r="LFB1" t="s">
        <v>8588</v>
      </c>
      <c r="LFC1" t="s">
        <v>8589</v>
      </c>
      <c r="LFD1" t="s">
        <v>8590</v>
      </c>
      <c r="LFE1" t="s">
        <v>8591</v>
      </c>
      <c r="LFF1" t="s">
        <v>8592</v>
      </c>
      <c r="LFG1" t="s">
        <v>8593</v>
      </c>
      <c r="LFH1" t="s">
        <v>8594</v>
      </c>
      <c r="LFI1" t="s">
        <v>8595</v>
      </c>
      <c r="LFJ1" t="s">
        <v>8596</v>
      </c>
      <c r="LFK1" t="s">
        <v>8597</v>
      </c>
      <c r="LFL1" t="s">
        <v>8598</v>
      </c>
      <c r="LFM1" t="s">
        <v>8599</v>
      </c>
      <c r="LFN1" t="s">
        <v>8600</v>
      </c>
      <c r="LFO1" t="s">
        <v>8601</v>
      </c>
      <c r="LFP1" t="s">
        <v>8602</v>
      </c>
      <c r="LFQ1" t="s">
        <v>8603</v>
      </c>
      <c r="LFR1" t="s">
        <v>8604</v>
      </c>
      <c r="LFS1" t="s">
        <v>8605</v>
      </c>
      <c r="LFT1" t="s">
        <v>8606</v>
      </c>
      <c r="LFU1" t="s">
        <v>8607</v>
      </c>
      <c r="LFV1" t="s">
        <v>8608</v>
      </c>
      <c r="LFW1" t="s">
        <v>8609</v>
      </c>
      <c r="LFX1" t="s">
        <v>8610</v>
      </c>
      <c r="LFY1" t="s">
        <v>8611</v>
      </c>
      <c r="LFZ1" t="s">
        <v>8612</v>
      </c>
      <c r="LGA1" t="s">
        <v>8613</v>
      </c>
      <c r="LGB1" t="s">
        <v>8614</v>
      </c>
      <c r="LGC1" t="s">
        <v>8615</v>
      </c>
      <c r="LGD1" t="s">
        <v>8616</v>
      </c>
      <c r="LGE1" t="s">
        <v>8617</v>
      </c>
      <c r="LGF1" t="s">
        <v>8618</v>
      </c>
      <c r="LGG1" t="s">
        <v>8619</v>
      </c>
      <c r="LGH1" t="s">
        <v>8620</v>
      </c>
      <c r="LGI1" t="s">
        <v>8621</v>
      </c>
      <c r="LGJ1" t="s">
        <v>8622</v>
      </c>
      <c r="LGK1" t="s">
        <v>8623</v>
      </c>
      <c r="LGL1" t="s">
        <v>8624</v>
      </c>
      <c r="LGM1" t="s">
        <v>8625</v>
      </c>
      <c r="LGN1" t="s">
        <v>8626</v>
      </c>
      <c r="LGO1" t="s">
        <v>8627</v>
      </c>
      <c r="LGP1" t="s">
        <v>8628</v>
      </c>
      <c r="LGQ1" t="s">
        <v>8629</v>
      </c>
      <c r="LGR1" t="s">
        <v>8630</v>
      </c>
      <c r="LGS1" t="s">
        <v>8631</v>
      </c>
      <c r="LGT1" t="s">
        <v>8632</v>
      </c>
      <c r="LGU1" t="s">
        <v>8633</v>
      </c>
      <c r="LGV1" t="s">
        <v>8634</v>
      </c>
      <c r="LGW1" t="s">
        <v>8635</v>
      </c>
      <c r="LGX1" t="s">
        <v>8636</v>
      </c>
      <c r="LGY1" t="s">
        <v>8637</v>
      </c>
      <c r="LGZ1" t="s">
        <v>8638</v>
      </c>
      <c r="LHA1" t="s">
        <v>8639</v>
      </c>
      <c r="LHB1" t="s">
        <v>8640</v>
      </c>
      <c r="LHC1" t="s">
        <v>8641</v>
      </c>
      <c r="LHD1" t="s">
        <v>8642</v>
      </c>
      <c r="LHE1" t="s">
        <v>8643</v>
      </c>
      <c r="LHF1" t="s">
        <v>8644</v>
      </c>
      <c r="LHG1" t="s">
        <v>8645</v>
      </c>
      <c r="LHH1" t="s">
        <v>8646</v>
      </c>
      <c r="LHI1" t="s">
        <v>8647</v>
      </c>
      <c r="LHJ1" t="s">
        <v>8648</v>
      </c>
      <c r="LHK1" t="s">
        <v>8649</v>
      </c>
      <c r="LHL1" t="s">
        <v>8650</v>
      </c>
      <c r="LHM1" t="s">
        <v>8651</v>
      </c>
      <c r="LHN1" t="s">
        <v>8652</v>
      </c>
      <c r="LHO1" t="s">
        <v>8653</v>
      </c>
      <c r="LHP1" t="s">
        <v>8654</v>
      </c>
      <c r="LHQ1" t="s">
        <v>8655</v>
      </c>
      <c r="LHR1" t="s">
        <v>8656</v>
      </c>
      <c r="LHS1" t="s">
        <v>8657</v>
      </c>
      <c r="LHT1" t="s">
        <v>8658</v>
      </c>
      <c r="LHU1" t="s">
        <v>8659</v>
      </c>
      <c r="LHV1" t="s">
        <v>8660</v>
      </c>
      <c r="LHW1" t="s">
        <v>8661</v>
      </c>
      <c r="LHX1" t="s">
        <v>8662</v>
      </c>
      <c r="LHY1" t="s">
        <v>8663</v>
      </c>
      <c r="LHZ1" t="s">
        <v>8664</v>
      </c>
      <c r="LIA1" t="s">
        <v>8665</v>
      </c>
      <c r="LIB1" t="s">
        <v>8666</v>
      </c>
      <c r="LIC1" t="s">
        <v>8667</v>
      </c>
      <c r="LID1" t="s">
        <v>8668</v>
      </c>
      <c r="LIE1" t="s">
        <v>8669</v>
      </c>
      <c r="LIF1" t="s">
        <v>8670</v>
      </c>
      <c r="LIG1" t="s">
        <v>8671</v>
      </c>
      <c r="LIH1" t="s">
        <v>8672</v>
      </c>
      <c r="LII1" t="s">
        <v>8673</v>
      </c>
      <c r="LIJ1" t="s">
        <v>8674</v>
      </c>
      <c r="LIK1" t="s">
        <v>8675</v>
      </c>
      <c r="LIL1" t="s">
        <v>8676</v>
      </c>
      <c r="LIM1" t="s">
        <v>8677</v>
      </c>
      <c r="LIN1" t="s">
        <v>8678</v>
      </c>
      <c r="LIO1" t="s">
        <v>8679</v>
      </c>
      <c r="LIP1" t="s">
        <v>8680</v>
      </c>
      <c r="LIQ1" t="s">
        <v>8681</v>
      </c>
      <c r="LIR1" t="s">
        <v>8682</v>
      </c>
      <c r="LIS1" t="s">
        <v>8683</v>
      </c>
      <c r="LIT1" t="s">
        <v>8684</v>
      </c>
      <c r="LIU1" t="s">
        <v>8685</v>
      </c>
      <c r="LIV1" t="s">
        <v>8686</v>
      </c>
      <c r="LIW1" t="s">
        <v>8687</v>
      </c>
      <c r="LIX1" t="s">
        <v>8688</v>
      </c>
      <c r="LIY1" t="s">
        <v>8689</v>
      </c>
      <c r="LIZ1" t="s">
        <v>8690</v>
      </c>
      <c r="LJA1" t="s">
        <v>8691</v>
      </c>
      <c r="LJB1" t="s">
        <v>8692</v>
      </c>
      <c r="LJC1" t="s">
        <v>8693</v>
      </c>
      <c r="LJD1" t="s">
        <v>8694</v>
      </c>
      <c r="LJE1" t="s">
        <v>8695</v>
      </c>
      <c r="LJF1" t="s">
        <v>8696</v>
      </c>
      <c r="LJG1" t="s">
        <v>8697</v>
      </c>
      <c r="LJH1" t="s">
        <v>8698</v>
      </c>
      <c r="LJI1" t="s">
        <v>8699</v>
      </c>
      <c r="LJJ1" t="s">
        <v>8700</v>
      </c>
      <c r="LJK1" t="s">
        <v>8701</v>
      </c>
      <c r="LJL1" t="s">
        <v>8702</v>
      </c>
      <c r="LJM1" t="s">
        <v>8703</v>
      </c>
      <c r="LJN1" t="s">
        <v>8704</v>
      </c>
      <c r="LJO1" t="s">
        <v>8705</v>
      </c>
      <c r="LJP1" t="s">
        <v>8706</v>
      </c>
      <c r="LJQ1" t="s">
        <v>8707</v>
      </c>
      <c r="LJR1" t="s">
        <v>8708</v>
      </c>
      <c r="LJS1" t="s">
        <v>8709</v>
      </c>
      <c r="LJT1" t="s">
        <v>8710</v>
      </c>
      <c r="LJU1" t="s">
        <v>8711</v>
      </c>
      <c r="LJV1" t="s">
        <v>8712</v>
      </c>
      <c r="LJW1" t="s">
        <v>8713</v>
      </c>
      <c r="LJX1" t="s">
        <v>8714</v>
      </c>
      <c r="LJY1" t="s">
        <v>8715</v>
      </c>
      <c r="LJZ1" t="s">
        <v>8716</v>
      </c>
      <c r="LKA1" t="s">
        <v>8717</v>
      </c>
      <c r="LKB1" t="s">
        <v>8718</v>
      </c>
      <c r="LKC1" t="s">
        <v>8719</v>
      </c>
      <c r="LKD1" t="s">
        <v>8720</v>
      </c>
      <c r="LKE1" t="s">
        <v>8721</v>
      </c>
      <c r="LKF1" t="s">
        <v>8722</v>
      </c>
      <c r="LKG1" t="s">
        <v>8723</v>
      </c>
      <c r="LKH1" t="s">
        <v>8724</v>
      </c>
      <c r="LKI1" t="s">
        <v>8725</v>
      </c>
      <c r="LKJ1" t="s">
        <v>8726</v>
      </c>
      <c r="LKK1" t="s">
        <v>8727</v>
      </c>
      <c r="LKL1" t="s">
        <v>8728</v>
      </c>
      <c r="LKM1" t="s">
        <v>8729</v>
      </c>
      <c r="LKN1" t="s">
        <v>8730</v>
      </c>
      <c r="LKO1" t="s">
        <v>8731</v>
      </c>
      <c r="LKP1" t="s">
        <v>8732</v>
      </c>
      <c r="LKQ1" t="s">
        <v>8733</v>
      </c>
      <c r="LKR1" t="s">
        <v>8734</v>
      </c>
      <c r="LKS1" t="s">
        <v>8735</v>
      </c>
      <c r="LKT1" t="s">
        <v>8736</v>
      </c>
      <c r="LKU1" t="s">
        <v>8737</v>
      </c>
      <c r="LKV1" t="s">
        <v>8738</v>
      </c>
      <c r="LKW1" t="s">
        <v>8739</v>
      </c>
      <c r="LKX1" t="s">
        <v>8740</v>
      </c>
      <c r="LKY1" t="s">
        <v>8741</v>
      </c>
      <c r="LKZ1" t="s">
        <v>8742</v>
      </c>
      <c r="LLA1" t="s">
        <v>8743</v>
      </c>
      <c r="LLB1" t="s">
        <v>8744</v>
      </c>
      <c r="LLC1" t="s">
        <v>8745</v>
      </c>
      <c r="LLD1" t="s">
        <v>8746</v>
      </c>
      <c r="LLE1" t="s">
        <v>8747</v>
      </c>
      <c r="LLF1" t="s">
        <v>8748</v>
      </c>
      <c r="LLG1" t="s">
        <v>8749</v>
      </c>
      <c r="LLH1" t="s">
        <v>8750</v>
      </c>
      <c r="LLI1" t="s">
        <v>8751</v>
      </c>
      <c r="LLJ1" t="s">
        <v>8752</v>
      </c>
      <c r="LLK1" t="s">
        <v>8753</v>
      </c>
      <c r="LLL1" t="s">
        <v>8754</v>
      </c>
      <c r="LLM1" t="s">
        <v>8755</v>
      </c>
      <c r="LLN1" t="s">
        <v>8756</v>
      </c>
      <c r="LLO1" t="s">
        <v>8757</v>
      </c>
      <c r="LLP1" t="s">
        <v>8758</v>
      </c>
      <c r="LLQ1" t="s">
        <v>8759</v>
      </c>
      <c r="LLR1" t="s">
        <v>8760</v>
      </c>
      <c r="LLS1" t="s">
        <v>8761</v>
      </c>
      <c r="LLT1" t="s">
        <v>8762</v>
      </c>
      <c r="LLU1" t="s">
        <v>8763</v>
      </c>
      <c r="LLV1" t="s">
        <v>8764</v>
      </c>
      <c r="LLW1" t="s">
        <v>8765</v>
      </c>
      <c r="LLX1" t="s">
        <v>8766</v>
      </c>
      <c r="LLY1" t="s">
        <v>8767</v>
      </c>
      <c r="LLZ1" t="s">
        <v>8768</v>
      </c>
      <c r="LMA1" t="s">
        <v>8769</v>
      </c>
      <c r="LMB1" t="s">
        <v>8770</v>
      </c>
      <c r="LMC1" t="s">
        <v>8771</v>
      </c>
      <c r="LMD1" t="s">
        <v>8772</v>
      </c>
      <c r="LME1" t="s">
        <v>8773</v>
      </c>
      <c r="LMF1" t="s">
        <v>8774</v>
      </c>
      <c r="LMG1" t="s">
        <v>8775</v>
      </c>
      <c r="LMH1" t="s">
        <v>8776</v>
      </c>
      <c r="LMI1" t="s">
        <v>8777</v>
      </c>
      <c r="LMJ1" t="s">
        <v>8778</v>
      </c>
      <c r="LMK1" t="s">
        <v>8779</v>
      </c>
      <c r="LML1" t="s">
        <v>8780</v>
      </c>
      <c r="LMM1" t="s">
        <v>8781</v>
      </c>
      <c r="LMN1" t="s">
        <v>8782</v>
      </c>
      <c r="LMO1" t="s">
        <v>8783</v>
      </c>
      <c r="LMP1" t="s">
        <v>8784</v>
      </c>
      <c r="LMQ1" t="s">
        <v>8785</v>
      </c>
      <c r="LMR1" t="s">
        <v>8786</v>
      </c>
      <c r="LMS1" t="s">
        <v>8787</v>
      </c>
      <c r="LMT1" t="s">
        <v>8788</v>
      </c>
      <c r="LMU1" t="s">
        <v>8789</v>
      </c>
      <c r="LMV1" t="s">
        <v>8790</v>
      </c>
      <c r="LMW1" t="s">
        <v>8791</v>
      </c>
      <c r="LMX1" t="s">
        <v>8792</v>
      </c>
      <c r="LMY1" t="s">
        <v>8793</v>
      </c>
      <c r="LMZ1" t="s">
        <v>8794</v>
      </c>
      <c r="LNA1" t="s">
        <v>8795</v>
      </c>
      <c r="LNB1" t="s">
        <v>8796</v>
      </c>
      <c r="LNC1" t="s">
        <v>8797</v>
      </c>
      <c r="LND1" t="s">
        <v>8798</v>
      </c>
      <c r="LNE1" t="s">
        <v>8799</v>
      </c>
      <c r="LNF1" t="s">
        <v>8800</v>
      </c>
      <c r="LNG1" t="s">
        <v>8801</v>
      </c>
      <c r="LNH1" t="s">
        <v>8802</v>
      </c>
      <c r="LNI1" t="s">
        <v>8803</v>
      </c>
      <c r="LNJ1" t="s">
        <v>8804</v>
      </c>
      <c r="LNK1" t="s">
        <v>8805</v>
      </c>
      <c r="LNL1" t="s">
        <v>8806</v>
      </c>
      <c r="LNM1" t="s">
        <v>8807</v>
      </c>
      <c r="LNN1" t="s">
        <v>8808</v>
      </c>
      <c r="LNO1" t="s">
        <v>8809</v>
      </c>
      <c r="LNP1" t="s">
        <v>8810</v>
      </c>
      <c r="LNQ1" t="s">
        <v>8811</v>
      </c>
      <c r="LNR1" t="s">
        <v>8812</v>
      </c>
      <c r="LNS1" t="s">
        <v>8813</v>
      </c>
      <c r="LNT1" t="s">
        <v>8814</v>
      </c>
      <c r="LNU1" t="s">
        <v>8815</v>
      </c>
      <c r="LNV1" t="s">
        <v>8816</v>
      </c>
      <c r="LNW1" t="s">
        <v>8817</v>
      </c>
      <c r="LNX1" t="s">
        <v>8818</v>
      </c>
      <c r="LNY1" t="s">
        <v>8819</v>
      </c>
      <c r="LNZ1" t="s">
        <v>8820</v>
      </c>
      <c r="LOA1" t="s">
        <v>8821</v>
      </c>
      <c r="LOB1" t="s">
        <v>8822</v>
      </c>
      <c r="LOC1" t="s">
        <v>8823</v>
      </c>
      <c r="LOD1" t="s">
        <v>8824</v>
      </c>
      <c r="LOE1" t="s">
        <v>8825</v>
      </c>
      <c r="LOF1" t="s">
        <v>8826</v>
      </c>
      <c r="LOG1" t="s">
        <v>8827</v>
      </c>
      <c r="LOH1" t="s">
        <v>8828</v>
      </c>
      <c r="LOI1" t="s">
        <v>8829</v>
      </c>
      <c r="LOJ1" t="s">
        <v>8830</v>
      </c>
      <c r="LOK1" t="s">
        <v>8831</v>
      </c>
      <c r="LOL1" t="s">
        <v>8832</v>
      </c>
      <c r="LOM1" t="s">
        <v>8833</v>
      </c>
      <c r="LON1" t="s">
        <v>8834</v>
      </c>
      <c r="LOO1" t="s">
        <v>8835</v>
      </c>
      <c r="LOP1" t="s">
        <v>8836</v>
      </c>
      <c r="LOQ1" t="s">
        <v>8837</v>
      </c>
      <c r="LOR1" t="s">
        <v>8838</v>
      </c>
      <c r="LOS1" t="s">
        <v>8839</v>
      </c>
      <c r="LOT1" t="s">
        <v>8840</v>
      </c>
      <c r="LOU1" t="s">
        <v>8841</v>
      </c>
      <c r="LOV1" t="s">
        <v>8842</v>
      </c>
      <c r="LOW1" t="s">
        <v>8843</v>
      </c>
      <c r="LOX1" t="s">
        <v>8844</v>
      </c>
      <c r="LOY1" t="s">
        <v>8845</v>
      </c>
      <c r="LOZ1" t="s">
        <v>8846</v>
      </c>
      <c r="LPA1" t="s">
        <v>8847</v>
      </c>
      <c r="LPB1" t="s">
        <v>8848</v>
      </c>
      <c r="LPC1" t="s">
        <v>8849</v>
      </c>
      <c r="LPD1" t="s">
        <v>8850</v>
      </c>
      <c r="LPE1" t="s">
        <v>8851</v>
      </c>
      <c r="LPF1" t="s">
        <v>8852</v>
      </c>
      <c r="LPG1" t="s">
        <v>8853</v>
      </c>
      <c r="LPH1" t="s">
        <v>8854</v>
      </c>
      <c r="LPI1" t="s">
        <v>8855</v>
      </c>
      <c r="LPJ1" t="s">
        <v>8856</v>
      </c>
      <c r="LPK1" t="s">
        <v>8857</v>
      </c>
      <c r="LPL1" t="s">
        <v>8858</v>
      </c>
      <c r="LPM1" t="s">
        <v>8859</v>
      </c>
      <c r="LPN1" t="s">
        <v>8860</v>
      </c>
      <c r="LPO1" t="s">
        <v>8861</v>
      </c>
      <c r="LPP1" t="s">
        <v>8862</v>
      </c>
      <c r="LPQ1" t="s">
        <v>8863</v>
      </c>
      <c r="LPR1" t="s">
        <v>8864</v>
      </c>
      <c r="LPS1" t="s">
        <v>8865</v>
      </c>
      <c r="LPT1" t="s">
        <v>8866</v>
      </c>
      <c r="LPU1" t="s">
        <v>8867</v>
      </c>
      <c r="LPV1" t="s">
        <v>8868</v>
      </c>
      <c r="LPW1" t="s">
        <v>8869</v>
      </c>
      <c r="LPX1" t="s">
        <v>8870</v>
      </c>
      <c r="LPY1" t="s">
        <v>8871</v>
      </c>
      <c r="LPZ1" t="s">
        <v>8872</v>
      </c>
      <c r="LQA1" t="s">
        <v>8873</v>
      </c>
      <c r="LQB1" t="s">
        <v>8874</v>
      </c>
      <c r="LQC1" t="s">
        <v>8875</v>
      </c>
      <c r="LQD1" t="s">
        <v>8876</v>
      </c>
      <c r="LQE1" t="s">
        <v>8877</v>
      </c>
      <c r="LQF1" t="s">
        <v>8878</v>
      </c>
      <c r="LQG1" t="s">
        <v>8879</v>
      </c>
      <c r="LQH1" t="s">
        <v>8880</v>
      </c>
      <c r="LQI1" t="s">
        <v>8881</v>
      </c>
      <c r="LQJ1" t="s">
        <v>8882</v>
      </c>
      <c r="LQK1" t="s">
        <v>8883</v>
      </c>
      <c r="LQL1" t="s">
        <v>8884</v>
      </c>
      <c r="LQM1" t="s">
        <v>8885</v>
      </c>
      <c r="LQN1" t="s">
        <v>8886</v>
      </c>
      <c r="LQO1" t="s">
        <v>8887</v>
      </c>
      <c r="LQP1" t="s">
        <v>8888</v>
      </c>
      <c r="LQQ1" t="s">
        <v>8889</v>
      </c>
      <c r="LQR1" t="s">
        <v>8890</v>
      </c>
      <c r="LQS1" t="s">
        <v>8891</v>
      </c>
      <c r="LQT1" t="s">
        <v>8892</v>
      </c>
      <c r="LQU1" t="s">
        <v>8893</v>
      </c>
      <c r="LQV1" t="s">
        <v>8894</v>
      </c>
      <c r="LQW1" t="s">
        <v>8895</v>
      </c>
      <c r="LQX1" t="s">
        <v>8896</v>
      </c>
      <c r="LQY1" t="s">
        <v>8897</v>
      </c>
      <c r="LQZ1" t="s">
        <v>8898</v>
      </c>
      <c r="LRA1" t="s">
        <v>8899</v>
      </c>
      <c r="LRB1" t="s">
        <v>8900</v>
      </c>
      <c r="LRC1" t="s">
        <v>8901</v>
      </c>
      <c r="LRD1" t="s">
        <v>8902</v>
      </c>
      <c r="LRE1" t="s">
        <v>8903</v>
      </c>
      <c r="LRF1" t="s">
        <v>8904</v>
      </c>
      <c r="LRG1" t="s">
        <v>8905</v>
      </c>
      <c r="LRH1" t="s">
        <v>8906</v>
      </c>
      <c r="LRI1" t="s">
        <v>8907</v>
      </c>
      <c r="LRJ1" t="s">
        <v>8908</v>
      </c>
      <c r="LRK1" t="s">
        <v>8909</v>
      </c>
      <c r="LRL1" t="s">
        <v>8910</v>
      </c>
      <c r="LRM1" t="s">
        <v>8911</v>
      </c>
      <c r="LRN1" t="s">
        <v>8912</v>
      </c>
      <c r="LRO1" t="s">
        <v>8913</v>
      </c>
      <c r="LRP1" t="s">
        <v>8914</v>
      </c>
      <c r="LRQ1" t="s">
        <v>8915</v>
      </c>
      <c r="LRR1" t="s">
        <v>8916</v>
      </c>
      <c r="LRS1" t="s">
        <v>8917</v>
      </c>
      <c r="LRT1" t="s">
        <v>8918</v>
      </c>
      <c r="LRU1" t="s">
        <v>8919</v>
      </c>
      <c r="LRV1" t="s">
        <v>8920</v>
      </c>
      <c r="LRW1" t="s">
        <v>8921</v>
      </c>
      <c r="LRX1" t="s">
        <v>8922</v>
      </c>
      <c r="LRY1" t="s">
        <v>8923</v>
      </c>
      <c r="LRZ1" t="s">
        <v>8924</v>
      </c>
      <c r="LSA1" t="s">
        <v>8925</v>
      </c>
      <c r="LSB1" t="s">
        <v>8926</v>
      </c>
      <c r="LSC1" t="s">
        <v>8927</v>
      </c>
      <c r="LSD1" t="s">
        <v>8928</v>
      </c>
      <c r="LSE1" t="s">
        <v>8929</v>
      </c>
      <c r="LSF1" t="s">
        <v>8930</v>
      </c>
      <c r="LSG1" t="s">
        <v>8931</v>
      </c>
      <c r="LSH1" t="s">
        <v>8932</v>
      </c>
      <c r="LSI1" t="s">
        <v>8933</v>
      </c>
      <c r="LSJ1" t="s">
        <v>8934</v>
      </c>
      <c r="LSK1" t="s">
        <v>8935</v>
      </c>
      <c r="LSL1" t="s">
        <v>8936</v>
      </c>
      <c r="LSM1" t="s">
        <v>8937</v>
      </c>
      <c r="LSN1" t="s">
        <v>8938</v>
      </c>
      <c r="LSO1" t="s">
        <v>8939</v>
      </c>
      <c r="LSP1" t="s">
        <v>8940</v>
      </c>
      <c r="LSQ1" t="s">
        <v>8941</v>
      </c>
      <c r="LSR1" t="s">
        <v>8942</v>
      </c>
      <c r="LSS1" t="s">
        <v>8943</v>
      </c>
      <c r="LST1" t="s">
        <v>8944</v>
      </c>
      <c r="LSU1" t="s">
        <v>8945</v>
      </c>
      <c r="LSV1" t="s">
        <v>8946</v>
      </c>
      <c r="LSW1" t="s">
        <v>8947</v>
      </c>
      <c r="LSX1" t="s">
        <v>8948</v>
      </c>
      <c r="LSY1" t="s">
        <v>8949</v>
      </c>
      <c r="LSZ1" t="s">
        <v>8950</v>
      </c>
      <c r="LTA1" t="s">
        <v>8951</v>
      </c>
      <c r="LTB1" t="s">
        <v>8952</v>
      </c>
      <c r="LTC1" t="s">
        <v>8953</v>
      </c>
      <c r="LTD1" t="s">
        <v>8954</v>
      </c>
      <c r="LTE1" t="s">
        <v>8955</v>
      </c>
      <c r="LTF1" t="s">
        <v>8956</v>
      </c>
      <c r="LTG1" t="s">
        <v>8957</v>
      </c>
      <c r="LTH1" t="s">
        <v>8958</v>
      </c>
      <c r="LTI1" t="s">
        <v>8959</v>
      </c>
      <c r="LTJ1" t="s">
        <v>8960</v>
      </c>
      <c r="LTK1" t="s">
        <v>8961</v>
      </c>
      <c r="LTL1" t="s">
        <v>8962</v>
      </c>
      <c r="LTM1" t="s">
        <v>8963</v>
      </c>
      <c r="LTN1" t="s">
        <v>8964</v>
      </c>
      <c r="LTO1" t="s">
        <v>8965</v>
      </c>
      <c r="LTP1" t="s">
        <v>8966</v>
      </c>
      <c r="LTQ1" t="s">
        <v>8967</v>
      </c>
      <c r="LTR1" t="s">
        <v>8968</v>
      </c>
      <c r="LTS1" t="s">
        <v>8969</v>
      </c>
      <c r="LTT1" t="s">
        <v>8970</v>
      </c>
      <c r="LTU1" t="s">
        <v>8971</v>
      </c>
      <c r="LTV1" t="s">
        <v>8972</v>
      </c>
      <c r="LTW1" t="s">
        <v>8973</v>
      </c>
      <c r="LTX1" t="s">
        <v>8974</v>
      </c>
      <c r="LTY1" t="s">
        <v>8975</v>
      </c>
      <c r="LTZ1" t="s">
        <v>8976</v>
      </c>
      <c r="LUA1" t="s">
        <v>8977</v>
      </c>
      <c r="LUB1" t="s">
        <v>8978</v>
      </c>
      <c r="LUC1" t="s">
        <v>8979</v>
      </c>
      <c r="LUD1" t="s">
        <v>8980</v>
      </c>
      <c r="LUE1" t="s">
        <v>8981</v>
      </c>
      <c r="LUF1" t="s">
        <v>8982</v>
      </c>
      <c r="LUG1" t="s">
        <v>8983</v>
      </c>
      <c r="LUH1" t="s">
        <v>8984</v>
      </c>
      <c r="LUI1" t="s">
        <v>8985</v>
      </c>
      <c r="LUJ1" t="s">
        <v>8986</v>
      </c>
      <c r="LUK1" t="s">
        <v>8987</v>
      </c>
      <c r="LUL1" t="s">
        <v>8988</v>
      </c>
      <c r="LUM1" t="s">
        <v>8989</v>
      </c>
      <c r="LUN1" t="s">
        <v>8990</v>
      </c>
      <c r="LUO1" t="s">
        <v>8991</v>
      </c>
      <c r="LUP1" t="s">
        <v>8992</v>
      </c>
      <c r="LUQ1" t="s">
        <v>8993</v>
      </c>
      <c r="LUR1" t="s">
        <v>8994</v>
      </c>
      <c r="LUS1" t="s">
        <v>8995</v>
      </c>
      <c r="LUT1" t="s">
        <v>8996</v>
      </c>
      <c r="LUU1" t="s">
        <v>8997</v>
      </c>
      <c r="LUV1" t="s">
        <v>8998</v>
      </c>
      <c r="LUW1" t="s">
        <v>8999</v>
      </c>
      <c r="LUX1" t="s">
        <v>9000</v>
      </c>
      <c r="LUY1" t="s">
        <v>9001</v>
      </c>
      <c r="LUZ1" t="s">
        <v>9002</v>
      </c>
      <c r="LVA1" t="s">
        <v>9003</v>
      </c>
      <c r="LVB1" t="s">
        <v>9004</v>
      </c>
      <c r="LVC1" t="s">
        <v>9005</v>
      </c>
      <c r="LVD1" t="s">
        <v>9006</v>
      </c>
      <c r="LVE1" t="s">
        <v>9007</v>
      </c>
      <c r="LVF1" t="s">
        <v>9008</v>
      </c>
      <c r="LVG1" t="s">
        <v>9009</v>
      </c>
      <c r="LVH1" t="s">
        <v>9010</v>
      </c>
      <c r="LVI1" t="s">
        <v>9011</v>
      </c>
      <c r="LVJ1" t="s">
        <v>9012</v>
      </c>
      <c r="LVK1" t="s">
        <v>9013</v>
      </c>
      <c r="LVL1" t="s">
        <v>9014</v>
      </c>
      <c r="LVM1" t="s">
        <v>9015</v>
      </c>
      <c r="LVN1" t="s">
        <v>9016</v>
      </c>
      <c r="LVO1" t="s">
        <v>9017</v>
      </c>
      <c r="LVP1" t="s">
        <v>9018</v>
      </c>
      <c r="LVQ1" t="s">
        <v>9019</v>
      </c>
      <c r="LVR1" t="s">
        <v>9020</v>
      </c>
      <c r="LVS1" t="s">
        <v>9021</v>
      </c>
      <c r="LVT1" t="s">
        <v>9022</v>
      </c>
      <c r="LVU1" t="s">
        <v>9023</v>
      </c>
      <c r="LVV1" t="s">
        <v>9024</v>
      </c>
      <c r="LVW1" t="s">
        <v>9025</v>
      </c>
      <c r="LVX1" t="s">
        <v>9026</v>
      </c>
      <c r="LVY1" t="s">
        <v>9027</v>
      </c>
      <c r="LVZ1" t="s">
        <v>9028</v>
      </c>
      <c r="LWA1" t="s">
        <v>9029</v>
      </c>
      <c r="LWB1" t="s">
        <v>9030</v>
      </c>
      <c r="LWC1" t="s">
        <v>9031</v>
      </c>
      <c r="LWD1" t="s">
        <v>9032</v>
      </c>
      <c r="LWE1" t="s">
        <v>9033</v>
      </c>
      <c r="LWF1" t="s">
        <v>9034</v>
      </c>
      <c r="LWG1" t="s">
        <v>9035</v>
      </c>
      <c r="LWH1" t="s">
        <v>9036</v>
      </c>
      <c r="LWI1" t="s">
        <v>9037</v>
      </c>
      <c r="LWJ1" t="s">
        <v>9038</v>
      </c>
      <c r="LWK1" t="s">
        <v>9039</v>
      </c>
      <c r="LWL1" t="s">
        <v>9040</v>
      </c>
      <c r="LWM1" t="s">
        <v>9041</v>
      </c>
      <c r="LWN1" t="s">
        <v>9042</v>
      </c>
      <c r="LWO1" t="s">
        <v>9043</v>
      </c>
      <c r="LWP1" t="s">
        <v>9044</v>
      </c>
      <c r="LWQ1" t="s">
        <v>9045</v>
      </c>
      <c r="LWR1" t="s">
        <v>9046</v>
      </c>
      <c r="LWS1" t="s">
        <v>9047</v>
      </c>
      <c r="LWT1" t="s">
        <v>9048</v>
      </c>
      <c r="LWU1" t="s">
        <v>9049</v>
      </c>
      <c r="LWV1" t="s">
        <v>9050</v>
      </c>
      <c r="LWW1" t="s">
        <v>9051</v>
      </c>
      <c r="LWX1" t="s">
        <v>9052</v>
      </c>
      <c r="LWY1" t="s">
        <v>9053</v>
      </c>
      <c r="LWZ1" t="s">
        <v>9054</v>
      </c>
      <c r="LXA1" t="s">
        <v>9055</v>
      </c>
      <c r="LXB1" t="s">
        <v>9056</v>
      </c>
      <c r="LXC1" t="s">
        <v>9057</v>
      </c>
      <c r="LXD1" t="s">
        <v>9058</v>
      </c>
      <c r="LXE1" t="s">
        <v>9059</v>
      </c>
      <c r="LXF1" t="s">
        <v>9060</v>
      </c>
      <c r="LXG1" t="s">
        <v>9061</v>
      </c>
      <c r="LXH1" t="s">
        <v>9062</v>
      </c>
      <c r="LXI1" t="s">
        <v>9063</v>
      </c>
      <c r="LXJ1" t="s">
        <v>9064</v>
      </c>
      <c r="LXK1" t="s">
        <v>9065</v>
      </c>
      <c r="LXL1" t="s">
        <v>9066</v>
      </c>
      <c r="LXM1" t="s">
        <v>9067</v>
      </c>
      <c r="LXN1" t="s">
        <v>9068</v>
      </c>
      <c r="LXO1" t="s">
        <v>9069</v>
      </c>
      <c r="LXP1" t="s">
        <v>9070</v>
      </c>
      <c r="LXQ1" t="s">
        <v>9071</v>
      </c>
      <c r="LXR1" t="s">
        <v>9072</v>
      </c>
      <c r="LXS1" t="s">
        <v>9073</v>
      </c>
      <c r="LXT1" t="s">
        <v>9074</v>
      </c>
      <c r="LXU1" t="s">
        <v>9075</v>
      </c>
      <c r="LXV1" t="s">
        <v>9076</v>
      </c>
      <c r="LXW1" t="s">
        <v>9077</v>
      </c>
      <c r="LXX1" t="s">
        <v>9078</v>
      </c>
      <c r="LXY1" t="s">
        <v>9079</v>
      </c>
      <c r="LXZ1" t="s">
        <v>9080</v>
      </c>
      <c r="LYA1" t="s">
        <v>9081</v>
      </c>
      <c r="LYB1" t="s">
        <v>9082</v>
      </c>
      <c r="LYC1" t="s">
        <v>9083</v>
      </c>
      <c r="LYD1" t="s">
        <v>9084</v>
      </c>
      <c r="LYE1" t="s">
        <v>9085</v>
      </c>
      <c r="LYF1" t="s">
        <v>9086</v>
      </c>
      <c r="LYG1" t="s">
        <v>9087</v>
      </c>
      <c r="LYH1" t="s">
        <v>9088</v>
      </c>
      <c r="LYI1" t="s">
        <v>9089</v>
      </c>
      <c r="LYJ1" t="s">
        <v>9090</v>
      </c>
      <c r="LYK1" t="s">
        <v>9091</v>
      </c>
      <c r="LYL1" t="s">
        <v>9092</v>
      </c>
      <c r="LYM1" t="s">
        <v>9093</v>
      </c>
      <c r="LYN1" t="s">
        <v>9094</v>
      </c>
      <c r="LYO1" t="s">
        <v>9095</v>
      </c>
      <c r="LYP1" t="s">
        <v>9096</v>
      </c>
      <c r="LYQ1" t="s">
        <v>9097</v>
      </c>
      <c r="LYR1" t="s">
        <v>9098</v>
      </c>
      <c r="LYS1" t="s">
        <v>9099</v>
      </c>
      <c r="LYT1" t="s">
        <v>9100</v>
      </c>
      <c r="LYU1" t="s">
        <v>9101</v>
      </c>
      <c r="LYV1" t="s">
        <v>9102</v>
      </c>
      <c r="LYW1" t="s">
        <v>9103</v>
      </c>
      <c r="LYX1" t="s">
        <v>9104</v>
      </c>
      <c r="LYY1" t="s">
        <v>9105</v>
      </c>
      <c r="LYZ1" t="s">
        <v>9106</v>
      </c>
      <c r="LZA1" t="s">
        <v>9107</v>
      </c>
      <c r="LZB1" t="s">
        <v>9108</v>
      </c>
      <c r="LZC1" t="s">
        <v>9109</v>
      </c>
      <c r="LZD1" t="s">
        <v>9110</v>
      </c>
      <c r="LZE1" t="s">
        <v>9111</v>
      </c>
      <c r="LZF1" t="s">
        <v>9112</v>
      </c>
      <c r="LZG1" t="s">
        <v>9113</v>
      </c>
      <c r="LZH1" t="s">
        <v>9114</v>
      </c>
      <c r="LZI1" t="s">
        <v>9115</v>
      </c>
      <c r="LZJ1" t="s">
        <v>9116</v>
      </c>
      <c r="LZK1" t="s">
        <v>9117</v>
      </c>
      <c r="LZL1" t="s">
        <v>9118</v>
      </c>
      <c r="LZM1" t="s">
        <v>9119</v>
      </c>
      <c r="LZN1" t="s">
        <v>9120</v>
      </c>
      <c r="LZO1" t="s">
        <v>9121</v>
      </c>
      <c r="LZP1" t="s">
        <v>9122</v>
      </c>
      <c r="LZQ1" t="s">
        <v>9123</v>
      </c>
      <c r="LZR1" t="s">
        <v>9124</v>
      </c>
      <c r="LZS1" t="s">
        <v>9125</v>
      </c>
      <c r="LZT1" t="s">
        <v>9126</v>
      </c>
      <c r="LZU1" t="s">
        <v>9127</v>
      </c>
      <c r="LZV1" t="s">
        <v>9128</v>
      </c>
      <c r="LZW1" t="s">
        <v>9129</v>
      </c>
      <c r="LZX1" t="s">
        <v>9130</v>
      </c>
      <c r="LZY1" t="s">
        <v>9131</v>
      </c>
      <c r="LZZ1" t="s">
        <v>9132</v>
      </c>
      <c r="MAA1" t="s">
        <v>9133</v>
      </c>
      <c r="MAB1" t="s">
        <v>9134</v>
      </c>
      <c r="MAC1" t="s">
        <v>9135</v>
      </c>
      <c r="MAD1" t="s">
        <v>9136</v>
      </c>
      <c r="MAE1" t="s">
        <v>9137</v>
      </c>
      <c r="MAF1" t="s">
        <v>9138</v>
      </c>
      <c r="MAG1" t="s">
        <v>9139</v>
      </c>
      <c r="MAH1" t="s">
        <v>9140</v>
      </c>
      <c r="MAI1" t="s">
        <v>9141</v>
      </c>
      <c r="MAJ1" t="s">
        <v>9142</v>
      </c>
      <c r="MAK1" t="s">
        <v>9143</v>
      </c>
      <c r="MAL1" t="s">
        <v>9144</v>
      </c>
      <c r="MAM1" t="s">
        <v>9145</v>
      </c>
      <c r="MAN1" t="s">
        <v>9146</v>
      </c>
      <c r="MAO1" t="s">
        <v>9147</v>
      </c>
      <c r="MAP1" t="s">
        <v>9148</v>
      </c>
      <c r="MAQ1" t="s">
        <v>9149</v>
      </c>
      <c r="MAR1" t="s">
        <v>9150</v>
      </c>
      <c r="MAS1" t="s">
        <v>9151</v>
      </c>
      <c r="MAT1" t="s">
        <v>9152</v>
      </c>
      <c r="MAU1" t="s">
        <v>9153</v>
      </c>
      <c r="MAV1" t="s">
        <v>9154</v>
      </c>
      <c r="MAW1" t="s">
        <v>9155</v>
      </c>
      <c r="MAX1" t="s">
        <v>9156</v>
      </c>
      <c r="MAY1" t="s">
        <v>9157</v>
      </c>
      <c r="MAZ1" t="s">
        <v>9158</v>
      </c>
      <c r="MBA1" t="s">
        <v>9159</v>
      </c>
      <c r="MBB1" t="s">
        <v>9160</v>
      </c>
      <c r="MBC1" t="s">
        <v>9161</v>
      </c>
      <c r="MBD1" t="s">
        <v>9162</v>
      </c>
      <c r="MBE1" t="s">
        <v>9163</v>
      </c>
      <c r="MBF1" t="s">
        <v>9164</v>
      </c>
      <c r="MBG1" t="s">
        <v>9165</v>
      </c>
      <c r="MBH1" t="s">
        <v>9166</v>
      </c>
      <c r="MBI1" t="s">
        <v>9167</v>
      </c>
      <c r="MBJ1" t="s">
        <v>9168</v>
      </c>
      <c r="MBK1" t="s">
        <v>9169</v>
      </c>
      <c r="MBL1" t="s">
        <v>9170</v>
      </c>
      <c r="MBM1" t="s">
        <v>9171</v>
      </c>
      <c r="MBN1" t="s">
        <v>9172</v>
      </c>
      <c r="MBO1" t="s">
        <v>9173</v>
      </c>
      <c r="MBP1" t="s">
        <v>9174</v>
      </c>
      <c r="MBQ1" t="s">
        <v>9175</v>
      </c>
      <c r="MBR1" t="s">
        <v>9176</v>
      </c>
      <c r="MBS1" t="s">
        <v>9177</v>
      </c>
      <c r="MBT1" t="s">
        <v>9178</v>
      </c>
      <c r="MBU1" t="s">
        <v>9179</v>
      </c>
      <c r="MBV1" t="s">
        <v>9180</v>
      </c>
      <c r="MBW1" t="s">
        <v>9181</v>
      </c>
      <c r="MBX1" t="s">
        <v>9182</v>
      </c>
      <c r="MBY1" t="s">
        <v>9183</v>
      </c>
      <c r="MBZ1" t="s">
        <v>9184</v>
      </c>
      <c r="MCA1" t="s">
        <v>9185</v>
      </c>
      <c r="MCB1" t="s">
        <v>9186</v>
      </c>
      <c r="MCC1" t="s">
        <v>9187</v>
      </c>
      <c r="MCD1" t="s">
        <v>9188</v>
      </c>
      <c r="MCE1" t="s">
        <v>9189</v>
      </c>
      <c r="MCF1" t="s">
        <v>9190</v>
      </c>
      <c r="MCG1" t="s">
        <v>9191</v>
      </c>
      <c r="MCH1" t="s">
        <v>9192</v>
      </c>
      <c r="MCI1" t="s">
        <v>9193</v>
      </c>
      <c r="MCJ1" t="s">
        <v>9194</v>
      </c>
      <c r="MCK1" t="s">
        <v>9195</v>
      </c>
      <c r="MCL1" t="s">
        <v>9196</v>
      </c>
      <c r="MCM1" t="s">
        <v>9197</v>
      </c>
      <c r="MCN1" t="s">
        <v>9198</v>
      </c>
      <c r="MCO1" t="s">
        <v>9199</v>
      </c>
      <c r="MCP1" t="s">
        <v>9200</v>
      </c>
      <c r="MCQ1" t="s">
        <v>9201</v>
      </c>
      <c r="MCR1" t="s">
        <v>9202</v>
      </c>
      <c r="MCS1" t="s">
        <v>9203</v>
      </c>
      <c r="MCT1" t="s">
        <v>9204</v>
      </c>
      <c r="MCU1" t="s">
        <v>9205</v>
      </c>
      <c r="MCV1" t="s">
        <v>9206</v>
      </c>
      <c r="MCW1" t="s">
        <v>9207</v>
      </c>
      <c r="MCX1" t="s">
        <v>9208</v>
      </c>
      <c r="MCY1" t="s">
        <v>9209</v>
      </c>
      <c r="MCZ1" t="s">
        <v>9210</v>
      </c>
      <c r="MDA1" t="s">
        <v>9211</v>
      </c>
      <c r="MDB1" t="s">
        <v>9212</v>
      </c>
      <c r="MDC1" t="s">
        <v>9213</v>
      </c>
      <c r="MDD1" t="s">
        <v>9214</v>
      </c>
      <c r="MDE1" t="s">
        <v>9215</v>
      </c>
      <c r="MDF1" t="s">
        <v>9216</v>
      </c>
      <c r="MDG1" t="s">
        <v>9217</v>
      </c>
      <c r="MDH1" t="s">
        <v>9218</v>
      </c>
      <c r="MDI1" t="s">
        <v>9219</v>
      </c>
      <c r="MDJ1" t="s">
        <v>9220</v>
      </c>
      <c r="MDK1" t="s">
        <v>9221</v>
      </c>
      <c r="MDL1" t="s">
        <v>9222</v>
      </c>
      <c r="MDM1" t="s">
        <v>9223</v>
      </c>
      <c r="MDN1" t="s">
        <v>9224</v>
      </c>
      <c r="MDO1" t="s">
        <v>9225</v>
      </c>
      <c r="MDP1" t="s">
        <v>9226</v>
      </c>
      <c r="MDQ1" t="s">
        <v>9227</v>
      </c>
      <c r="MDR1" t="s">
        <v>9228</v>
      </c>
      <c r="MDS1" t="s">
        <v>9229</v>
      </c>
      <c r="MDT1" t="s">
        <v>9230</v>
      </c>
      <c r="MDU1" t="s">
        <v>9231</v>
      </c>
      <c r="MDV1" t="s">
        <v>9232</v>
      </c>
      <c r="MDW1" t="s">
        <v>9233</v>
      </c>
      <c r="MDX1" t="s">
        <v>9234</v>
      </c>
      <c r="MDY1" t="s">
        <v>9235</v>
      </c>
      <c r="MDZ1" t="s">
        <v>9236</v>
      </c>
      <c r="MEA1" t="s">
        <v>9237</v>
      </c>
      <c r="MEB1" t="s">
        <v>9238</v>
      </c>
      <c r="MEC1" t="s">
        <v>9239</v>
      </c>
      <c r="MED1" t="s">
        <v>9240</v>
      </c>
      <c r="MEE1" t="s">
        <v>9241</v>
      </c>
      <c r="MEF1" t="s">
        <v>9242</v>
      </c>
      <c r="MEG1" t="s">
        <v>9243</v>
      </c>
      <c r="MEH1" t="s">
        <v>9244</v>
      </c>
      <c r="MEI1" t="s">
        <v>9245</v>
      </c>
      <c r="MEJ1" t="s">
        <v>9246</v>
      </c>
      <c r="MEK1" t="s">
        <v>9247</v>
      </c>
      <c r="MEL1" t="s">
        <v>9248</v>
      </c>
      <c r="MEM1" t="s">
        <v>9249</v>
      </c>
      <c r="MEN1" t="s">
        <v>9250</v>
      </c>
      <c r="MEO1" t="s">
        <v>9251</v>
      </c>
      <c r="MEP1" t="s">
        <v>9252</v>
      </c>
      <c r="MEQ1" t="s">
        <v>9253</v>
      </c>
      <c r="MER1" t="s">
        <v>9254</v>
      </c>
      <c r="MES1" t="s">
        <v>9255</v>
      </c>
      <c r="MET1" t="s">
        <v>9256</v>
      </c>
      <c r="MEU1" t="s">
        <v>9257</v>
      </c>
      <c r="MEV1" t="s">
        <v>9258</v>
      </c>
      <c r="MEW1" t="s">
        <v>9259</v>
      </c>
      <c r="MEX1" t="s">
        <v>9260</v>
      </c>
      <c r="MEY1" t="s">
        <v>9261</v>
      </c>
      <c r="MEZ1" t="s">
        <v>9262</v>
      </c>
      <c r="MFA1" t="s">
        <v>9263</v>
      </c>
      <c r="MFB1" t="s">
        <v>9264</v>
      </c>
      <c r="MFC1" t="s">
        <v>9265</v>
      </c>
      <c r="MFD1" t="s">
        <v>9266</v>
      </c>
      <c r="MFE1" t="s">
        <v>9267</v>
      </c>
      <c r="MFF1" t="s">
        <v>9268</v>
      </c>
      <c r="MFG1" t="s">
        <v>9269</v>
      </c>
      <c r="MFH1" t="s">
        <v>9270</v>
      </c>
      <c r="MFI1" t="s">
        <v>9271</v>
      </c>
      <c r="MFJ1" t="s">
        <v>9272</v>
      </c>
      <c r="MFK1" t="s">
        <v>9273</v>
      </c>
      <c r="MFL1" t="s">
        <v>9274</v>
      </c>
      <c r="MFM1" t="s">
        <v>9275</v>
      </c>
      <c r="MFN1" t="s">
        <v>9276</v>
      </c>
      <c r="MFO1" t="s">
        <v>9277</v>
      </c>
      <c r="MFP1" t="s">
        <v>9278</v>
      </c>
      <c r="MFQ1" t="s">
        <v>9279</v>
      </c>
      <c r="MFR1" t="s">
        <v>9280</v>
      </c>
      <c r="MFS1" t="s">
        <v>9281</v>
      </c>
      <c r="MFT1" t="s">
        <v>9282</v>
      </c>
      <c r="MFU1" t="s">
        <v>9283</v>
      </c>
      <c r="MFV1" t="s">
        <v>9284</v>
      </c>
      <c r="MFW1" t="s">
        <v>9285</v>
      </c>
      <c r="MFX1" t="s">
        <v>9286</v>
      </c>
      <c r="MFY1" t="s">
        <v>9287</v>
      </c>
      <c r="MFZ1" t="s">
        <v>9288</v>
      </c>
      <c r="MGA1" t="s">
        <v>9289</v>
      </c>
      <c r="MGB1" t="s">
        <v>9290</v>
      </c>
      <c r="MGC1" t="s">
        <v>9291</v>
      </c>
      <c r="MGD1" t="s">
        <v>9292</v>
      </c>
      <c r="MGE1" t="s">
        <v>9293</v>
      </c>
      <c r="MGF1" t="s">
        <v>9294</v>
      </c>
      <c r="MGG1" t="s">
        <v>9295</v>
      </c>
      <c r="MGH1" t="s">
        <v>9296</v>
      </c>
      <c r="MGI1" t="s">
        <v>9297</v>
      </c>
      <c r="MGJ1" t="s">
        <v>9298</v>
      </c>
      <c r="MGK1" t="s">
        <v>9299</v>
      </c>
      <c r="MGL1" t="s">
        <v>9300</v>
      </c>
      <c r="MGM1" t="s">
        <v>9301</v>
      </c>
      <c r="MGN1" t="s">
        <v>9302</v>
      </c>
      <c r="MGO1" t="s">
        <v>9303</v>
      </c>
      <c r="MGP1" t="s">
        <v>9304</v>
      </c>
      <c r="MGQ1" t="s">
        <v>9305</v>
      </c>
      <c r="MGR1" t="s">
        <v>9306</v>
      </c>
      <c r="MGS1" t="s">
        <v>9307</v>
      </c>
      <c r="MGT1" t="s">
        <v>9308</v>
      </c>
      <c r="MGU1" t="s">
        <v>9309</v>
      </c>
      <c r="MGV1" t="s">
        <v>9310</v>
      </c>
      <c r="MGW1" t="s">
        <v>9311</v>
      </c>
      <c r="MGX1" t="s">
        <v>9312</v>
      </c>
      <c r="MGY1" t="s">
        <v>9313</v>
      </c>
      <c r="MGZ1" t="s">
        <v>9314</v>
      </c>
      <c r="MHA1" t="s">
        <v>9315</v>
      </c>
      <c r="MHB1" t="s">
        <v>9316</v>
      </c>
      <c r="MHC1" t="s">
        <v>9317</v>
      </c>
      <c r="MHD1" t="s">
        <v>9318</v>
      </c>
      <c r="MHE1" t="s">
        <v>9319</v>
      </c>
      <c r="MHF1" t="s">
        <v>9320</v>
      </c>
      <c r="MHG1" t="s">
        <v>9321</v>
      </c>
      <c r="MHH1" t="s">
        <v>9322</v>
      </c>
      <c r="MHI1" t="s">
        <v>9323</v>
      </c>
      <c r="MHJ1" t="s">
        <v>9324</v>
      </c>
      <c r="MHK1" t="s">
        <v>9325</v>
      </c>
      <c r="MHL1" t="s">
        <v>9326</v>
      </c>
      <c r="MHM1" t="s">
        <v>9327</v>
      </c>
      <c r="MHN1" t="s">
        <v>9328</v>
      </c>
      <c r="MHO1" t="s">
        <v>9329</v>
      </c>
      <c r="MHP1" t="s">
        <v>9330</v>
      </c>
      <c r="MHQ1" t="s">
        <v>9331</v>
      </c>
      <c r="MHR1" t="s">
        <v>9332</v>
      </c>
      <c r="MHS1" t="s">
        <v>9333</v>
      </c>
      <c r="MHT1" t="s">
        <v>9334</v>
      </c>
      <c r="MHU1" t="s">
        <v>9335</v>
      </c>
      <c r="MHV1" t="s">
        <v>9336</v>
      </c>
      <c r="MHW1" t="s">
        <v>9337</v>
      </c>
      <c r="MHX1" t="s">
        <v>9338</v>
      </c>
      <c r="MHY1" t="s">
        <v>9339</v>
      </c>
      <c r="MHZ1" t="s">
        <v>9340</v>
      </c>
      <c r="MIA1" t="s">
        <v>9341</v>
      </c>
      <c r="MIB1" t="s">
        <v>9342</v>
      </c>
      <c r="MIC1" t="s">
        <v>9343</v>
      </c>
      <c r="MID1" t="s">
        <v>9344</v>
      </c>
      <c r="MIE1" t="s">
        <v>9345</v>
      </c>
      <c r="MIF1" t="s">
        <v>9346</v>
      </c>
      <c r="MIG1" t="s">
        <v>9347</v>
      </c>
      <c r="MIH1" t="s">
        <v>9348</v>
      </c>
      <c r="MII1" t="s">
        <v>9349</v>
      </c>
      <c r="MIJ1" t="s">
        <v>9350</v>
      </c>
      <c r="MIK1" t="s">
        <v>9351</v>
      </c>
      <c r="MIL1" t="s">
        <v>9352</v>
      </c>
      <c r="MIM1" t="s">
        <v>9353</v>
      </c>
      <c r="MIN1" t="s">
        <v>9354</v>
      </c>
      <c r="MIO1" t="s">
        <v>9355</v>
      </c>
      <c r="MIP1" t="s">
        <v>9356</v>
      </c>
      <c r="MIQ1" t="s">
        <v>9357</v>
      </c>
      <c r="MIR1" t="s">
        <v>9358</v>
      </c>
      <c r="MIS1" t="s">
        <v>9359</v>
      </c>
      <c r="MIT1" t="s">
        <v>9360</v>
      </c>
      <c r="MIU1" t="s">
        <v>9361</v>
      </c>
      <c r="MIV1" t="s">
        <v>9362</v>
      </c>
      <c r="MIW1" t="s">
        <v>9363</v>
      </c>
      <c r="MIX1" t="s">
        <v>9364</v>
      </c>
      <c r="MIY1" t="s">
        <v>9365</v>
      </c>
      <c r="MIZ1" t="s">
        <v>9366</v>
      </c>
      <c r="MJA1" t="s">
        <v>9367</v>
      </c>
      <c r="MJB1" t="s">
        <v>9368</v>
      </c>
      <c r="MJC1" t="s">
        <v>9369</v>
      </c>
      <c r="MJD1" t="s">
        <v>9370</v>
      </c>
      <c r="MJE1" t="s">
        <v>9371</v>
      </c>
      <c r="MJF1" t="s">
        <v>9372</v>
      </c>
      <c r="MJG1" t="s">
        <v>9373</v>
      </c>
      <c r="MJH1" t="s">
        <v>9374</v>
      </c>
      <c r="MJI1" t="s">
        <v>9375</v>
      </c>
      <c r="MJJ1" t="s">
        <v>9376</v>
      </c>
      <c r="MJK1" t="s">
        <v>9377</v>
      </c>
      <c r="MJL1" t="s">
        <v>9378</v>
      </c>
      <c r="MJM1" t="s">
        <v>9379</v>
      </c>
      <c r="MJN1" t="s">
        <v>9380</v>
      </c>
      <c r="MJO1" t="s">
        <v>9381</v>
      </c>
      <c r="MJP1" t="s">
        <v>9382</v>
      </c>
      <c r="MJQ1" t="s">
        <v>9383</v>
      </c>
      <c r="MJR1" t="s">
        <v>9384</v>
      </c>
      <c r="MJS1" t="s">
        <v>9385</v>
      </c>
      <c r="MJT1" t="s">
        <v>9386</v>
      </c>
      <c r="MJU1" t="s">
        <v>9387</v>
      </c>
      <c r="MJV1" t="s">
        <v>9388</v>
      </c>
      <c r="MJW1" t="s">
        <v>9389</v>
      </c>
      <c r="MJX1" t="s">
        <v>9390</v>
      </c>
      <c r="MJY1" t="s">
        <v>9391</v>
      </c>
      <c r="MJZ1" t="s">
        <v>9392</v>
      </c>
      <c r="MKA1" t="s">
        <v>9393</v>
      </c>
      <c r="MKB1" t="s">
        <v>9394</v>
      </c>
      <c r="MKC1" t="s">
        <v>9395</v>
      </c>
      <c r="MKD1" t="s">
        <v>9396</v>
      </c>
      <c r="MKE1" t="s">
        <v>9397</v>
      </c>
      <c r="MKF1" t="s">
        <v>9398</v>
      </c>
      <c r="MKG1" t="s">
        <v>9399</v>
      </c>
      <c r="MKH1" t="s">
        <v>9400</v>
      </c>
      <c r="MKI1" t="s">
        <v>9401</v>
      </c>
      <c r="MKJ1" t="s">
        <v>9402</v>
      </c>
      <c r="MKK1" t="s">
        <v>9403</v>
      </c>
      <c r="MKL1" t="s">
        <v>9404</v>
      </c>
      <c r="MKM1" t="s">
        <v>9405</v>
      </c>
      <c r="MKN1" t="s">
        <v>9406</v>
      </c>
      <c r="MKO1" t="s">
        <v>9407</v>
      </c>
      <c r="MKP1" t="s">
        <v>9408</v>
      </c>
      <c r="MKQ1" t="s">
        <v>9409</v>
      </c>
      <c r="MKR1" t="s">
        <v>9410</v>
      </c>
      <c r="MKS1" t="s">
        <v>9411</v>
      </c>
      <c r="MKT1" t="s">
        <v>9412</v>
      </c>
      <c r="MKU1" t="s">
        <v>9413</v>
      </c>
      <c r="MKV1" t="s">
        <v>9414</v>
      </c>
      <c r="MKW1" t="s">
        <v>9415</v>
      </c>
      <c r="MKX1" t="s">
        <v>9416</v>
      </c>
      <c r="MKY1" t="s">
        <v>9417</v>
      </c>
      <c r="MKZ1" t="s">
        <v>9418</v>
      </c>
      <c r="MLA1" t="s">
        <v>9419</v>
      </c>
      <c r="MLB1" t="s">
        <v>9420</v>
      </c>
      <c r="MLC1" t="s">
        <v>9421</v>
      </c>
      <c r="MLD1" t="s">
        <v>9422</v>
      </c>
      <c r="MLE1" t="s">
        <v>9423</v>
      </c>
      <c r="MLF1" t="s">
        <v>9424</v>
      </c>
      <c r="MLG1" t="s">
        <v>9425</v>
      </c>
      <c r="MLH1" t="s">
        <v>9426</v>
      </c>
      <c r="MLI1" t="s">
        <v>9427</v>
      </c>
      <c r="MLJ1" t="s">
        <v>9428</v>
      </c>
      <c r="MLK1" t="s">
        <v>9429</v>
      </c>
      <c r="MLL1" t="s">
        <v>9430</v>
      </c>
      <c r="MLM1" t="s">
        <v>9431</v>
      </c>
      <c r="MLN1" t="s">
        <v>9432</v>
      </c>
      <c r="MLO1" t="s">
        <v>9433</v>
      </c>
      <c r="MLP1" t="s">
        <v>9434</v>
      </c>
      <c r="MLQ1" t="s">
        <v>9435</v>
      </c>
      <c r="MLR1" t="s">
        <v>9436</v>
      </c>
      <c r="MLS1" t="s">
        <v>9437</v>
      </c>
      <c r="MLT1" t="s">
        <v>9438</v>
      </c>
      <c r="MLU1" t="s">
        <v>9439</v>
      </c>
      <c r="MLV1" t="s">
        <v>9440</v>
      </c>
      <c r="MLW1" t="s">
        <v>9441</v>
      </c>
      <c r="MLX1" t="s">
        <v>9442</v>
      </c>
      <c r="MLY1" t="s">
        <v>9443</v>
      </c>
      <c r="MLZ1" t="s">
        <v>9444</v>
      </c>
      <c r="MMA1" t="s">
        <v>9445</v>
      </c>
      <c r="MMB1" t="s">
        <v>9446</v>
      </c>
      <c r="MMC1" t="s">
        <v>9447</v>
      </c>
      <c r="MMD1" t="s">
        <v>9448</v>
      </c>
      <c r="MME1" t="s">
        <v>9449</v>
      </c>
      <c r="MMF1" t="s">
        <v>9450</v>
      </c>
      <c r="MMG1" t="s">
        <v>9451</v>
      </c>
      <c r="MMH1" t="s">
        <v>9452</v>
      </c>
      <c r="MMI1" t="s">
        <v>9453</v>
      </c>
      <c r="MMJ1" t="s">
        <v>9454</v>
      </c>
      <c r="MMK1" t="s">
        <v>9455</v>
      </c>
      <c r="MML1" t="s">
        <v>9456</v>
      </c>
      <c r="MMM1" t="s">
        <v>9457</v>
      </c>
      <c r="MMN1" t="s">
        <v>9458</v>
      </c>
      <c r="MMO1" t="s">
        <v>9459</v>
      </c>
      <c r="MMP1" t="s">
        <v>9460</v>
      </c>
      <c r="MMQ1" t="s">
        <v>9461</v>
      </c>
      <c r="MMR1" t="s">
        <v>9462</v>
      </c>
      <c r="MMS1" t="s">
        <v>9463</v>
      </c>
      <c r="MMT1" t="s">
        <v>9464</v>
      </c>
      <c r="MMU1" t="s">
        <v>9465</v>
      </c>
      <c r="MMV1" t="s">
        <v>9466</v>
      </c>
      <c r="MMW1" t="s">
        <v>9467</v>
      </c>
      <c r="MMX1" t="s">
        <v>9468</v>
      </c>
      <c r="MMY1" t="s">
        <v>9469</v>
      </c>
      <c r="MMZ1" t="s">
        <v>9470</v>
      </c>
      <c r="MNA1" t="s">
        <v>9471</v>
      </c>
      <c r="MNB1" t="s">
        <v>9472</v>
      </c>
      <c r="MNC1" t="s">
        <v>9473</v>
      </c>
      <c r="MND1" t="s">
        <v>9474</v>
      </c>
      <c r="MNE1" t="s">
        <v>9475</v>
      </c>
      <c r="MNF1" t="s">
        <v>9476</v>
      </c>
      <c r="MNG1" t="s">
        <v>9477</v>
      </c>
      <c r="MNH1" t="s">
        <v>9478</v>
      </c>
      <c r="MNI1" t="s">
        <v>9479</v>
      </c>
      <c r="MNJ1" t="s">
        <v>9480</v>
      </c>
      <c r="MNK1" t="s">
        <v>9481</v>
      </c>
      <c r="MNL1" t="s">
        <v>9482</v>
      </c>
      <c r="MNM1" t="s">
        <v>9483</v>
      </c>
      <c r="MNN1" t="s">
        <v>9484</v>
      </c>
      <c r="MNO1" t="s">
        <v>9485</v>
      </c>
      <c r="MNP1" t="s">
        <v>9486</v>
      </c>
      <c r="MNQ1" t="s">
        <v>9487</v>
      </c>
      <c r="MNR1" t="s">
        <v>9488</v>
      </c>
      <c r="MNS1" t="s">
        <v>9489</v>
      </c>
      <c r="MNT1" t="s">
        <v>9490</v>
      </c>
      <c r="MNU1" t="s">
        <v>9491</v>
      </c>
      <c r="MNV1" t="s">
        <v>9492</v>
      </c>
      <c r="MNW1" t="s">
        <v>9493</v>
      </c>
      <c r="MNX1" t="s">
        <v>9494</v>
      </c>
      <c r="MNY1" t="s">
        <v>9495</v>
      </c>
      <c r="MNZ1" t="s">
        <v>9496</v>
      </c>
      <c r="MOA1" t="s">
        <v>9497</v>
      </c>
      <c r="MOB1" t="s">
        <v>9498</v>
      </c>
      <c r="MOC1" t="s">
        <v>9499</v>
      </c>
      <c r="MOD1" t="s">
        <v>9500</v>
      </c>
      <c r="MOE1" t="s">
        <v>9501</v>
      </c>
      <c r="MOF1" t="s">
        <v>9502</v>
      </c>
      <c r="MOG1" t="s">
        <v>9503</v>
      </c>
      <c r="MOH1" t="s">
        <v>9504</v>
      </c>
      <c r="MOI1" t="s">
        <v>9505</v>
      </c>
      <c r="MOJ1" t="s">
        <v>9506</v>
      </c>
      <c r="MOK1" t="s">
        <v>9507</v>
      </c>
      <c r="MOL1" t="s">
        <v>9508</v>
      </c>
      <c r="MOM1" t="s">
        <v>9509</v>
      </c>
      <c r="MON1" t="s">
        <v>9510</v>
      </c>
      <c r="MOO1" t="s">
        <v>9511</v>
      </c>
      <c r="MOP1" t="s">
        <v>9512</v>
      </c>
      <c r="MOQ1" t="s">
        <v>9513</v>
      </c>
      <c r="MOR1" t="s">
        <v>9514</v>
      </c>
      <c r="MOS1" t="s">
        <v>9515</v>
      </c>
      <c r="MOT1" t="s">
        <v>9516</v>
      </c>
      <c r="MOU1" t="s">
        <v>9517</v>
      </c>
      <c r="MOV1" t="s">
        <v>9518</v>
      </c>
      <c r="MOW1" t="s">
        <v>9519</v>
      </c>
      <c r="MOX1" t="s">
        <v>9520</v>
      </c>
      <c r="MOY1" t="s">
        <v>9521</v>
      </c>
      <c r="MOZ1" t="s">
        <v>9522</v>
      </c>
      <c r="MPA1" t="s">
        <v>9523</v>
      </c>
      <c r="MPB1" t="s">
        <v>9524</v>
      </c>
      <c r="MPC1" t="s">
        <v>9525</v>
      </c>
      <c r="MPD1" t="s">
        <v>9526</v>
      </c>
      <c r="MPE1" t="s">
        <v>9527</v>
      </c>
      <c r="MPF1" t="s">
        <v>9528</v>
      </c>
      <c r="MPG1" t="s">
        <v>9529</v>
      </c>
      <c r="MPH1" t="s">
        <v>9530</v>
      </c>
      <c r="MPI1" t="s">
        <v>9531</v>
      </c>
      <c r="MPJ1" t="s">
        <v>9532</v>
      </c>
      <c r="MPK1" t="s">
        <v>9533</v>
      </c>
      <c r="MPL1" t="s">
        <v>9534</v>
      </c>
      <c r="MPM1" t="s">
        <v>9535</v>
      </c>
      <c r="MPN1" t="s">
        <v>9536</v>
      </c>
      <c r="MPO1" t="s">
        <v>9537</v>
      </c>
      <c r="MPP1" t="s">
        <v>9538</v>
      </c>
      <c r="MPQ1" t="s">
        <v>9539</v>
      </c>
      <c r="MPR1" t="s">
        <v>9540</v>
      </c>
      <c r="MPS1" t="s">
        <v>9541</v>
      </c>
      <c r="MPT1" t="s">
        <v>9542</v>
      </c>
      <c r="MPU1" t="s">
        <v>9543</v>
      </c>
      <c r="MPV1" t="s">
        <v>9544</v>
      </c>
      <c r="MPW1" t="s">
        <v>9545</v>
      </c>
      <c r="MPX1" t="s">
        <v>9546</v>
      </c>
      <c r="MPY1" t="s">
        <v>9547</v>
      </c>
      <c r="MPZ1" t="s">
        <v>9548</v>
      </c>
      <c r="MQA1" t="s">
        <v>9549</v>
      </c>
      <c r="MQB1" t="s">
        <v>9550</v>
      </c>
      <c r="MQC1" t="s">
        <v>9551</v>
      </c>
      <c r="MQD1" t="s">
        <v>9552</v>
      </c>
      <c r="MQE1" t="s">
        <v>9553</v>
      </c>
      <c r="MQF1" t="s">
        <v>9554</v>
      </c>
      <c r="MQG1" t="s">
        <v>9555</v>
      </c>
      <c r="MQH1" t="s">
        <v>9556</v>
      </c>
      <c r="MQI1" t="s">
        <v>9557</v>
      </c>
      <c r="MQJ1" t="s">
        <v>9558</v>
      </c>
      <c r="MQK1" t="s">
        <v>9559</v>
      </c>
      <c r="MQL1" t="s">
        <v>9560</v>
      </c>
      <c r="MQM1" t="s">
        <v>9561</v>
      </c>
      <c r="MQN1" t="s">
        <v>9562</v>
      </c>
      <c r="MQO1" t="s">
        <v>9563</v>
      </c>
      <c r="MQP1" t="s">
        <v>9564</v>
      </c>
      <c r="MQQ1" t="s">
        <v>9565</v>
      </c>
      <c r="MQR1" t="s">
        <v>9566</v>
      </c>
      <c r="MQS1" t="s">
        <v>9567</v>
      </c>
      <c r="MQT1" t="s">
        <v>9568</v>
      </c>
      <c r="MQU1" t="s">
        <v>9569</v>
      </c>
      <c r="MQV1" t="s">
        <v>9570</v>
      </c>
      <c r="MQW1" t="s">
        <v>9571</v>
      </c>
      <c r="MQX1" t="s">
        <v>9572</v>
      </c>
      <c r="MQY1" t="s">
        <v>9573</v>
      </c>
      <c r="MQZ1" t="s">
        <v>9574</v>
      </c>
      <c r="MRA1" t="s">
        <v>9575</v>
      </c>
      <c r="MRB1" t="s">
        <v>9576</v>
      </c>
      <c r="MRC1" t="s">
        <v>9577</v>
      </c>
      <c r="MRD1" t="s">
        <v>9578</v>
      </c>
      <c r="MRE1" t="s">
        <v>9579</v>
      </c>
      <c r="MRF1" t="s">
        <v>9580</v>
      </c>
      <c r="MRG1" t="s">
        <v>9581</v>
      </c>
      <c r="MRH1" t="s">
        <v>9582</v>
      </c>
      <c r="MRI1" t="s">
        <v>9583</v>
      </c>
      <c r="MRJ1" t="s">
        <v>9584</v>
      </c>
      <c r="MRK1" t="s">
        <v>9585</v>
      </c>
      <c r="MRL1" t="s">
        <v>9586</v>
      </c>
      <c r="MRM1" t="s">
        <v>9587</v>
      </c>
      <c r="MRN1" t="s">
        <v>9588</v>
      </c>
      <c r="MRO1" t="s">
        <v>9589</v>
      </c>
      <c r="MRP1" t="s">
        <v>9590</v>
      </c>
      <c r="MRQ1" t="s">
        <v>9591</v>
      </c>
      <c r="MRR1" t="s">
        <v>9592</v>
      </c>
      <c r="MRS1" t="s">
        <v>9593</v>
      </c>
      <c r="MRT1" t="s">
        <v>9594</v>
      </c>
      <c r="MRU1" t="s">
        <v>9595</v>
      </c>
      <c r="MRV1" t="s">
        <v>9596</v>
      </c>
      <c r="MRW1" t="s">
        <v>9597</v>
      </c>
      <c r="MRX1" t="s">
        <v>9598</v>
      </c>
      <c r="MRY1" t="s">
        <v>9599</v>
      </c>
      <c r="MRZ1" t="s">
        <v>9600</v>
      </c>
      <c r="MSA1" t="s">
        <v>9601</v>
      </c>
      <c r="MSB1" t="s">
        <v>9602</v>
      </c>
      <c r="MSC1" t="s">
        <v>9603</v>
      </c>
      <c r="MSD1" t="s">
        <v>9604</v>
      </c>
      <c r="MSE1" t="s">
        <v>9605</v>
      </c>
      <c r="MSF1" t="s">
        <v>9606</v>
      </c>
      <c r="MSG1" t="s">
        <v>9607</v>
      </c>
      <c r="MSH1" t="s">
        <v>9608</v>
      </c>
      <c r="MSI1" t="s">
        <v>9609</v>
      </c>
      <c r="MSJ1" t="s">
        <v>9610</v>
      </c>
      <c r="MSK1" t="s">
        <v>9611</v>
      </c>
      <c r="MSL1" t="s">
        <v>9612</v>
      </c>
      <c r="MSM1" t="s">
        <v>9613</v>
      </c>
      <c r="MSN1" t="s">
        <v>9614</v>
      </c>
      <c r="MSO1" t="s">
        <v>9615</v>
      </c>
      <c r="MSP1" t="s">
        <v>9616</v>
      </c>
      <c r="MSQ1" t="s">
        <v>9617</v>
      </c>
      <c r="MSR1" t="s">
        <v>9618</v>
      </c>
      <c r="MSS1" t="s">
        <v>9619</v>
      </c>
      <c r="MST1" t="s">
        <v>9620</v>
      </c>
      <c r="MSU1" t="s">
        <v>9621</v>
      </c>
      <c r="MSV1" t="s">
        <v>9622</v>
      </c>
      <c r="MSW1" t="s">
        <v>9623</v>
      </c>
      <c r="MSX1" t="s">
        <v>9624</v>
      </c>
      <c r="MSY1" t="s">
        <v>9625</v>
      </c>
      <c r="MSZ1" t="s">
        <v>9626</v>
      </c>
      <c r="MTA1" t="s">
        <v>9627</v>
      </c>
      <c r="MTB1" t="s">
        <v>9628</v>
      </c>
      <c r="MTC1" t="s">
        <v>9629</v>
      </c>
      <c r="MTD1" t="s">
        <v>9630</v>
      </c>
      <c r="MTE1" t="s">
        <v>9631</v>
      </c>
      <c r="MTF1" t="s">
        <v>9632</v>
      </c>
      <c r="MTG1" t="s">
        <v>9633</v>
      </c>
      <c r="MTH1" t="s">
        <v>9634</v>
      </c>
      <c r="MTI1" t="s">
        <v>9635</v>
      </c>
      <c r="MTJ1" t="s">
        <v>9636</v>
      </c>
      <c r="MTK1" t="s">
        <v>9637</v>
      </c>
      <c r="MTL1" t="s">
        <v>9638</v>
      </c>
      <c r="MTM1" t="s">
        <v>9639</v>
      </c>
      <c r="MTN1" t="s">
        <v>9640</v>
      </c>
      <c r="MTO1" t="s">
        <v>9641</v>
      </c>
      <c r="MTP1" t="s">
        <v>9642</v>
      </c>
      <c r="MTQ1" t="s">
        <v>9643</v>
      </c>
      <c r="MTR1" t="s">
        <v>9644</v>
      </c>
      <c r="MTS1" t="s">
        <v>9645</v>
      </c>
      <c r="MTT1" t="s">
        <v>9646</v>
      </c>
      <c r="MTU1" t="s">
        <v>9647</v>
      </c>
      <c r="MTV1" t="s">
        <v>9648</v>
      </c>
      <c r="MTW1" t="s">
        <v>9649</v>
      </c>
      <c r="MTX1" t="s">
        <v>9650</v>
      </c>
      <c r="MTY1" t="s">
        <v>9651</v>
      </c>
      <c r="MTZ1" t="s">
        <v>9652</v>
      </c>
      <c r="MUA1" t="s">
        <v>9653</v>
      </c>
      <c r="MUB1" t="s">
        <v>9654</v>
      </c>
      <c r="MUC1" t="s">
        <v>9655</v>
      </c>
      <c r="MUD1" t="s">
        <v>9656</v>
      </c>
      <c r="MUE1" t="s">
        <v>9657</v>
      </c>
      <c r="MUF1" t="s">
        <v>9658</v>
      </c>
      <c r="MUG1" t="s">
        <v>9659</v>
      </c>
      <c r="MUH1" t="s">
        <v>9660</v>
      </c>
      <c r="MUI1" t="s">
        <v>9661</v>
      </c>
      <c r="MUJ1" t="s">
        <v>9662</v>
      </c>
      <c r="MUK1" t="s">
        <v>9663</v>
      </c>
      <c r="MUL1" t="s">
        <v>9664</v>
      </c>
      <c r="MUM1" t="s">
        <v>9665</v>
      </c>
      <c r="MUN1" t="s">
        <v>9666</v>
      </c>
      <c r="MUO1" t="s">
        <v>9667</v>
      </c>
      <c r="MUP1" t="s">
        <v>9668</v>
      </c>
      <c r="MUQ1" t="s">
        <v>9669</v>
      </c>
      <c r="MUR1" t="s">
        <v>9670</v>
      </c>
      <c r="MUS1" t="s">
        <v>9671</v>
      </c>
      <c r="MUT1" t="s">
        <v>9672</v>
      </c>
      <c r="MUU1" t="s">
        <v>9673</v>
      </c>
      <c r="MUV1" t="s">
        <v>9674</v>
      </c>
      <c r="MUW1" t="s">
        <v>9675</v>
      </c>
      <c r="MUX1" t="s">
        <v>9676</v>
      </c>
      <c r="MUY1" t="s">
        <v>9677</v>
      </c>
      <c r="MUZ1" t="s">
        <v>9678</v>
      </c>
      <c r="MVA1" t="s">
        <v>9679</v>
      </c>
      <c r="MVB1" t="s">
        <v>9680</v>
      </c>
      <c r="MVC1" t="s">
        <v>9681</v>
      </c>
      <c r="MVD1" t="s">
        <v>9682</v>
      </c>
      <c r="MVE1" t="s">
        <v>9683</v>
      </c>
      <c r="MVF1" t="s">
        <v>9684</v>
      </c>
      <c r="MVG1" t="s">
        <v>9685</v>
      </c>
      <c r="MVH1" t="s">
        <v>9686</v>
      </c>
      <c r="MVI1" t="s">
        <v>9687</v>
      </c>
      <c r="MVJ1" t="s">
        <v>9688</v>
      </c>
      <c r="MVK1" t="s">
        <v>9689</v>
      </c>
      <c r="MVL1" t="s">
        <v>9690</v>
      </c>
      <c r="MVM1" t="s">
        <v>9691</v>
      </c>
      <c r="MVN1" t="s">
        <v>9692</v>
      </c>
      <c r="MVO1" t="s">
        <v>9693</v>
      </c>
      <c r="MVP1" t="s">
        <v>9694</v>
      </c>
      <c r="MVQ1" t="s">
        <v>9695</v>
      </c>
      <c r="MVR1" t="s">
        <v>9696</v>
      </c>
      <c r="MVS1" t="s">
        <v>9697</v>
      </c>
      <c r="MVT1" t="s">
        <v>9698</v>
      </c>
      <c r="MVU1" t="s">
        <v>9699</v>
      </c>
      <c r="MVV1" t="s">
        <v>9700</v>
      </c>
      <c r="MVW1" t="s">
        <v>9701</v>
      </c>
      <c r="MVX1" t="s">
        <v>9702</v>
      </c>
      <c r="MVY1" t="s">
        <v>9703</v>
      </c>
      <c r="MVZ1" t="s">
        <v>9704</v>
      </c>
      <c r="MWA1" t="s">
        <v>9705</v>
      </c>
      <c r="MWB1" t="s">
        <v>9706</v>
      </c>
      <c r="MWC1" t="s">
        <v>9707</v>
      </c>
      <c r="MWD1" t="s">
        <v>9708</v>
      </c>
      <c r="MWE1" t="s">
        <v>9709</v>
      </c>
      <c r="MWF1" t="s">
        <v>9710</v>
      </c>
      <c r="MWG1" t="s">
        <v>9711</v>
      </c>
      <c r="MWH1" t="s">
        <v>9712</v>
      </c>
      <c r="MWI1" t="s">
        <v>9713</v>
      </c>
      <c r="MWJ1" t="s">
        <v>9714</v>
      </c>
      <c r="MWK1" t="s">
        <v>9715</v>
      </c>
      <c r="MWL1" t="s">
        <v>9716</v>
      </c>
      <c r="MWM1" t="s">
        <v>9717</v>
      </c>
      <c r="MWN1" t="s">
        <v>9718</v>
      </c>
      <c r="MWO1" t="s">
        <v>9719</v>
      </c>
      <c r="MWP1" t="s">
        <v>9720</v>
      </c>
      <c r="MWQ1" t="s">
        <v>9721</v>
      </c>
      <c r="MWR1" t="s">
        <v>9722</v>
      </c>
      <c r="MWS1" t="s">
        <v>9723</v>
      </c>
      <c r="MWT1" t="s">
        <v>9724</v>
      </c>
      <c r="MWU1" t="s">
        <v>9725</v>
      </c>
      <c r="MWV1" t="s">
        <v>9726</v>
      </c>
      <c r="MWW1" t="s">
        <v>9727</v>
      </c>
      <c r="MWX1" t="s">
        <v>9728</v>
      </c>
      <c r="MWY1" t="s">
        <v>9729</v>
      </c>
      <c r="MWZ1" t="s">
        <v>9730</v>
      </c>
      <c r="MXA1" t="s">
        <v>9731</v>
      </c>
      <c r="MXB1" t="s">
        <v>9732</v>
      </c>
      <c r="MXC1" t="s">
        <v>9733</v>
      </c>
      <c r="MXD1" t="s">
        <v>9734</v>
      </c>
      <c r="MXE1" t="s">
        <v>9735</v>
      </c>
      <c r="MXF1" t="s">
        <v>9736</v>
      </c>
      <c r="MXG1" t="s">
        <v>9737</v>
      </c>
      <c r="MXH1" t="s">
        <v>9738</v>
      </c>
      <c r="MXI1" t="s">
        <v>9739</v>
      </c>
      <c r="MXJ1" t="s">
        <v>9740</v>
      </c>
      <c r="MXK1" t="s">
        <v>9741</v>
      </c>
      <c r="MXL1" t="s">
        <v>9742</v>
      </c>
      <c r="MXM1" t="s">
        <v>9743</v>
      </c>
      <c r="MXN1" t="s">
        <v>9744</v>
      </c>
      <c r="MXO1" t="s">
        <v>9745</v>
      </c>
      <c r="MXP1" t="s">
        <v>9746</v>
      </c>
      <c r="MXQ1" t="s">
        <v>9747</v>
      </c>
      <c r="MXR1" t="s">
        <v>9748</v>
      </c>
      <c r="MXS1" t="s">
        <v>9749</v>
      </c>
      <c r="MXT1" t="s">
        <v>9750</v>
      </c>
      <c r="MXU1" t="s">
        <v>9751</v>
      </c>
      <c r="MXV1" t="s">
        <v>9752</v>
      </c>
      <c r="MXW1" t="s">
        <v>9753</v>
      </c>
      <c r="MXX1" t="s">
        <v>9754</v>
      </c>
      <c r="MXY1" t="s">
        <v>9755</v>
      </c>
      <c r="MXZ1" t="s">
        <v>9756</v>
      </c>
      <c r="MYA1" t="s">
        <v>9757</v>
      </c>
      <c r="MYB1" t="s">
        <v>9758</v>
      </c>
      <c r="MYC1" t="s">
        <v>9759</v>
      </c>
      <c r="MYD1" t="s">
        <v>9760</v>
      </c>
      <c r="MYE1" t="s">
        <v>9761</v>
      </c>
      <c r="MYF1" t="s">
        <v>9762</v>
      </c>
      <c r="MYG1" t="s">
        <v>9763</v>
      </c>
      <c r="MYH1" t="s">
        <v>9764</v>
      </c>
      <c r="MYI1" t="s">
        <v>9765</v>
      </c>
      <c r="MYJ1" t="s">
        <v>9766</v>
      </c>
      <c r="MYK1" t="s">
        <v>9767</v>
      </c>
      <c r="MYL1" t="s">
        <v>9768</v>
      </c>
      <c r="MYM1" t="s">
        <v>9769</v>
      </c>
      <c r="MYN1" t="s">
        <v>9770</v>
      </c>
      <c r="MYO1" t="s">
        <v>9771</v>
      </c>
      <c r="MYP1" t="s">
        <v>9772</v>
      </c>
      <c r="MYQ1" t="s">
        <v>9773</v>
      </c>
      <c r="MYR1" t="s">
        <v>9774</v>
      </c>
      <c r="MYS1" t="s">
        <v>9775</v>
      </c>
      <c r="MYT1" t="s">
        <v>9776</v>
      </c>
      <c r="MYU1" t="s">
        <v>9777</v>
      </c>
      <c r="MYV1" t="s">
        <v>9778</v>
      </c>
      <c r="MYW1" t="s">
        <v>9779</v>
      </c>
      <c r="MYX1" t="s">
        <v>9780</v>
      </c>
      <c r="MYY1" t="s">
        <v>9781</v>
      </c>
      <c r="MYZ1" t="s">
        <v>9782</v>
      </c>
      <c r="MZA1" t="s">
        <v>9783</v>
      </c>
      <c r="MZB1" t="s">
        <v>9784</v>
      </c>
      <c r="MZC1" t="s">
        <v>9785</v>
      </c>
      <c r="MZD1" t="s">
        <v>9786</v>
      </c>
      <c r="MZE1" t="s">
        <v>9787</v>
      </c>
      <c r="MZF1" t="s">
        <v>9788</v>
      </c>
      <c r="MZG1" t="s">
        <v>9789</v>
      </c>
      <c r="MZH1" t="s">
        <v>9790</v>
      </c>
      <c r="MZI1" t="s">
        <v>9791</v>
      </c>
      <c r="MZJ1" t="s">
        <v>9792</v>
      </c>
      <c r="MZK1" t="s">
        <v>9793</v>
      </c>
      <c r="MZL1" t="s">
        <v>9794</v>
      </c>
      <c r="MZM1" t="s">
        <v>9795</v>
      </c>
      <c r="MZN1" t="s">
        <v>9796</v>
      </c>
      <c r="MZO1" t="s">
        <v>9797</v>
      </c>
      <c r="MZP1" t="s">
        <v>9798</v>
      </c>
      <c r="MZQ1" t="s">
        <v>9799</v>
      </c>
      <c r="MZR1" t="s">
        <v>9800</v>
      </c>
      <c r="MZS1" t="s">
        <v>9801</v>
      </c>
      <c r="MZT1" t="s">
        <v>9802</v>
      </c>
      <c r="MZU1" t="s">
        <v>9803</v>
      </c>
      <c r="MZV1" t="s">
        <v>9804</v>
      </c>
      <c r="MZW1" t="s">
        <v>9805</v>
      </c>
      <c r="MZX1" t="s">
        <v>9806</v>
      </c>
      <c r="MZY1" t="s">
        <v>9807</v>
      </c>
      <c r="MZZ1" t="s">
        <v>9808</v>
      </c>
      <c r="NAA1" t="s">
        <v>9809</v>
      </c>
      <c r="NAB1" t="s">
        <v>9810</v>
      </c>
      <c r="NAC1" t="s">
        <v>9811</v>
      </c>
      <c r="NAD1" t="s">
        <v>9812</v>
      </c>
      <c r="NAE1" t="s">
        <v>9813</v>
      </c>
      <c r="NAF1" t="s">
        <v>9814</v>
      </c>
      <c r="NAG1" t="s">
        <v>9815</v>
      </c>
      <c r="NAH1" t="s">
        <v>9816</v>
      </c>
      <c r="NAI1" t="s">
        <v>9817</v>
      </c>
      <c r="NAJ1" t="s">
        <v>9818</v>
      </c>
      <c r="NAK1" t="s">
        <v>9819</v>
      </c>
      <c r="NAL1" t="s">
        <v>9820</v>
      </c>
      <c r="NAM1" t="s">
        <v>9821</v>
      </c>
      <c r="NAN1" t="s">
        <v>9822</v>
      </c>
      <c r="NAO1" t="s">
        <v>9823</v>
      </c>
      <c r="NAP1" t="s">
        <v>9824</v>
      </c>
      <c r="NAQ1" t="s">
        <v>9825</v>
      </c>
      <c r="NAR1" t="s">
        <v>9826</v>
      </c>
      <c r="NAS1" t="s">
        <v>9827</v>
      </c>
      <c r="NAT1" t="s">
        <v>9828</v>
      </c>
      <c r="NAU1" t="s">
        <v>9829</v>
      </c>
      <c r="NAV1" t="s">
        <v>9830</v>
      </c>
      <c r="NAW1" t="s">
        <v>9831</v>
      </c>
      <c r="NAX1" t="s">
        <v>9832</v>
      </c>
      <c r="NAY1" t="s">
        <v>9833</v>
      </c>
      <c r="NAZ1" t="s">
        <v>9834</v>
      </c>
      <c r="NBA1" t="s">
        <v>9835</v>
      </c>
      <c r="NBB1" t="s">
        <v>9836</v>
      </c>
      <c r="NBC1" t="s">
        <v>9837</v>
      </c>
      <c r="NBD1" t="s">
        <v>9838</v>
      </c>
      <c r="NBE1" t="s">
        <v>9839</v>
      </c>
      <c r="NBF1" t="s">
        <v>9840</v>
      </c>
      <c r="NBG1" t="s">
        <v>9841</v>
      </c>
      <c r="NBH1" t="s">
        <v>9842</v>
      </c>
      <c r="NBI1" t="s">
        <v>9843</v>
      </c>
      <c r="NBJ1" t="s">
        <v>9844</v>
      </c>
      <c r="NBK1" t="s">
        <v>9845</v>
      </c>
      <c r="NBL1" t="s">
        <v>9846</v>
      </c>
      <c r="NBM1" t="s">
        <v>9847</v>
      </c>
      <c r="NBN1" t="s">
        <v>9848</v>
      </c>
      <c r="NBO1" t="s">
        <v>9849</v>
      </c>
      <c r="NBP1" t="s">
        <v>9850</v>
      </c>
      <c r="NBQ1" t="s">
        <v>9851</v>
      </c>
      <c r="NBR1" t="s">
        <v>9852</v>
      </c>
      <c r="NBS1" t="s">
        <v>9853</v>
      </c>
      <c r="NBT1" t="s">
        <v>9854</v>
      </c>
      <c r="NBU1" t="s">
        <v>9855</v>
      </c>
      <c r="NBV1" t="s">
        <v>9856</v>
      </c>
      <c r="NBW1" t="s">
        <v>9857</v>
      </c>
      <c r="NBX1" t="s">
        <v>9858</v>
      </c>
      <c r="NBY1" t="s">
        <v>9859</v>
      </c>
      <c r="NBZ1" t="s">
        <v>9860</v>
      </c>
      <c r="NCA1" t="s">
        <v>9861</v>
      </c>
      <c r="NCB1" t="s">
        <v>9862</v>
      </c>
      <c r="NCC1" t="s">
        <v>9863</v>
      </c>
      <c r="NCD1" t="s">
        <v>9864</v>
      </c>
      <c r="NCE1" t="s">
        <v>9865</v>
      </c>
      <c r="NCF1" t="s">
        <v>9866</v>
      </c>
      <c r="NCG1" t="s">
        <v>9867</v>
      </c>
      <c r="NCH1" t="s">
        <v>9868</v>
      </c>
      <c r="NCI1" t="s">
        <v>9869</v>
      </c>
      <c r="NCJ1" t="s">
        <v>9870</v>
      </c>
      <c r="NCK1" t="s">
        <v>9871</v>
      </c>
      <c r="NCL1" t="s">
        <v>9872</v>
      </c>
      <c r="NCM1" t="s">
        <v>9873</v>
      </c>
      <c r="NCN1" t="s">
        <v>9874</v>
      </c>
      <c r="NCO1" t="s">
        <v>9875</v>
      </c>
      <c r="NCP1" t="s">
        <v>9876</v>
      </c>
      <c r="NCQ1" t="s">
        <v>9877</v>
      </c>
      <c r="NCR1" t="s">
        <v>9878</v>
      </c>
      <c r="NCS1" t="s">
        <v>9879</v>
      </c>
      <c r="NCT1" t="s">
        <v>9880</v>
      </c>
      <c r="NCU1" t="s">
        <v>9881</v>
      </c>
      <c r="NCV1" t="s">
        <v>9882</v>
      </c>
      <c r="NCW1" t="s">
        <v>9883</v>
      </c>
      <c r="NCX1" t="s">
        <v>9884</v>
      </c>
      <c r="NCY1" t="s">
        <v>9885</v>
      </c>
      <c r="NCZ1" t="s">
        <v>9886</v>
      </c>
      <c r="NDA1" t="s">
        <v>9887</v>
      </c>
      <c r="NDB1" t="s">
        <v>9888</v>
      </c>
      <c r="NDC1" t="s">
        <v>9889</v>
      </c>
      <c r="NDD1" t="s">
        <v>9890</v>
      </c>
      <c r="NDE1" t="s">
        <v>9891</v>
      </c>
      <c r="NDF1" t="s">
        <v>9892</v>
      </c>
      <c r="NDG1" t="s">
        <v>9893</v>
      </c>
      <c r="NDH1" t="s">
        <v>9894</v>
      </c>
      <c r="NDI1" t="s">
        <v>9895</v>
      </c>
      <c r="NDJ1" t="s">
        <v>9896</v>
      </c>
      <c r="NDK1" t="s">
        <v>9897</v>
      </c>
      <c r="NDL1" t="s">
        <v>9898</v>
      </c>
      <c r="NDM1" t="s">
        <v>9899</v>
      </c>
      <c r="NDN1" t="s">
        <v>9900</v>
      </c>
      <c r="NDO1" t="s">
        <v>9901</v>
      </c>
      <c r="NDP1" t="s">
        <v>9902</v>
      </c>
      <c r="NDQ1" t="s">
        <v>9903</v>
      </c>
      <c r="NDR1" t="s">
        <v>9904</v>
      </c>
      <c r="NDS1" t="s">
        <v>9905</v>
      </c>
      <c r="NDT1" t="s">
        <v>9906</v>
      </c>
      <c r="NDU1" t="s">
        <v>9907</v>
      </c>
      <c r="NDV1" t="s">
        <v>9908</v>
      </c>
      <c r="NDW1" t="s">
        <v>9909</v>
      </c>
      <c r="NDX1" t="s">
        <v>9910</v>
      </c>
      <c r="NDY1" t="s">
        <v>9911</v>
      </c>
      <c r="NDZ1" t="s">
        <v>9912</v>
      </c>
      <c r="NEA1" t="s">
        <v>9913</v>
      </c>
      <c r="NEB1" t="s">
        <v>9914</v>
      </c>
      <c r="NEC1" t="s">
        <v>9915</v>
      </c>
      <c r="NED1" t="s">
        <v>9916</v>
      </c>
      <c r="NEE1" t="s">
        <v>9917</v>
      </c>
      <c r="NEF1" t="s">
        <v>9918</v>
      </c>
      <c r="NEG1" t="s">
        <v>9919</v>
      </c>
      <c r="NEH1" t="s">
        <v>9920</v>
      </c>
      <c r="NEI1" t="s">
        <v>9921</v>
      </c>
      <c r="NEJ1" t="s">
        <v>9922</v>
      </c>
      <c r="NEK1" t="s">
        <v>9923</v>
      </c>
      <c r="NEL1" t="s">
        <v>9924</v>
      </c>
      <c r="NEM1" t="s">
        <v>9925</v>
      </c>
      <c r="NEN1" t="s">
        <v>9926</v>
      </c>
      <c r="NEO1" t="s">
        <v>9927</v>
      </c>
      <c r="NEP1" t="s">
        <v>9928</v>
      </c>
      <c r="NEQ1" t="s">
        <v>9929</v>
      </c>
      <c r="NER1" t="s">
        <v>9930</v>
      </c>
      <c r="NES1" t="s">
        <v>9931</v>
      </c>
      <c r="NET1" t="s">
        <v>9932</v>
      </c>
      <c r="NEU1" t="s">
        <v>9933</v>
      </c>
      <c r="NEV1" t="s">
        <v>9934</v>
      </c>
      <c r="NEW1" t="s">
        <v>9935</v>
      </c>
      <c r="NEX1" t="s">
        <v>9936</v>
      </c>
      <c r="NEY1" t="s">
        <v>9937</v>
      </c>
      <c r="NEZ1" t="s">
        <v>9938</v>
      </c>
      <c r="NFA1" t="s">
        <v>9939</v>
      </c>
      <c r="NFB1" t="s">
        <v>9940</v>
      </c>
      <c r="NFC1" t="s">
        <v>9941</v>
      </c>
      <c r="NFD1" t="s">
        <v>9942</v>
      </c>
      <c r="NFE1" t="s">
        <v>9943</v>
      </c>
      <c r="NFF1" t="s">
        <v>9944</v>
      </c>
      <c r="NFG1" t="s">
        <v>9945</v>
      </c>
      <c r="NFH1" t="s">
        <v>9946</v>
      </c>
      <c r="NFI1" t="s">
        <v>9947</v>
      </c>
      <c r="NFJ1" t="s">
        <v>9948</v>
      </c>
      <c r="NFK1" t="s">
        <v>9949</v>
      </c>
      <c r="NFL1" t="s">
        <v>9950</v>
      </c>
      <c r="NFM1" t="s">
        <v>9951</v>
      </c>
      <c r="NFN1" t="s">
        <v>9952</v>
      </c>
      <c r="NFO1" t="s">
        <v>9953</v>
      </c>
      <c r="NFP1" t="s">
        <v>9954</v>
      </c>
      <c r="NFQ1" t="s">
        <v>9955</v>
      </c>
      <c r="NFR1" t="s">
        <v>9956</v>
      </c>
      <c r="NFS1" t="s">
        <v>9957</v>
      </c>
      <c r="NFT1" t="s">
        <v>9958</v>
      </c>
      <c r="NFU1" t="s">
        <v>9959</v>
      </c>
      <c r="NFV1" t="s">
        <v>9960</v>
      </c>
      <c r="NFW1" t="s">
        <v>9961</v>
      </c>
      <c r="NFX1" t="s">
        <v>9962</v>
      </c>
      <c r="NFY1" t="s">
        <v>9963</v>
      </c>
      <c r="NFZ1" t="s">
        <v>9964</v>
      </c>
      <c r="NGA1" t="s">
        <v>9965</v>
      </c>
      <c r="NGB1" t="s">
        <v>9966</v>
      </c>
      <c r="NGC1" t="s">
        <v>9967</v>
      </c>
      <c r="NGD1" t="s">
        <v>9968</v>
      </c>
      <c r="NGE1" t="s">
        <v>9969</v>
      </c>
      <c r="NGF1" t="s">
        <v>9970</v>
      </c>
      <c r="NGG1" t="s">
        <v>9971</v>
      </c>
      <c r="NGH1" t="s">
        <v>9972</v>
      </c>
      <c r="NGI1" t="s">
        <v>9973</v>
      </c>
      <c r="NGJ1" t="s">
        <v>9974</v>
      </c>
      <c r="NGK1" t="s">
        <v>9975</v>
      </c>
      <c r="NGL1" t="s">
        <v>9976</v>
      </c>
      <c r="NGM1" t="s">
        <v>9977</v>
      </c>
      <c r="NGN1" t="s">
        <v>9978</v>
      </c>
      <c r="NGO1" t="s">
        <v>9979</v>
      </c>
      <c r="NGP1" t="s">
        <v>9980</v>
      </c>
      <c r="NGQ1" t="s">
        <v>9981</v>
      </c>
      <c r="NGR1" t="s">
        <v>9982</v>
      </c>
      <c r="NGS1" t="s">
        <v>9983</v>
      </c>
      <c r="NGT1" t="s">
        <v>9984</v>
      </c>
      <c r="NGU1" t="s">
        <v>9985</v>
      </c>
      <c r="NGV1" t="s">
        <v>9986</v>
      </c>
      <c r="NGW1" t="s">
        <v>9987</v>
      </c>
      <c r="NGX1" t="s">
        <v>9988</v>
      </c>
      <c r="NGY1" t="s">
        <v>9989</v>
      </c>
      <c r="NGZ1" t="s">
        <v>9990</v>
      </c>
      <c r="NHA1" t="s">
        <v>9991</v>
      </c>
      <c r="NHB1" t="s">
        <v>9992</v>
      </c>
      <c r="NHC1" t="s">
        <v>9993</v>
      </c>
      <c r="NHD1" t="s">
        <v>9994</v>
      </c>
      <c r="NHE1" t="s">
        <v>9995</v>
      </c>
      <c r="NHF1" t="s">
        <v>9996</v>
      </c>
      <c r="NHG1" t="s">
        <v>9997</v>
      </c>
      <c r="NHH1" t="s">
        <v>9998</v>
      </c>
      <c r="NHI1" t="s">
        <v>9999</v>
      </c>
      <c r="NHJ1" t="s">
        <v>10000</v>
      </c>
      <c r="NHK1" t="s">
        <v>10001</v>
      </c>
      <c r="NHL1" t="s">
        <v>10002</v>
      </c>
      <c r="NHM1" t="s">
        <v>10003</v>
      </c>
      <c r="NHN1" t="s">
        <v>10004</v>
      </c>
      <c r="NHO1" t="s">
        <v>10005</v>
      </c>
      <c r="NHP1" t="s">
        <v>10006</v>
      </c>
      <c r="NHQ1" t="s">
        <v>10007</v>
      </c>
      <c r="NHR1" t="s">
        <v>10008</v>
      </c>
      <c r="NHS1" t="s">
        <v>10009</v>
      </c>
      <c r="NHT1" t="s">
        <v>10010</v>
      </c>
      <c r="NHU1" t="s">
        <v>10011</v>
      </c>
      <c r="NHV1" t="s">
        <v>10012</v>
      </c>
      <c r="NHW1" t="s">
        <v>10013</v>
      </c>
      <c r="NHX1" t="s">
        <v>10014</v>
      </c>
      <c r="NHY1" t="s">
        <v>10015</v>
      </c>
      <c r="NHZ1" t="s">
        <v>10016</v>
      </c>
      <c r="NIA1" t="s">
        <v>10017</v>
      </c>
      <c r="NIB1" t="s">
        <v>10018</v>
      </c>
      <c r="NIC1" t="s">
        <v>10019</v>
      </c>
      <c r="NID1" t="s">
        <v>10020</v>
      </c>
      <c r="NIE1" t="s">
        <v>10021</v>
      </c>
      <c r="NIF1" t="s">
        <v>10022</v>
      </c>
      <c r="NIG1" t="s">
        <v>10023</v>
      </c>
      <c r="NIH1" t="s">
        <v>10024</v>
      </c>
      <c r="NII1" t="s">
        <v>10025</v>
      </c>
      <c r="NIJ1" t="s">
        <v>10026</v>
      </c>
      <c r="NIK1" t="s">
        <v>10027</v>
      </c>
      <c r="NIL1" t="s">
        <v>10028</v>
      </c>
      <c r="NIM1" t="s">
        <v>10029</v>
      </c>
      <c r="NIN1" t="s">
        <v>10030</v>
      </c>
      <c r="NIO1" t="s">
        <v>10031</v>
      </c>
      <c r="NIP1" t="s">
        <v>10032</v>
      </c>
      <c r="NIQ1" t="s">
        <v>10033</v>
      </c>
      <c r="NIR1" t="s">
        <v>10034</v>
      </c>
      <c r="NIS1" t="s">
        <v>10035</v>
      </c>
      <c r="NIT1" t="s">
        <v>10036</v>
      </c>
      <c r="NIU1" t="s">
        <v>10037</v>
      </c>
      <c r="NIV1" t="s">
        <v>10038</v>
      </c>
      <c r="NIW1" t="s">
        <v>10039</v>
      </c>
      <c r="NIX1" t="s">
        <v>10040</v>
      </c>
      <c r="NIY1" t="s">
        <v>10041</v>
      </c>
      <c r="NIZ1" t="s">
        <v>10042</v>
      </c>
      <c r="NJA1" t="s">
        <v>10043</v>
      </c>
      <c r="NJB1" t="s">
        <v>10044</v>
      </c>
      <c r="NJC1" t="s">
        <v>10045</v>
      </c>
      <c r="NJD1" t="s">
        <v>10046</v>
      </c>
      <c r="NJE1" t="s">
        <v>10047</v>
      </c>
      <c r="NJF1" t="s">
        <v>10048</v>
      </c>
      <c r="NJG1" t="s">
        <v>10049</v>
      </c>
      <c r="NJH1" t="s">
        <v>10050</v>
      </c>
      <c r="NJI1" t="s">
        <v>10051</v>
      </c>
      <c r="NJJ1" t="s">
        <v>10052</v>
      </c>
      <c r="NJK1" t="s">
        <v>10053</v>
      </c>
      <c r="NJL1" t="s">
        <v>10054</v>
      </c>
      <c r="NJM1" t="s">
        <v>10055</v>
      </c>
      <c r="NJN1" t="s">
        <v>10056</v>
      </c>
      <c r="NJO1" t="s">
        <v>10057</v>
      </c>
      <c r="NJP1" t="s">
        <v>10058</v>
      </c>
      <c r="NJQ1" t="s">
        <v>10059</v>
      </c>
      <c r="NJR1" t="s">
        <v>10060</v>
      </c>
      <c r="NJS1" t="s">
        <v>10061</v>
      </c>
      <c r="NJT1" t="s">
        <v>10062</v>
      </c>
      <c r="NJU1" t="s">
        <v>10063</v>
      </c>
      <c r="NJV1" t="s">
        <v>10064</v>
      </c>
      <c r="NJW1" t="s">
        <v>10065</v>
      </c>
      <c r="NJX1" t="s">
        <v>10066</v>
      </c>
      <c r="NJY1" t="s">
        <v>10067</v>
      </c>
      <c r="NJZ1" t="s">
        <v>10068</v>
      </c>
      <c r="NKA1" t="s">
        <v>10069</v>
      </c>
      <c r="NKB1" t="s">
        <v>10070</v>
      </c>
      <c r="NKC1" t="s">
        <v>10071</v>
      </c>
      <c r="NKD1" t="s">
        <v>10072</v>
      </c>
      <c r="NKE1" t="s">
        <v>10073</v>
      </c>
      <c r="NKF1" t="s">
        <v>10074</v>
      </c>
      <c r="NKG1" t="s">
        <v>10075</v>
      </c>
      <c r="NKH1" t="s">
        <v>10076</v>
      </c>
      <c r="NKI1" t="s">
        <v>10077</v>
      </c>
      <c r="NKJ1" t="s">
        <v>10078</v>
      </c>
      <c r="NKK1" t="s">
        <v>10079</v>
      </c>
      <c r="NKL1" t="s">
        <v>10080</v>
      </c>
      <c r="NKM1" t="s">
        <v>10081</v>
      </c>
      <c r="NKN1" t="s">
        <v>10082</v>
      </c>
      <c r="NKO1" t="s">
        <v>10083</v>
      </c>
      <c r="NKP1" t="s">
        <v>10084</v>
      </c>
      <c r="NKQ1" t="s">
        <v>10085</v>
      </c>
      <c r="NKR1" t="s">
        <v>10086</v>
      </c>
      <c r="NKS1" t="s">
        <v>10087</v>
      </c>
      <c r="NKT1" t="s">
        <v>10088</v>
      </c>
      <c r="NKU1" t="s">
        <v>10089</v>
      </c>
      <c r="NKV1" t="s">
        <v>10090</v>
      </c>
      <c r="NKW1" t="s">
        <v>10091</v>
      </c>
      <c r="NKX1" t="s">
        <v>10092</v>
      </c>
      <c r="NKY1" t="s">
        <v>10093</v>
      </c>
      <c r="NKZ1" t="s">
        <v>10094</v>
      </c>
      <c r="NLA1" t="s">
        <v>10095</v>
      </c>
      <c r="NLB1" t="s">
        <v>10096</v>
      </c>
      <c r="NLC1" t="s">
        <v>10097</v>
      </c>
      <c r="NLD1" t="s">
        <v>10098</v>
      </c>
      <c r="NLE1" t="s">
        <v>10099</v>
      </c>
      <c r="NLF1" t="s">
        <v>10100</v>
      </c>
      <c r="NLG1" t="s">
        <v>10101</v>
      </c>
      <c r="NLH1" t="s">
        <v>10102</v>
      </c>
      <c r="NLI1" t="s">
        <v>10103</v>
      </c>
      <c r="NLJ1" t="s">
        <v>10104</v>
      </c>
      <c r="NLK1" t="s">
        <v>10105</v>
      </c>
      <c r="NLL1" t="s">
        <v>10106</v>
      </c>
      <c r="NLM1" t="s">
        <v>10107</v>
      </c>
      <c r="NLN1" t="s">
        <v>10108</v>
      </c>
      <c r="NLO1" t="s">
        <v>10109</v>
      </c>
      <c r="NLP1" t="s">
        <v>10110</v>
      </c>
      <c r="NLQ1" t="s">
        <v>10111</v>
      </c>
      <c r="NLR1" t="s">
        <v>10112</v>
      </c>
      <c r="NLS1" t="s">
        <v>10113</v>
      </c>
      <c r="NLT1" t="s">
        <v>10114</v>
      </c>
      <c r="NLU1" t="s">
        <v>10115</v>
      </c>
      <c r="NLV1" t="s">
        <v>10116</v>
      </c>
      <c r="NLW1" t="s">
        <v>10117</v>
      </c>
      <c r="NLX1" t="s">
        <v>10118</v>
      </c>
      <c r="NLY1" t="s">
        <v>10119</v>
      </c>
      <c r="NLZ1" t="s">
        <v>10120</v>
      </c>
      <c r="NMA1" t="s">
        <v>10121</v>
      </c>
      <c r="NMB1" t="s">
        <v>10122</v>
      </c>
      <c r="NMC1" t="s">
        <v>10123</v>
      </c>
      <c r="NMD1" t="s">
        <v>10124</v>
      </c>
      <c r="NME1" t="s">
        <v>10125</v>
      </c>
      <c r="NMF1" t="s">
        <v>10126</v>
      </c>
      <c r="NMG1" t="s">
        <v>10127</v>
      </c>
      <c r="NMH1" t="s">
        <v>10128</v>
      </c>
      <c r="NMI1" t="s">
        <v>10129</v>
      </c>
      <c r="NMJ1" t="s">
        <v>10130</v>
      </c>
      <c r="NMK1" t="s">
        <v>10131</v>
      </c>
      <c r="NML1" t="s">
        <v>10132</v>
      </c>
      <c r="NMM1" t="s">
        <v>10133</v>
      </c>
      <c r="NMN1" t="s">
        <v>10134</v>
      </c>
      <c r="NMO1" t="s">
        <v>10135</v>
      </c>
      <c r="NMP1" t="s">
        <v>10136</v>
      </c>
      <c r="NMQ1" t="s">
        <v>10137</v>
      </c>
      <c r="NMR1" t="s">
        <v>10138</v>
      </c>
      <c r="NMS1" t="s">
        <v>10139</v>
      </c>
      <c r="NMT1" t="s">
        <v>10140</v>
      </c>
      <c r="NMU1" t="s">
        <v>10141</v>
      </c>
      <c r="NMV1" t="s">
        <v>10142</v>
      </c>
      <c r="NMW1" t="s">
        <v>10143</v>
      </c>
      <c r="NMX1" t="s">
        <v>10144</v>
      </c>
      <c r="NMY1" t="s">
        <v>10145</v>
      </c>
      <c r="NMZ1" t="s">
        <v>10146</v>
      </c>
      <c r="NNA1" t="s">
        <v>10147</v>
      </c>
      <c r="NNB1" t="s">
        <v>10148</v>
      </c>
      <c r="NNC1" t="s">
        <v>10149</v>
      </c>
      <c r="NND1" t="s">
        <v>10150</v>
      </c>
      <c r="NNE1" t="s">
        <v>10151</v>
      </c>
      <c r="NNF1" t="s">
        <v>10152</v>
      </c>
      <c r="NNG1" t="s">
        <v>10153</v>
      </c>
      <c r="NNH1" t="s">
        <v>10154</v>
      </c>
      <c r="NNI1" t="s">
        <v>10155</v>
      </c>
      <c r="NNJ1" t="s">
        <v>10156</v>
      </c>
      <c r="NNK1" t="s">
        <v>10157</v>
      </c>
      <c r="NNL1" t="s">
        <v>10158</v>
      </c>
      <c r="NNM1" t="s">
        <v>10159</v>
      </c>
      <c r="NNN1" t="s">
        <v>10160</v>
      </c>
      <c r="NNO1" t="s">
        <v>10161</v>
      </c>
      <c r="NNP1" t="s">
        <v>10162</v>
      </c>
      <c r="NNQ1" t="s">
        <v>10163</v>
      </c>
      <c r="NNR1" t="s">
        <v>10164</v>
      </c>
      <c r="NNS1" t="s">
        <v>10165</v>
      </c>
      <c r="NNT1" t="s">
        <v>10166</v>
      </c>
      <c r="NNU1" t="s">
        <v>10167</v>
      </c>
      <c r="NNV1" t="s">
        <v>10168</v>
      </c>
      <c r="NNW1" t="s">
        <v>10169</v>
      </c>
      <c r="NNX1" t="s">
        <v>10170</v>
      </c>
      <c r="NNY1" t="s">
        <v>10171</v>
      </c>
      <c r="NNZ1" t="s">
        <v>10172</v>
      </c>
      <c r="NOA1" t="s">
        <v>10173</v>
      </c>
      <c r="NOB1" t="s">
        <v>10174</v>
      </c>
      <c r="NOC1" t="s">
        <v>10175</v>
      </c>
      <c r="NOD1" t="s">
        <v>10176</v>
      </c>
      <c r="NOE1" t="s">
        <v>10177</v>
      </c>
      <c r="NOF1" t="s">
        <v>10178</v>
      </c>
      <c r="NOG1" t="s">
        <v>10179</v>
      </c>
      <c r="NOH1" t="s">
        <v>10180</v>
      </c>
      <c r="NOI1" t="s">
        <v>10181</v>
      </c>
      <c r="NOJ1" t="s">
        <v>10182</v>
      </c>
      <c r="NOK1" t="s">
        <v>10183</v>
      </c>
      <c r="NOL1" t="s">
        <v>10184</v>
      </c>
      <c r="NOM1" t="s">
        <v>10185</v>
      </c>
      <c r="NON1" t="s">
        <v>10186</v>
      </c>
      <c r="NOO1" t="s">
        <v>10187</v>
      </c>
      <c r="NOP1" t="s">
        <v>10188</v>
      </c>
      <c r="NOQ1" t="s">
        <v>10189</v>
      </c>
      <c r="NOR1" t="s">
        <v>10190</v>
      </c>
      <c r="NOS1" t="s">
        <v>10191</v>
      </c>
      <c r="NOT1" t="s">
        <v>10192</v>
      </c>
      <c r="NOU1" t="s">
        <v>10193</v>
      </c>
      <c r="NOV1" t="s">
        <v>10194</v>
      </c>
      <c r="NOW1" t="s">
        <v>10195</v>
      </c>
      <c r="NOX1" t="s">
        <v>10196</v>
      </c>
      <c r="NOY1" t="s">
        <v>10197</v>
      </c>
      <c r="NOZ1" t="s">
        <v>10198</v>
      </c>
      <c r="NPA1" t="s">
        <v>10199</v>
      </c>
      <c r="NPB1" t="s">
        <v>10200</v>
      </c>
      <c r="NPC1" t="s">
        <v>10201</v>
      </c>
      <c r="NPD1" t="s">
        <v>10202</v>
      </c>
      <c r="NPE1" t="s">
        <v>10203</v>
      </c>
      <c r="NPF1" t="s">
        <v>10204</v>
      </c>
      <c r="NPG1" t="s">
        <v>10205</v>
      </c>
      <c r="NPH1" t="s">
        <v>10206</v>
      </c>
      <c r="NPI1" t="s">
        <v>10207</v>
      </c>
      <c r="NPJ1" t="s">
        <v>10208</v>
      </c>
      <c r="NPK1" t="s">
        <v>10209</v>
      </c>
      <c r="NPL1" t="s">
        <v>10210</v>
      </c>
      <c r="NPM1" t="s">
        <v>10211</v>
      </c>
      <c r="NPN1" t="s">
        <v>10212</v>
      </c>
      <c r="NPO1" t="s">
        <v>10213</v>
      </c>
      <c r="NPP1" t="s">
        <v>10214</v>
      </c>
      <c r="NPQ1" t="s">
        <v>10215</v>
      </c>
      <c r="NPR1" t="s">
        <v>10216</v>
      </c>
      <c r="NPS1" t="s">
        <v>10217</v>
      </c>
      <c r="NPT1" t="s">
        <v>10218</v>
      </c>
      <c r="NPU1" t="s">
        <v>10219</v>
      </c>
      <c r="NPV1" t="s">
        <v>10220</v>
      </c>
      <c r="NPW1" t="s">
        <v>10221</v>
      </c>
      <c r="NPX1" t="s">
        <v>10222</v>
      </c>
      <c r="NPY1" t="s">
        <v>10223</v>
      </c>
      <c r="NPZ1" t="s">
        <v>10224</v>
      </c>
      <c r="NQA1" t="s">
        <v>10225</v>
      </c>
      <c r="NQB1" t="s">
        <v>10226</v>
      </c>
      <c r="NQC1" t="s">
        <v>10227</v>
      </c>
      <c r="NQD1" t="s">
        <v>10228</v>
      </c>
      <c r="NQE1" t="s">
        <v>10229</v>
      </c>
      <c r="NQF1" t="s">
        <v>10230</v>
      </c>
      <c r="NQG1" t="s">
        <v>10231</v>
      </c>
      <c r="NQH1" t="s">
        <v>10232</v>
      </c>
      <c r="NQI1" t="s">
        <v>10233</v>
      </c>
      <c r="NQJ1" t="s">
        <v>10234</v>
      </c>
      <c r="NQK1" t="s">
        <v>10235</v>
      </c>
      <c r="NQL1" t="s">
        <v>10236</v>
      </c>
      <c r="NQM1" t="s">
        <v>10237</v>
      </c>
      <c r="NQN1" t="s">
        <v>10238</v>
      </c>
      <c r="NQO1" t="s">
        <v>10239</v>
      </c>
      <c r="NQP1" t="s">
        <v>10240</v>
      </c>
      <c r="NQQ1" t="s">
        <v>10241</v>
      </c>
      <c r="NQR1" t="s">
        <v>10242</v>
      </c>
      <c r="NQS1" t="s">
        <v>10243</v>
      </c>
      <c r="NQT1" t="s">
        <v>10244</v>
      </c>
      <c r="NQU1" t="s">
        <v>10245</v>
      </c>
      <c r="NQV1" t="s">
        <v>10246</v>
      </c>
      <c r="NQW1" t="s">
        <v>10247</v>
      </c>
      <c r="NQX1" t="s">
        <v>10248</v>
      </c>
      <c r="NQY1" t="s">
        <v>10249</v>
      </c>
      <c r="NQZ1" t="s">
        <v>10250</v>
      </c>
      <c r="NRA1" t="s">
        <v>10251</v>
      </c>
      <c r="NRB1" t="s">
        <v>10252</v>
      </c>
      <c r="NRC1" t="s">
        <v>10253</v>
      </c>
      <c r="NRD1" t="s">
        <v>10254</v>
      </c>
      <c r="NRE1" t="s">
        <v>10255</v>
      </c>
      <c r="NRF1" t="s">
        <v>10256</v>
      </c>
      <c r="NRG1" t="s">
        <v>10257</v>
      </c>
      <c r="NRH1" t="s">
        <v>10258</v>
      </c>
      <c r="NRI1" t="s">
        <v>10259</v>
      </c>
      <c r="NRJ1" t="s">
        <v>10260</v>
      </c>
      <c r="NRK1" t="s">
        <v>10261</v>
      </c>
      <c r="NRL1" t="s">
        <v>10262</v>
      </c>
      <c r="NRM1" t="s">
        <v>10263</v>
      </c>
      <c r="NRN1" t="s">
        <v>10264</v>
      </c>
      <c r="NRO1" t="s">
        <v>10265</v>
      </c>
      <c r="NRP1" t="s">
        <v>10266</v>
      </c>
      <c r="NRQ1" t="s">
        <v>10267</v>
      </c>
      <c r="NRR1" t="s">
        <v>10268</v>
      </c>
      <c r="NRS1" t="s">
        <v>10269</v>
      </c>
      <c r="NRT1" t="s">
        <v>10270</v>
      </c>
      <c r="NRU1" t="s">
        <v>10271</v>
      </c>
      <c r="NRV1" t="s">
        <v>10272</v>
      </c>
      <c r="NRW1" t="s">
        <v>10273</v>
      </c>
      <c r="NRX1" t="s">
        <v>10274</v>
      </c>
      <c r="NRY1" t="s">
        <v>10275</v>
      </c>
      <c r="NRZ1" t="s">
        <v>10276</v>
      </c>
      <c r="NSA1" t="s">
        <v>10277</v>
      </c>
      <c r="NSB1" t="s">
        <v>10278</v>
      </c>
      <c r="NSC1" t="s">
        <v>10279</v>
      </c>
      <c r="NSD1" t="s">
        <v>10280</v>
      </c>
      <c r="NSE1" t="s">
        <v>10281</v>
      </c>
      <c r="NSF1" t="s">
        <v>10282</v>
      </c>
      <c r="NSG1" t="s">
        <v>10283</v>
      </c>
      <c r="NSH1" t="s">
        <v>10284</v>
      </c>
      <c r="NSI1" t="s">
        <v>10285</v>
      </c>
      <c r="NSJ1" t="s">
        <v>10286</v>
      </c>
      <c r="NSK1" t="s">
        <v>10287</v>
      </c>
      <c r="NSL1" t="s">
        <v>10288</v>
      </c>
      <c r="NSM1" t="s">
        <v>10289</v>
      </c>
      <c r="NSN1" t="s">
        <v>10290</v>
      </c>
      <c r="NSO1" t="s">
        <v>10291</v>
      </c>
      <c r="NSP1" t="s">
        <v>10292</v>
      </c>
      <c r="NSQ1" t="s">
        <v>10293</v>
      </c>
      <c r="NSR1" t="s">
        <v>10294</v>
      </c>
      <c r="NSS1" t="s">
        <v>10295</v>
      </c>
      <c r="NST1" t="s">
        <v>10296</v>
      </c>
      <c r="NSU1" t="s">
        <v>10297</v>
      </c>
      <c r="NSV1" t="s">
        <v>10298</v>
      </c>
      <c r="NSW1" t="s">
        <v>10299</v>
      </c>
      <c r="NSX1" t="s">
        <v>10300</v>
      </c>
      <c r="NSY1" t="s">
        <v>10301</v>
      </c>
      <c r="NSZ1" t="s">
        <v>10302</v>
      </c>
      <c r="NTA1" t="s">
        <v>10303</v>
      </c>
      <c r="NTB1" t="s">
        <v>10304</v>
      </c>
      <c r="NTC1" t="s">
        <v>10305</v>
      </c>
      <c r="NTD1" t="s">
        <v>10306</v>
      </c>
      <c r="NTE1" t="s">
        <v>10307</v>
      </c>
      <c r="NTF1" t="s">
        <v>10308</v>
      </c>
      <c r="NTG1" t="s">
        <v>10309</v>
      </c>
      <c r="NTH1" t="s">
        <v>10310</v>
      </c>
      <c r="NTI1" t="s">
        <v>10311</v>
      </c>
      <c r="NTJ1" t="s">
        <v>10312</v>
      </c>
      <c r="NTK1" t="s">
        <v>10313</v>
      </c>
      <c r="NTL1" t="s">
        <v>10314</v>
      </c>
      <c r="NTM1" t="s">
        <v>10315</v>
      </c>
      <c r="NTN1" t="s">
        <v>10316</v>
      </c>
      <c r="NTO1" t="s">
        <v>10317</v>
      </c>
      <c r="NTP1" t="s">
        <v>10318</v>
      </c>
      <c r="NTQ1" t="s">
        <v>10319</v>
      </c>
      <c r="NTR1" t="s">
        <v>10320</v>
      </c>
      <c r="NTS1" t="s">
        <v>10321</v>
      </c>
      <c r="NTT1" t="s">
        <v>10322</v>
      </c>
      <c r="NTU1" t="s">
        <v>10323</v>
      </c>
      <c r="NTV1" t="s">
        <v>10324</v>
      </c>
      <c r="NTW1" t="s">
        <v>10325</v>
      </c>
      <c r="NTX1" t="s">
        <v>10326</v>
      </c>
      <c r="NTY1" t="s">
        <v>10327</v>
      </c>
      <c r="NTZ1" t="s">
        <v>10328</v>
      </c>
      <c r="NUA1" t="s">
        <v>10329</v>
      </c>
      <c r="NUB1" t="s">
        <v>10330</v>
      </c>
      <c r="NUC1" t="s">
        <v>10331</v>
      </c>
      <c r="NUD1" t="s">
        <v>10332</v>
      </c>
      <c r="NUE1" t="s">
        <v>10333</v>
      </c>
      <c r="NUF1" t="s">
        <v>10334</v>
      </c>
      <c r="NUG1" t="s">
        <v>10335</v>
      </c>
      <c r="NUH1" t="s">
        <v>10336</v>
      </c>
      <c r="NUI1" t="s">
        <v>10337</v>
      </c>
      <c r="NUJ1" t="s">
        <v>10338</v>
      </c>
      <c r="NUK1" t="s">
        <v>10339</v>
      </c>
      <c r="NUL1" t="s">
        <v>10340</v>
      </c>
      <c r="NUM1" t="s">
        <v>10341</v>
      </c>
      <c r="NUN1" t="s">
        <v>10342</v>
      </c>
      <c r="NUO1" t="s">
        <v>10343</v>
      </c>
      <c r="NUP1" t="s">
        <v>10344</v>
      </c>
      <c r="NUQ1" t="s">
        <v>10345</v>
      </c>
      <c r="NUR1" t="s">
        <v>10346</v>
      </c>
      <c r="NUS1" t="s">
        <v>10347</v>
      </c>
      <c r="NUT1" t="s">
        <v>10348</v>
      </c>
      <c r="NUU1" t="s">
        <v>10349</v>
      </c>
      <c r="NUV1" t="s">
        <v>10350</v>
      </c>
      <c r="NUW1" t="s">
        <v>10351</v>
      </c>
      <c r="NUX1" t="s">
        <v>10352</v>
      </c>
      <c r="NUY1" t="s">
        <v>10353</v>
      </c>
      <c r="NUZ1" t="s">
        <v>10354</v>
      </c>
      <c r="NVA1" t="s">
        <v>10355</v>
      </c>
      <c r="NVB1" t="s">
        <v>10356</v>
      </c>
      <c r="NVC1" t="s">
        <v>10357</v>
      </c>
      <c r="NVD1" t="s">
        <v>10358</v>
      </c>
      <c r="NVE1" t="s">
        <v>10359</v>
      </c>
      <c r="NVF1" t="s">
        <v>10360</v>
      </c>
      <c r="NVG1" t="s">
        <v>10361</v>
      </c>
      <c r="NVH1" t="s">
        <v>10362</v>
      </c>
      <c r="NVI1" t="s">
        <v>10363</v>
      </c>
      <c r="NVJ1" t="s">
        <v>10364</v>
      </c>
      <c r="NVK1" t="s">
        <v>10365</v>
      </c>
      <c r="NVL1" t="s">
        <v>10366</v>
      </c>
      <c r="NVM1" t="s">
        <v>10367</v>
      </c>
      <c r="NVN1" t="s">
        <v>10368</v>
      </c>
      <c r="NVO1" t="s">
        <v>10369</v>
      </c>
      <c r="NVP1" t="s">
        <v>10370</v>
      </c>
      <c r="NVQ1" t="s">
        <v>10371</v>
      </c>
      <c r="NVR1" t="s">
        <v>10372</v>
      </c>
      <c r="NVS1" t="s">
        <v>10373</v>
      </c>
      <c r="NVT1" t="s">
        <v>10374</v>
      </c>
      <c r="NVU1" t="s">
        <v>10375</v>
      </c>
      <c r="NVV1" t="s">
        <v>10376</v>
      </c>
      <c r="NVW1" t="s">
        <v>10377</v>
      </c>
      <c r="NVX1" t="s">
        <v>10378</v>
      </c>
      <c r="NVY1" t="s">
        <v>10379</v>
      </c>
      <c r="NVZ1" t="s">
        <v>10380</v>
      </c>
      <c r="NWA1" t="s">
        <v>10381</v>
      </c>
      <c r="NWB1" t="s">
        <v>10382</v>
      </c>
      <c r="NWC1" t="s">
        <v>10383</v>
      </c>
      <c r="NWD1" t="s">
        <v>10384</v>
      </c>
      <c r="NWE1" t="s">
        <v>10385</v>
      </c>
      <c r="NWF1" t="s">
        <v>10386</v>
      </c>
      <c r="NWG1" t="s">
        <v>10387</v>
      </c>
      <c r="NWH1" t="s">
        <v>10388</v>
      </c>
      <c r="NWI1" t="s">
        <v>10389</v>
      </c>
      <c r="NWJ1" t="s">
        <v>10390</v>
      </c>
      <c r="NWK1" t="s">
        <v>10391</v>
      </c>
      <c r="NWL1" t="s">
        <v>10392</v>
      </c>
      <c r="NWM1" t="s">
        <v>10393</v>
      </c>
      <c r="NWN1" t="s">
        <v>10394</v>
      </c>
      <c r="NWO1" t="s">
        <v>10395</v>
      </c>
      <c r="NWP1" t="s">
        <v>10396</v>
      </c>
      <c r="NWQ1" t="s">
        <v>10397</v>
      </c>
      <c r="NWR1" t="s">
        <v>10398</v>
      </c>
      <c r="NWS1" t="s">
        <v>10399</v>
      </c>
      <c r="NWT1" t="s">
        <v>10400</v>
      </c>
      <c r="NWU1" t="s">
        <v>10401</v>
      </c>
      <c r="NWV1" t="s">
        <v>10402</v>
      </c>
      <c r="NWW1" t="s">
        <v>10403</v>
      </c>
      <c r="NWX1" t="s">
        <v>10404</v>
      </c>
      <c r="NWY1" t="s">
        <v>10405</v>
      </c>
      <c r="NWZ1" t="s">
        <v>10406</v>
      </c>
      <c r="NXA1" t="s">
        <v>10407</v>
      </c>
      <c r="NXB1" t="s">
        <v>10408</v>
      </c>
      <c r="NXC1" t="s">
        <v>10409</v>
      </c>
      <c r="NXD1" t="s">
        <v>10410</v>
      </c>
      <c r="NXE1" t="s">
        <v>10411</v>
      </c>
      <c r="NXF1" t="s">
        <v>10412</v>
      </c>
      <c r="NXG1" t="s">
        <v>10413</v>
      </c>
      <c r="NXH1" t="s">
        <v>10414</v>
      </c>
      <c r="NXI1" t="s">
        <v>10415</v>
      </c>
      <c r="NXJ1" t="s">
        <v>10416</v>
      </c>
      <c r="NXK1" t="s">
        <v>10417</v>
      </c>
      <c r="NXL1" t="s">
        <v>10418</v>
      </c>
      <c r="NXM1" t="s">
        <v>10419</v>
      </c>
      <c r="NXN1" t="s">
        <v>10420</v>
      </c>
      <c r="NXO1" t="s">
        <v>10421</v>
      </c>
      <c r="NXP1" t="s">
        <v>10422</v>
      </c>
      <c r="NXQ1" t="s">
        <v>10423</v>
      </c>
      <c r="NXR1" t="s">
        <v>10424</v>
      </c>
      <c r="NXS1" t="s">
        <v>10425</v>
      </c>
      <c r="NXT1" t="s">
        <v>10426</v>
      </c>
      <c r="NXU1" t="s">
        <v>10427</v>
      </c>
      <c r="NXV1" t="s">
        <v>10428</v>
      </c>
      <c r="NXW1" t="s">
        <v>10429</v>
      </c>
      <c r="NXX1" t="s">
        <v>10430</v>
      </c>
      <c r="NXY1" t="s">
        <v>10431</v>
      </c>
      <c r="NXZ1" t="s">
        <v>10432</v>
      </c>
      <c r="NYA1" t="s">
        <v>10433</v>
      </c>
      <c r="NYB1" t="s">
        <v>10434</v>
      </c>
      <c r="NYC1" t="s">
        <v>10435</v>
      </c>
      <c r="NYD1" t="s">
        <v>10436</v>
      </c>
      <c r="NYE1" t="s">
        <v>10437</v>
      </c>
      <c r="NYF1" t="s">
        <v>10438</v>
      </c>
      <c r="NYG1" t="s">
        <v>10439</v>
      </c>
      <c r="NYH1" t="s">
        <v>10440</v>
      </c>
      <c r="NYI1" t="s">
        <v>10441</v>
      </c>
      <c r="NYJ1" t="s">
        <v>10442</v>
      </c>
      <c r="NYK1" t="s">
        <v>10443</v>
      </c>
      <c r="NYL1" t="s">
        <v>10444</v>
      </c>
      <c r="NYM1" t="s">
        <v>10445</v>
      </c>
      <c r="NYN1" t="s">
        <v>10446</v>
      </c>
      <c r="NYO1" t="s">
        <v>10447</v>
      </c>
      <c r="NYP1" t="s">
        <v>10448</v>
      </c>
      <c r="NYQ1" t="s">
        <v>10449</v>
      </c>
      <c r="NYR1" t="s">
        <v>10450</v>
      </c>
      <c r="NYS1" t="s">
        <v>10451</v>
      </c>
      <c r="NYT1" t="s">
        <v>10452</v>
      </c>
      <c r="NYU1" t="s">
        <v>10453</v>
      </c>
      <c r="NYV1" t="s">
        <v>10454</v>
      </c>
      <c r="NYW1" t="s">
        <v>10455</v>
      </c>
      <c r="NYX1" t="s">
        <v>10456</v>
      </c>
      <c r="NYY1" t="s">
        <v>10457</v>
      </c>
      <c r="NYZ1" t="s">
        <v>10458</v>
      </c>
      <c r="NZA1" t="s">
        <v>10459</v>
      </c>
      <c r="NZB1" t="s">
        <v>10460</v>
      </c>
      <c r="NZC1" t="s">
        <v>10461</v>
      </c>
      <c r="NZD1" t="s">
        <v>10462</v>
      </c>
      <c r="NZE1" t="s">
        <v>10463</v>
      </c>
      <c r="NZF1" t="s">
        <v>10464</v>
      </c>
      <c r="NZG1" t="s">
        <v>10465</v>
      </c>
      <c r="NZH1" t="s">
        <v>10466</v>
      </c>
      <c r="NZI1" t="s">
        <v>10467</v>
      </c>
      <c r="NZJ1" t="s">
        <v>10468</v>
      </c>
      <c r="NZK1" t="s">
        <v>10469</v>
      </c>
      <c r="NZL1" t="s">
        <v>10470</v>
      </c>
      <c r="NZM1" t="s">
        <v>10471</v>
      </c>
      <c r="NZN1" t="s">
        <v>10472</v>
      </c>
      <c r="NZO1" t="s">
        <v>10473</v>
      </c>
      <c r="NZP1" t="s">
        <v>10474</v>
      </c>
      <c r="NZQ1" t="s">
        <v>10475</v>
      </c>
      <c r="NZR1" t="s">
        <v>10476</v>
      </c>
      <c r="NZS1" t="s">
        <v>10477</v>
      </c>
      <c r="NZT1" t="s">
        <v>10478</v>
      </c>
      <c r="NZU1" t="s">
        <v>10479</v>
      </c>
      <c r="NZV1" t="s">
        <v>10480</v>
      </c>
      <c r="NZW1" t="s">
        <v>10481</v>
      </c>
      <c r="NZX1" t="s">
        <v>10482</v>
      </c>
      <c r="NZY1" t="s">
        <v>10483</v>
      </c>
      <c r="NZZ1" t="s">
        <v>10484</v>
      </c>
      <c r="OAA1" t="s">
        <v>10485</v>
      </c>
      <c r="OAB1" t="s">
        <v>10486</v>
      </c>
      <c r="OAC1" t="s">
        <v>10487</v>
      </c>
      <c r="OAD1" t="s">
        <v>10488</v>
      </c>
      <c r="OAE1" t="s">
        <v>10489</v>
      </c>
      <c r="OAF1" t="s">
        <v>10490</v>
      </c>
      <c r="OAG1" t="s">
        <v>10491</v>
      </c>
      <c r="OAH1" t="s">
        <v>10492</v>
      </c>
      <c r="OAI1" t="s">
        <v>10493</v>
      </c>
      <c r="OAJ1" t="s">
        <v>10494</v>
      </c>
      <c r="OAK1" t="s">
        <v>10495</v>
      </c>
      <c r="OAL1" t="s">
        <v>10496</v>
      </c>
      <c r="OAM1" t="s">
        <v>10497</v>
      </c>
      <c r="OAN1" t="s">
        <v>10498</v>
      </c>
      <c r="OAO1" t="s">
        <v>10499</v>
      </c>
      <c r="OAP1" t="s">
        <v>10500</v>
      </c>
      <c r="OAQ1" t="s">
        <v>10501</v>
      </c>
      <c r="OAR1" t="s">
        <v>10502</v>
      </c>
      <c r="OAS1" t="s">
        <v>10503</v>
      </c>
      <c r="OAT1" t="s">
        <v>10504</v>
      </c>
      <c r="OAU1" t="s">
        <v>10505</v>
      </c>
      <c r="OAV1" t="s">
        <v>10506</v>
      </c>
      <c r="OAW1" t="s">
        <v>10507</v>
      </c>
      <c r="OAX1" t="s">
        <v>10508</v>
      </c>
      <c r="OAY1" t="s">
        <v>10509</v>
      </c>
      <c r="OAZ1" t="s">
        <v>10510</v>
      </c>
      <c r="OBA1" t="s">
        <v>10511</v>
      </c>
      <c r="OBB1" t="s">
        <v>10512</v>
      </c>
      <c r="OBC1" t="s">
        <v>10513</v>
      </c>
      <c r="OBD1" t="s">
        <v>10514</v>
      </c>
      <c r="OBE1" t="s">
        <v>10515</v>
      </c>
      <c r="OBF1" t="s">
        <v>10516</v>
      </c>
      <c r="OBG1" t="s">
        <v>10517</v>
      </c>
      <c r="OBH1" t="s">
        <v>10518</v>
      </c>
      <c r="OBI1" t="s">
        <v>10519</v>
      </c>
      <c r="OBJ1" t="s">
        <v>10520</v>
      </c>
      <c r="OBK1" t="s">
        <v>10521</v>
      </c>
      <c r="OBL1" t="s">
        <v>10522</v>
      </c>
      <c r="OBM1" t="s">
        <v>10523</v>
      </c>
      <c r="OBN1" t="s">
        <v>10524</v>
      </c>
      <c r="OBO1" t="s">
        <v>10525</v>
      </c>
      <c r="OBP1" t="s">
        <v>10526</v>
      </c>
      <c r="OBQ1" t="s">
        <v>10527</v>
      </c>
      <c r="OBR1" t="s">
        <v>10528</v>
      </c>
      <c r="OBS1" t="s">
        <v>10529</v>
      </c>
      <c r="OBT1" t="s">
        <v>10530</v>
      </c>
      <c r="OBU1" t="s">
        <v>10531</v>
      </c>
      <c r="OBV1" t="s">
        <v>10532</v>
      </c>
      <c r="OBW1" t="s">
        <v>10533</v>
      </c>
      <c r="OBX1" t="s">
        <v>10534</v>
      </c>
      <c r="OBY1" t="s">
        <v>10535</v>
      </c>
      <c r="OBZ1" t="s">
        <v>10536</v>
      </c>
      <c r="OCA1" t="s">
        <v>10537</v>
      </c>
      <c r="OCB1" t="s">
        <v>10538</v>
      </c>
      <c r="OCC1" t="s">
        <v>10539</v>
      </c>
      <c r="OCD1" t="s">
        <v>10540</v>
      </c>
      <c r="OCE1" t="s">
        <v>10541</v>
      </c>
      <c r="OCF1" t="s">
        <v>10542</v>
      </c>
      <c r="OCG1" t="s">
        <v>10543</v>
      </c>
      <c r="OCH1" t="s">
        <v>10544</v>
      </c>
      <c r="OCI1" t="s">
        <v>10545</v>
      </c>
      <c r="OCJ1" t="s">
        <v>10546</v>
      </c>
      <c r="OCK1" t="s">
        <v>10547</v>
      </c>
      <c r="OCL1" t="s">
        <v>10548</v>
      </c>
      <c r="OCM1" t="s">
        <v>10549</v>
      </c>
      <c r="OCN1" t="s">
        <v>10550</v>
      </c>
      <c r="OCO1" t="s">
        <v>10551</v>
      </c>
      <c r="OCP1" t="s">
        <v>10552</v>
      </c>
      <c r="OCQ1" t="s">
        <v>10553</v>
      </c>
      <c r="OCR1" t="s">
        <v>10554</v>
      </c>
      <c r="OCS1" t="s">
        <v>10555</v>
      </c>
      <c r="OCT1" t="s">
        <v>10556</v>
      </c>
      <c r="OCU1" t="s">
        <v>10557</v>
      </c>
      <c r="OCV1" t="s">
        <v>10558</v>
      </c>
      <c r="OCW1" t="s">
        <v>10559</v>
      </c>
      <c r="OCX1" t="s">
        <v>10560</v>
      </c>
      <c r="OCY1" t="s">
        <v>10561</v>
      </c>
      <c r="OCZ1" t="s">
        <v>10562</v>
      </c>
      <c r="ODA1" t="s">
        <v>10563</v>
      </c>
      <c r="ODB1" t="s">
        <v>10564</v>
      </c>
      <c r="ODC1" t="s">
        <v>10565</v>
      </c>
      <c r="ODD1" t="s">
        <v>10566</v>
      </c>
      <c r="ODE1" t="s">
        <v>10567</v>
      </c>
      <c r="ODF1" t="s">
        <v>10568</v>
      </c>
      <c r="ODG1" t="s">
        <v>10569</v>
      </c>
      <c r="ODH1" t="s">
        <v>10570</v>
      </c>
      <c r="ODI1" t="s">
        <v>10571</v>
      </c>
      <c r="ODJ1" t="s">
        <v>10572</v>
      </c>
      <c r="ODK1" t="s">
        <v>10573</v>
      </c>
      <c r="ODL1" t="s">
        <v>10574</v>
      </c>
      <c r="ODM1" t="s">
        <v>10575</v>
      </c>
      <c r="ODN1" t="s">
        <v>10576</v>
      </c>
      <c r="ODO1" t="s">
        <v>10577</v>
      </c>
      <c r="ODP1" t="s">
        <v>10578</v>
      </c>
      <c r="ODQ1" t="s">
        <v>10579</v>
      </c>
      <c r="ODR1" t="s">
        <v>10580</v>
      </c>
      <c r="ODS1" t="s">
        <v>10581</v>
      </c>
      <c r="ODT1" t="s">
        <v>10582</v>
      </c>
      <c r="ODU1" t="s">
        <v>10583</v>
      </c>
      <c r="ODV1" t="s">
        <v>10584</v>
      </c>
      <c r="ODW1" t="s">
        <v>10585</v>
      </c>
      <c r="ODX1" t="s">
        <v>10586</v>
      </c>
      <c r="ODY1" t="s">
        <v>10587</v>
      </c>
      <c r="ODZ1" t="s">
        <v>10588</v>
      </c>
      <c r="OEA1" t="s">
        <v>10589</v>
      </c>
      <c r="OEB1" t="s">
        <v>10590</v>
      </c>
      <c r="OEC1" t="s">
        <v>10591</v>
      </c>
      <c r="OED1" t="s">
        <v>10592</v>
      </c>
      <c r="OEE1" t="s">
        <v>10593</v>
      </c>
      <c r="OEF1" t="s">
        <v>10594</v>
      </c>
      <c r="OEG1" t="s">
        <v>10595</v>
      </c>
      <c r="OEH1" t="s">
        <v>10596</v>
      </c>
      <c r="OEI1" t="s">
        <v>10597</v>
      </c>
      <c r="OEJ1" t="s">
        <v>10598</v>
      </c>
      <c r="OEK1" t="s">
        <v>10599</v>
      </c>
      <c r="OEL1" t="s">
        <v>10600</v>
      </c>
      <c r="OEM1" t="s">
        <v>10601</v>
      </c>
      <c r="OEN1" t="s">
        <v>10602</v>
      </c>
      <c r="OEO1" t="s">
        <v>10603</v>
      </c>
      <c r="OEP1" t="s">
        <v>10604</v>
      </c>
      <c r="OEQ1" t="s">
        <v>10605</v>
      </c>
      <c r="OER1" t="s">
        <v>10606</v>
      </c>
      <c r="OES1" t="s">
        <v>10607</v>
      </c>
      <c r="OET1" t="s">
        <v>10608</v>
      </c>
      <c r="OEU1" t="s">
        <v>10609</v>
      </c>
      <c r="OEV1" t="s">
        <v>10610</v>
      </c>
      <c r="OEW1" t="s">
        <v>10611</v>
      </c>
      <c r="OEX1" t="s">
        <v>10612</v>
      </c>
      <c r="OEY1" t="s">
        <v>10613</v>
      </c>
      <c r="OEZ1" t="s">
        <v>10614</v>
      </c>
      <c r="OFA1" t="s">
        <v>10615</v>
      </c>
      <c r="OFB1" t="s">
        <v>10616</v>
      </c>
      <c r="OFC1" t="s">
        <v>10617</v>
      </c>
      <c r="OFD1" t="s">
        <v>10618</v>
      </c>
      <c r="OFE1" t="s">
        <v>10619</v>
      </c>
      <c r="OFF1" t="s">
        <v>10620</v>
      </c>
      <c r="OFG1" t="s">
        <v>10621</v>
      </c>
      <c r="OFH1" t="s">
        <v>10622</v>
      </c>
      <c r="OFI1" t="s">
        <v>10623</v>
      </c>
      <c r="OFJ1" t="s">
        <v>10624</v>
      </c>
      <c r="OFK1" t="s">
        <v>10625</v>
      </c>
      <c r="OFL1" t="s">
        <v>10626</v>
      </c>
      <c r="OFM1" t="s">
        <v>10627</v>
      </c>
      <c r="OFN1" t="s">
        <v>10628</v>
      </c>
      <c r="OFO1" t="s">
        <v>10629</v>
      </c>
      <c r="OFP1" t="s">
        <v>10630</v>
      </c>
      <c r="OFQ1" t="s">
        <v>10631</v>
      </c>
      <c r="OFR1" t="s">
        <v>10632</v>
      </c>
      <c r="OFS1" t="s">
        <v>10633</v>
      </c>
      <c r="OFT1" t="s">
        <v>10634</v>
      </c>
      <c r="OFU1" t="s">
        <v>10635</v>
      </c>
      <c r="OFV1" t="s">
        <v>10636</v>
      </c>
      <c r="OFW1" t="s">
        <v>10637</v>
      </c>
      <c r="OFX1" t="s">
        <v>10638</v>
      </c>
      <c r="OFY1" t="s">
        <v>10639</v>
      </c>
      <c r="OFZ1" t="s">
        <v>10640</v>
      </c>
      <c r="OGA1" t="s">
        <v>10641</v>
      </c>
      <c r="OGB1" t="s">
        <v>10642</v>
      </c>
      <c r="OGC1" t="s">
        <v>10643</v>
      </c>
      <c r="OGD1" t="s">
        <v>10644</v>
      </c>
      <c r="OGE1" t="s">
        <v>10645</v>
      </c>
      <c r="OGF1" t="s">
        <v>10646</v>
      </c>
      <c r="OGG1" t="s">
        <v>10647</v>
      </c>
      <c r="OGH1" t="s">
        <v>10648</v>
      </c>
      <c r="OGI1" t="s">
        <v>10649</v>
      </c>
      <c r="OGJ1" t="s">
        <v>10650</v>
      </c>
      <c r="OGK1" t="s">
        <v>10651</v>
      </c>
      <c r="OGL1" t="s">
        <v>10652</v>
      </c>
      <c r="OGM1" t="s">
        <v>10653</v>
      </c>
      <c r="OGN1" t="s">
        <v>10654</v>
      </c>
      <c r="OGO1" t="s">
        <v>10655</v>
      </c>
      <c r="OGP1" t="s">
        <v>10656</v>
      </c>
      <c r="OGQ1" t="s">
        <v>10657</v>
      </c>
      <c r="OGR1" t="s">
        <v>10658</v>
      </c>
      <c r="OGS1" t="s">
        <v>10659</v>
      </c>
      <c r="OGT1" t="s">
        <v>10660</v>
      </c>
      <c r="OGU1" t="s">
        <v>10661</v>
      </c>
      <c r="OGV1" t="s">
        <v>10662</v>
      </c>
      <c r="OGW1" t="s">
        <v>10663</v>
      </c>
      <c r="OGX1" t="s">
        <v>10664</v>
      </c>
      <c r="OGY1" t="s">
        <v>10665</v>
      </c>
      <c r="OGZ1" t="s">
        <v>10666</v>
      </c>
      <c r="OHA1" t="s">
        <v>10667</v>
      </c>
      <c r="OHB1" t="s">
        <v>10668</v>
      </c>
      <c r="OHC1" t="s">
        <v>10669</v>
      </c>
      <c r="OHD1" t="s">
        <v>10670</v>
      </c>
      <c r="OHE1" t="s">
        <v>10671</v>
      </c>
      <c r="OHF1" t="s">
        <v>10672</v>
      </c>
      <c r="OHG1" t="s">
        <v>10673</v>
      </c>
      <c r="OHH1" t="s">
        <v>10674</v>
      </c>
      <c r="OHI1" t="s">
        <v>10675</v>
      </c>
      <c r="OHJ1" t="s">
        <v>10676</v>
      </c>
      <c r="OHK1" t="s">
        <v>10677</v>
      </c>
      <c r="OHL1" t="s">
        <v>10678</v>
      </c>
      <c r="OHM1" t="s">
        <v>10679</v>
      </c>
      <c r="OHN1" t="s">
        <v>10680</v>
      </c>
      <c r="OHO1" t="s">
        <v>10681</v>
      </c>
      <c r="OHP1" t="s">
        <v>10682</v>
      </c>
      <c r="OHQ1" t="s">
        <v>10683</v>
      </c>
      <c r="OHR1" t="s">
        <v>10684</v>
      </c>
      <c r="OHS1" t="s">
        <v>10685</v>
      </c>
      <c r="OHT1" t="s">
        <v>10686</v>
      </c>
      <c r="OHU1" t="s">
        <v>10687</v>
      </c>
      <c r="OHV1" t="s">
        <v>10688</v>
      </c>
      <c r="OHW1" t="s">
        <v>10689</v>
      </c>
      <c r="OHX1" t="s">
        <v>10690</v>
      </c>
      <c r="OHY1" t="s">
        <v>10691</v>
      </c>
      <c r="OHZ1" t="s">
        <v>10692</v>
      </c>
      <c r="OIA1" t="s">
        <v>10693</v>
      </c>
      <c r="OIB1" t="s">
        <v>10694</v>
      </c>
      <c r="OIC1" t="s">
        <v>10695</v>
      </c>
      <c r="OID1" t="s">
        <v>10696</v>
      </c>
      <c r="OIE1" t="s">
        <v>10697</v>
      </c>
      <c r="OIF1" t="s">
        <v>10698</v>
      </c>
      <c r="OIG1" t="s">
        <v>10699</v>
      </c>
      <c r="OIH1" t="s">
        <v>10700</v>
      </c>
      <c r="OII1" t="s">
        <v>10701</v>
      </c>
      <c r="OIJ1" t="s">
        <v>10702</v>
      </c>
      <c r="OIK1" t="s">
        <v>10703</v>
      </c>
      <c r="OIL1" t="s">
        <v>10704</v>
      </c>
      <c r="OIM1" t="s">
        <v>10705</v>
      </c>
      <c r="OIN1" t="s">
        <v>10706</v>
      </c>
      <c r="OIO1" t="s">
        <v>10707</v>
      </c>
      <c r="OIP1" t="s">
        <v>10708</v>
      </c>
      <c r="OIQ1" t="s">
        <v>10709</v>
      </c>
      <c r="OIR1" t="s">
        <v>10710</v>
      </c>
      <c r="OIS1" t="s">
        <v>10711</v>
      </c>
      <c r="OIT1" t="s">
        <v>10712</v>
      </c>
      <c r="OIU1" t="s">
        <v>10713</v>
      </c>
      <c r="OIV1" t="s">
        <v>10714</v>
      </c>
      <c r="OIW1" t="s">
        <v>10715</v>
      </c>
      <c r="OIX1" t="s">
        <v>10716</v>
      </c>
      <c r="OIY1" t="s">
        <v>10717</v>
      </c>
      <c r="OIZ1" t="s">
        <v>10718</v>
      </c>
      <c r="OJA1" t="s">
        <v>10719</v>
      </c>
      <c r="OJB1" t="s">
        <v>10720</v>
      </c>
      <c r="OJC1" t="s">
        <v>10721</v>
      </c>
      <c r="OJD1" t="s">
        <v>10722</v>
      </c>
      <c r="OJE1" t="s">
        <v>10723</v>
      </c>
      <c r="OJF1" t="s">
        <v>10724</v>
      </c>
      <c r="OJG1" t="s">
        <v>10725</v>
      </c>
      <c r="OJH1" t="s">
        <v>10726</v>
      </c>
      <c r="OJI1" t="s">
        <v>10727</v>
      </c>
      <c r="OJJ1" t="s">
        <v>10728</v>
      </c>
      <c r="OJK1" t="s">
        <v>10729</v>
      </c>
      <c r="OJL1" t="s">
        <v>10730</v>
      </c>
      <c r="OJM1" t="s">
        <v>10731</v>
      </c>
      <c r="OJN1" t="s">
        <v>10732</v>
      </c>
      <c r="OJO1" t="s">
        <v>10733</v>
      </c>
      <c r="OJP1" t="s">
        <v>10734</v>
      </c>
      <c r="OJQ1" t="s">
        <v>10735</v>
      </c>
      <c r="OJR1" t="s">
        <v>10736</v>
      </c>
      <c r="OJS1" t="s">
        <v>10737</v>
      </c>
      <c r="OJT1" t="s">
        <v>10738</v>
      </c>
      <c r="OJU1" t="s">
        <v>10739</v>
      </c>
      <c r="OJV1" t="s">
        <v>10740</v>
      </c>
      <c r="OJW1" t="s">
        <v>10741</v>
      </c>
      <c r="OJX1" t="s">
        <v>10742</v>
      </c>
      <c r="OJY1" t="s">
        <v>10743</v>
      </c>
      <c r="OJZ1" t="s">
        <v>10744</v>
      </c>
      <c r="OKA1" t="s">
        <v>10745</v>
      </c>
      <c r="OKB1" t="s">
        <v>10746</v>
      </c>
      <c r="OKC1" t="s">
        <v>10747</v>
      </c>
      <c r="OKD1" t="s">
        <v>10748</v>
      </c>
      <c r="OKE1" t="s">
        <v>10749</v>
      </c>
      <c r="OKF1" t="s">
        <v>10750</v>
      </c>
      <c r="OKG1" t="s">
        <v>10751</v>
      </c>
      <c r="OKH1" t="s">
        <v>10752</v>
      </c>
      <c r="OKI1" t="s">
        <v>10753</v>
      </c>
      <c r="OKJ1" t="s">
        <v>10754</v>
      </c>
      <c r="OKK1" t="s">
        <v>10755</v>
      </c>
      <c r="OKL1" t="s">
        <v>10756</v>
      </c>
      <c r="OKM1" t="s">
        <v>10757</v>
      </c>
      <c r="OKN1" t="s">
        <v>10758</v>
      </c>
      <c r="OKO1" t="s">
        <v>10759</v>
      </c>
      <c r="OKP1" t="s">
        <v>10760</v>
      </c>
      <c r="OKQ1" t="s">
        <v>10761</v>
      </c>
      <c r="OKR1" t="s">
        <v>10762</v>
      </c>
      <c r="OKS1" t="s">
        <v>10763</v>
      </c>
      <c r="OKT1" t="s">
        <v>10764</v>
      </c>
      <c r="OKU1" t="s">
        <v>10765</v>
      </c>
      <c r="OKV1" t="s">
        <v>10766</v>
      </c>
      <c r="OKW1" t="s">
        <v>10767</v>
      </c>
      <c r="OKX1" t="s">
        <v>10768</v>
      </c>
      <c r="OKY1" t="s">
        <v>10769</v>
      </c>
      <c r="OKZ1" t="s">
        <v>10770</v>
      </c>
      <c r="OLA1" t="s">
        <v>10771</v>
      </c>
      <c r="OLB1" t="s">
        <v>10772</v>
      </c>
      <c r="OLC1" t="s">
        <v>10773</v>
      </c>
      <c r="OLD1" t="s">
        <v>10774</v>
      </c>
      <c r="OLE1" t="s">
        <v>10775</v>
      </c>
      <c r="OLF1" t="s">
        <v>10776</v>
      </c>
      <c r="OLG1" t="s">
        <v>10777</v>
      </c>
      <c r="OLH1" t="s">
        <v>10778</v>
      </c>
      <c r="OLI1" t="s">
        <v>10779</v>
      </c>
      <c r="OLJ1" t="s">
        <v>10780</v>
      </c>
      <c r="OLK1" t="s">
        <v>10781</v>
      </c>
      <c r="OLL1" t="s">
        <v>10782</v>
      </c>
      <c r="OLM1" t="s">
        <v>10783</v>
      </c>
      <c r="OLN1" t="s">
        <v>10784</v>
      </c>
      <c r="OLO1" t="s">
        <v>10785</v>
      </c>
      <c r="OLP1" t="s">
        <v>10786</v>
      </c>
      <c r="OLQ1" t="s">
        <v>10787</v>
      </c>
      <c r="OLR1" t="s">
        <v>10788</v>
      </c>
      <c r="OLS1" t="s">
        <v>10789</v>
      </c>
      <c r="OLT1" t="s">
        <v>10790</v>
      </c>
      <c r="OLU1" t="s">
        <v>10791</v>
      </c>
      <c r="OLV1" t="s">
        <v>10792</v>
      </c>
      <c r="OLW1" t="s">
        <v>10793</v>
      </c>
      <c r="OLX1" t="s">
        <v>10794</v>
      </c>
      <c r="OLY1" t="s">
        <v>10795</v>
      </c>
      <c r="OLZ1" t="s">
        <v>10796</v>
      </c>
      <c r="OMA1" t="s">
        <v>10797</v>
      </c>
      <c r="OMB1" t="s">
        <v>10798</v>
      </c>
      <c r="OMC1" t="s">
        <v>10799</v>
      </c>
      <c r="OMD1" t="s">
        <v>10800</v>
      </c>
      <c r="OME1" t="s">
        <v>10801</v>
      </c>
      <c r="OMF1" t="s">
        <v>10802</v>
      </c>
      <c r="OMG1" t="s">
        <v>10803</v>
      </c>
      <c r="OMH1" t="s">
        <v>10804</v>
      </c>
      <c r="OMI1" t="s">
        <v>10805</v>
      </c>
      <c r="OMJ1" t="s">
        <v>10806</v>
      </c>
      <c r="OMK1" t="s">
        <v>10807</v>
      </c>
      <c r="OML1" t="s">
        <v>10808</v>
      </c>
      <c r="OMM1" t="s">
        <v>10809</v>
      </c>
      <c r="OMN1" t="s">
        <v>10810</v>
      </c>
      <c r="OMO1" t="s">
        <v>10811</v>
      </c>
      <c r="OMP1" t="s">
        <v>10812</v>
      </c>
      <c r="OMQ1" t="s">
        <v>10813</v>
      </c>
      <c r="OMR1" t="s">
        <v>10814</v>
      </c>
      <c r="OMS1" t="s">
        <v>10815</v>
      </c>
      <c r="OMT1" t="s">
        <v>10816</v>
      </c>
      <c r="OMU1" t="s">
        <v>10817</v>
      </c>
      <c r="OMV1" t="s">
        <v>10818</v>
      </c>
      <c r="OMW1" t="s">
        <v>10819</v>
      </c>
      <c r="OMX1" t="s">
        <v>10820</v>
      </c>
      <c r="OMY1" t="s">
        <v>10821</v>
      </c>
      <c r="OMZ1" t="s">
        <v>10822</v>
      </c>
      <c r="ONA1" t="s">
        <v>10823</v>
      </c>
      <c r="ONB1" t="s">
        <v>10824</v>
      </c>
      <c r="ONC1" t="s">
        <v>10825</v>
      </c>
      <c r="OND1" t="s">
        <v>10826</v>
      </c>
      <c r="ONE1" t="s">
        <v>10827</v>
      </c>
      <c r="ONF1" t="s">
        <v>10828</v>
      </c>
      <c r="ONG1" t="s">
        <v>10829</v>
      </c>
      <c r="ONH1" t="s">
        <v>10830</v>
      </c>
      <c r="ONI1" t="s">
        <v>10831</v>
      </c>
      <c r="ONJ1" t="s">
        <v>10832</v>
      </c>
      <c r="ONK1" t="s">
        <v>10833</v>
      </c>
      <c r="ONL1" t="s">
        <v>10834</v>
      </c>
      <c r="ONM1" t="s">
        <v>10835</v>
      </c>
      <c r="ONN1" t="s">
        <v>10836</v>
      </c>
      <c r="ONO1" t="s">
        <v>10837</v>
      </c>
      <c r="ONP1" t="s">
        <v>10838</v>
      </c>
      <c r="ONQ1" t="s">
        <v>10839</v>
      </c>
      <c r="ONR1" t="s">
        <v>10840</v>
      </c>
      <c r="ONS1" t="s">
        <v>10841</v>
      </c>
      <c r="ONT1" t="s">
        <v>10842</v>
      </c>
      <c r="ONU1" t="s">
        <v>10843</v>
      </c>
      <c r="ONV1" t="s">
        <v>10844</v>
      </c>
      <c r="ONW1" t="s">
        <v>10845</v>
      </c>
      <c r="ONX1" t="s">
        <v>10846</v>
      </c>
      <c r="ONY1" t="s">
        <v>10847</v>
      </c>
      <c r="ONZ1" t="s">
        <v>10848</v>
      </c>
      <c r="OOA1" t="s">
        <v>10849</v>
      </c>
      <c r="OOB1" t="s">
        <v>10850</v>
      </c>
      <c r="OOC1" t="s">
        <v>10851</v>
      </c>
      <c r="OOD1" t="s">
        <v>10852</v>
      </c>
      <c r="OOE1" t="s">
        <v>10853</v>
      </c>
      <c r="OOF1" t="s">
        <v>10854</v>
      </c>
      <c r="OOG1" t="s">
        <v>10855</v>
      </c>
      <c r="OOH1" t="s">
        <v>10856</v>
      </c>
      <c r="OOI1" t="s">
        <v>10857</v>
      </c>
      <c r="OOJ1" t="s">
        <v>10858</v>
      </c>
      <c r="OOK1" t="s">
        <v>10859</v>
      </c>
      <c r="OOL1" t="s">
        <v>10860</v>
      </c>
      <c r="OOM1" t="s">
        <v>10861</v>
      </c>
      <c r="OON1" t="s">
        <v>10862</v>
      </c>
      <c r="OOO1" t="s">
        <v>10863</v>
      </c>
      <c r="OOP1" t="s">
        <v>10864</v>
      </c>
      <c r="OOQ1" t="s">
        <v>10865</v>
      </c>
      <c r="OOR1" t="s">
        <v>10866</v>
      </c>
      <c r="OOS1" t="s">
        <v>10867</v>
      </c>
      <c r="OOT1" t="s">
        <v>10868</v>
      </c>
      <c r="OOU1" t="s">
        <v>10869</v>
      </c>
      <c r="OOV1" t="s">
        <v>10870</v>
      </c>
      <c r="OOW1" t="s">
        <v>10871</v>
      </c>
      <c r="OOX1" t="s">
        <v>10872</v>
      </c>
      <c r="OOY1" t="s">
        <v>10873</v>
      </c>
      <c r="OOZ1" t="s">
        <v>10874</v>
      </c>
      <c r="OPA1" t="s">
        <v>10875</v>
      </c>
      <c r="OPB1" t="s">
        <v>10876</v>
      </c>
      <c r="OPC1" t="s">
        <v>10877</v>
      </c>
      <c r="OPD1" t="s">
        <v>10878</v>
      </c>
      <c r="OPE1" t="s">
        <v>10879</v>
      </c>
      <c r="OPF1" t="s">
        <v>10880</v>
      </c>
      <c r="OPG1" t="s">
        <v>10881</v>
      </c>
      <c r="OPH1" t="s">
        <v>10882</v>
      </c>
      <c r="OPI1" t="s">
        <v>10883</v>
      </c>
      <c r="OPJ1" t="s">
        <v>10884</v>
      </c>
      <c r="OPK1" t="s">
        <v>10885</v>
      </c>
      <c r="OPL1" t="s">
        <v>10886</v>
      </c>
      <c r="OPM1" t="s">
        <v>10887</v>
      </c>
      <c r="OPN1" t="s">
        <v>10888</v>
      </c>
      <c r="OPO1" t="s">
        <v>10889</v>
      </c>
      <c r="OPP1" t="s">
        <v>10890</v>
      </c>
      <c r="OPQ1" t="s">
        <v>10891</v>
      </c>
      <c r="OPR1" t="s">
        <v>10892</v>
      </c>
      <c r="OPS1" t="s">
        <v>10893</v>
      </c>
      <c r="OPT1" t="s">
        <v>10894</v>
      </c>
      <c r="OPU1" t="s">
        <v>10895</v>
      </c>
      <c r="OPV1" t="s">
        <v>10896</v>
      </c>
      <c r="OPW1" t="s">
        <v>10897</v>
      </c>
      <c r="OPX1" t="s">
        <v>10898</v>
      </c>
      <c r="OPY1" t="s">
        <v>10899</v>
      </c>
      <c r="OPZ1" t="s">
        <v>10900</v>
      </c>
      <c r="OQA1" t="s">
        <v>10901</v>
      </c>
      <c r="OQB1" t="s">
        <v>10902</v>
      </c>
      <c r="OQC1" t="s">
        <v>10903</v>
      </c>
      <c r="OQD1" t="s">
        <v>10904</v>
      </c>
      <c r="OQE1" t="s">
        <v>10905</v>
      </c>
      <c r="OQF1" t="s">
        <v>10906</v>
      </c>
      <c r="OQG1" t="s">
        <v>10907</v>
      </c>
      <c r="OQH1" t="s">
        <v>10908</v>
      </c>
      <c r="OQI1" t="s">
        <v>10909</v>
      </c>
      <c r="OQJ1" t="s">
        <v>10910</v>
      </c>
      <c r="OQK1" t="s">
        <v>10911</v>
      </c>
      <c r="OQL1" t="s">
        <v>10912</v>
      </c>
      <c r="OQM1" t="s">
        <v>10913</v>
      </c>
      <c r="OQN1" t="s">
        <v>10914</v>
      </c>
      <c r="OQO1" t="s">
        <v>10915</v>
      </c>
      <c r="OQP1" t="s">
        <v>10916</v>
      </c>
      <c r="OQQ1" t="s">
        <v>10917</v>
      </c>
      <c r="OQR1" t="s">
        <v>10918</v>
      </c>
      <c r="OQS1" t="s">
        <v>10919</v>
      </c>
      <c r="OQT1" t="s">
        <v>10920</v>
      </c>
      <c r="OQU1" t="s">
        <v>10921</v>
      </c>
      <c r="OQV1" t="s">
        <v>10922</v>
      </c>
      <c r="OQW1" t="s">
        <v>10923</v>
      </c>
      <c r="OQX1" t="s">
        <v>10924</v>
      </c>
      <c r="OQY1" t="s">
        <v>10925</v>
      </c>
      <c r="OQZ1" t="s">
        <v>10926</v>
      </c>
      <c r="ORA1" t="s">
        <v>10927</v>
      </c>
      <c r="ORB1" t="s">
        <v>10928</v>
      </c>
      <c r="ORC1" t="s">
        <v>10929</v>
      </c>
      <c r="ORD1" t="s">
        <v>10930</v>
      </c>
      <c r="ORE1" t="s">
        <v>10931</v>
      </c>
      <c r="ORF1" t="s">
        <v>10932</v>
      </c>
      <c r="ORG1" t="s">
        <v>10933</v>
      </c>
      <c r="ORH1" t="s">
        <v>10934</v>
      </c>
      <c r="ORI1" t="s">
        <v>10935</v>
      </c>
      <c r="ORJ1" t="s">
        <v>10936</v>
      </c>
      <c r="ORK1" t="s">
        <v>10937</v>
      </c>
      <c r="ORL1" t="s">
        <v>10938</v>
      </c>
      <c r="ORM1" t="s">
        <v>10939</v>
      </c>
      <c r="ORN1" t="s">
        <v>10940</v>
      </c>
      <c r="ORO1" t="s">
        <v>10941</v>
      </c>
      <c r="ORP1" t="s">
        <v>10942</v>
      </c>
      <c r="ORQ1" t="s">
        <v>10943</v>
      </c>
      <c r="ORR1" t="s">
        <v>10944</v>
      </c>
      <c r="ORS1" t="s">
        <v>10945</v>
      </c>
      <c r="ORT1" t="s">
        <v>10946</v>
      </c>
      <c r="ORU1" t="s">
        <v>10947</v>
      </c>
      <c r="ORV1" t="s">
        <v>10948</v>
      </c>
      <c r="ORW1" t="s">
        <v>10949</v>
      </c>
      <c r="ORX1" t="s">
        <v>10950</v>
      </c>
      <c r="ORY1" t="s">
        <v>10951</v>
      </c>
      <c r="ORZ1" t="s">
        <v>10952</v>
      </c>
      <c r="OSA1" t="s">
        <v>10953</v>
      </c>
      <c r="OSB1" t="s">
        <v>10954</v>
      </c>
      <c r="OSC1" t="s">
        <v>10955</v>
      </c>
      <c r="OSD1" t="s">
        <v>10956</v>
      </c>
      <c r="OSE1" t="s">
        <v>10957</v>
      </c>
      <c r="OSF1" t="s">
        <v>10958</v>
      </c>
      <c r="OSG1" t="s">
        <v>10959</v>
      </c>
      <c r="OSH1" t="s">
        <v>10960</v>
      </c>
      <c r="OSI1" t="s">
        <v>10961</v>
      </c>
      <c r="OSJ1" t="s">
        <v>10962</v>
      </c>
      <c r="OSK1" t="s">
        <v>10963</v>
      </c>
      <c r="OSL1" t="s">
        <v>10964</v>
      </c>
      <c r="OSM1" t="s">
        <v>10965</v>
      </c>
      <c r="OSN1" t="s">
        <v>10966</v>
      </c>
      <c r="OSO1" t="s">
        <v>10967</v>
      </c>
      <c r="OSP1" t="s">
        <v>10968</v>
      </c>
      <c r="OSQ1" t="s">
        <v>10969</v>
      </c>
      <c r="OSR1" t="s">
        <v>10970</v>
      </c>
      <c r="OSS1" t="s">
        <v>10971</v>
      </c>
      <c r="OST1" t="s">
        <v>10972</v>
      </c>
      <c r="OSU1" t="s">
        <v>10973</v>
      </c>
      <c r="OSV1" t="s">
        <v>10974</v>
      </c>
      <c r="OSW1" t="s">
        <v>10975</v>
      </c>
      <c r="OSX1" t="s">
        <v>10976</v>
      </c>
      <c r="OSY1" t="s">
        <v>10977</v>
      </c>
      <c r="OSZ1" t="s">
        <v>10978</v>
      </c>
      <c r="OTA1" t="s">
        <v>10979</v>
      </c>
      <c r="OTB1" t="s">
        <v>10980</v>
      </c>
      <c r="OTC1" t="s">
        <v>10981</v>
      </c>
      <c r="OTD1" t="s">
        <v>10982</v>
      </c>
      <c r="OTE1" t="s">
        <v>10983</v>
      </c>
      <c r="OTF1" t="s">
        <v>10984</v>
      </c>
      <c r="OTG1" t="s">
        <v>10985</v>
      </c>
      <c r="OTH1" t="s">
        <v>10986</v>
      </c>
      <c r="OTI1" t="s">
        <v>10987</v>
      </c>
      <c r="OTJ1" t="s">
        <v>10988</v>
      </c>
      <c r="OTK1" t="s">
        <v>10989</v>
      </c>
      <c r="OTL1" t="s">
        <v>10990</v>
      </c>
      <c r="OTM1" t="s">
        <v>10991</v>
      </c>
      <c r="OTN1" t="s">
        <v>10992</v>
      </c>
      <c r="OTO1" t="s">
        <v>10993</v>
      </c>
      <c r="OTP1" t="s">
        <v>10994</v>
      </c>
      <c r="OTQ1" t="s">
        <v>10995</v>
      </c>
      <c r="OTR1" t="s">
        <v>10996</v>
      </c>
      <c r="OTS1" t="s">
        <v>10997</v>
      </c>
      <c r="OTT1" t="s">
        <v>10998</v>
      </c>
      <c r="OTU1" t="s">
        <v>10999</v>
      </c>
      <c r="OTV1" t="s">
        <v>11000</v>
      </c>
      <c r="OTW1" t="s">
        <v>11001</v>
      </c>
      <c r="OTX1" t="s">
        <v>11002</v>
      </c>
      <c r="OTY1" t="s">
        <v>11003</v>
      </c>
      <c r="OTZ1" t="s">
        <v>11004</v>
      </c>
      <c r="OUA1" t="s">
        <v>11005</v>
      </c>
      <c r="OUB1" t="s">
        <v>11006</v>
      </c>
      <c r="OUC1" t="s">
        <v>11007</v>
      </c>
      <c r="OUD1" t="s">
        <v>11008</v>
      </c>
      <c r="OUE1" t="s">
        <v>11009</v>
      </c>
      <c r="OUF1" t="s">
        <v>11010</v>
      </c>
      <c r="OUG1" t="s">
        <v>11011</v>
      </c>
      <c r="OUH1" t="s">
        <v>11012</v>
      </c>
      <c r="OUI1" t="s">
        <v>11013</v>
      </c>
      <c r="OUJ1" t="s">
        <v>11014</v>
      </c>
      <c r="OUK1" t="s">
        <v>11015</v>
      </c>
      <c r="OUL1" t="s">
        <v>11016</v>
      </c>
      <c r="OUM1" t="s">
        <v>11017</v>
      </c>
      <c r="OUN1" t="s">
        <v>11018</v>
      </c>
      <c r="OUO1" t="s">
        <v>11019</v>
      </c>
      <c r="OUP1" t="s">
        <v>11020</v>
      </c>
      <c r="OUQ1" t="s">
        <v>11021</v>
      </c>
      <c r="OUR1" t="s">
        <v>11022</v>
      </c>
      <c r="OUS1" t="s">
        <v>11023</v>
      </c>
      <c r="OUT1" t="s">
        <v>11024</v>
      </c>
      <c r="OUU1" t="s">
        <v>11025</v>
      </c>
      <c r="OUV1" t="s">
        <v>11026</v>
      </c>
      <c r="OUW1" t="s">
        <v>11027</v>
      </c>
      <c r="OUX1" t="s">
        <v>11028</v>
      </c>
      <c r="OUY1" t="s">
        <v>11029</v>
      </c>
      <c r="OUZ1" t="s">
        <v>11030</v>
      </c>
      <c r="OVA1" t="s">
        <v>11031</v>
      </c>
      <c r="OVB1" t="s">
        <v>11032</v>
      </c>
      <c r="OVC1" t="s">
        <v>11033</v>
      </c>
      <c r="OVD1" t="s">
        <v>11034</v>
      </c>
      <c r="OVE1" t="s">
        <v>11035</v>
      </c>
      <c r="OVF1" t="s">
        <v>11036</v>
      </c>
      <c r="OVG1" t="s">
        <v>11037</v>
      </c>
      <c r="OVH1" t="s">
        <v>11038</v>
      </c>
      <c r="OVI1" t="s">
        <v>11039</v>
      </c>
      <c r="OVJ1" t="s">
        <v>11040</v>
      </c>
      <c r="OVK1" t="s">
        <v>11041</v>
      </c>
      <c r="OVL1" t="s">
        <v>11042</v>
      </c>
      <c r="OVM1" t="s">
        <v>11043</v>
      </c>
      <c r="OVN1" t="s">
        <v>11044</v>
      </c>
      <c r="OVO1" t="s">
        <v>11045</v>
      </c>
      <c r="OVP1" t="s">
        <v>11046</v>
      </c>
      <c r="OVQ1" t="s">
        <v>11047</v>
      </c>
      <c r="OVR1" t="s">
        <v>11048</v>
      </c>
      <c r="OVS1" t="s">
        <v>11049</v>
      </c>
      <c r="OVT1" t="s">
        <v>11050</v>
      </c>
      <c r="OVU1" t="s">
        <v>11051</v>
      </c>
      <c r="OVV1" t="s">
        <v>11052</v>
      </c>
      <c r="OVW1" t="s">
        <v>11053</v>
      </c>
      <c r="OVX1" t="s">
        <v>11054</v>
      </c>
      <c r="OVY1" t="s">
        <v>11055</v>
      </c>
      <c r="OVZ1" t="s">
        <v>11056</v>
      </c>
      <c r="OWA1" t="s">
        <v>11057</v>
      </c>
      <c r="OWB1" t="s">
        <v>11058</v>
      </c>
      <c r="OWC1" t="s">
        <v>11059</v>
      </c>
      <c r="OWD1" t="s">
        <v>11060</v>
      </c>
      <c r="OWE1" t="s">
        <v>11061</v>
      </c>
      <c r="OWF1" t="s">
        <v>11062</v>
      </c>
      <c r="OWG1" t="s">
        <v>11063</v>
      </c>
      <c r="OWH1" t="s">
        <v>11064</v>
      </c>
      <c r="OWI1" t="s">
        <v>11065</v>
      </c>
      <c r="OWJ1" t="s">
        <v>11066</v>
      </c>
      <c r="OWK1" t="s">
        <v>11067</v>
      </c>
      <c r="OWL1" t="s">
        <v>11068</v>
      </c>
      <c r="OWM1" t="s">
        <v>11069</v>
      </c>
      <c r="OWN1" t="s">
        <v>11070</v>
      </c>
      <c r="OWO1" t="s">
        <v>11071</v>
      </c>
      <c r="OWP1" t="s">
        <v>11072</v>
      </c>
      <c r="OWQ1" t="s">
        <v>11073</v>
      </c>
      <c r="OWR1" t="s">
        <v>11074</v>
      </c>
      <c r="OWS1" t="s">
        <v>11075</v>
      </c>
      <c r="OWT1" t="s">
        <v>11076</v>
      </c>
      <c r="OWU1" t="s">
        <v>11077</v>
      </c>
      <c r="OWV1" t="s">
        <v>11078</v>
      </c>
      <c r="OWW1" t="s">
        <v>11079</v>
      </c>
      <c r="OWX1" t="s">
        <v>11080</v>
      </c>
      <c r="OWY1" t="s">
        <v>11081</v>
      </c>
      <c r="OWZ1" t="s">
        <v>11082</v>
      </c>
      <c r="OXA1" t="s">
        <v>11083</v>
      </c>
      <c r="OXB1" t="s">
        <v>11084</v>
      </c>
      <c r="OXC1" t="s">
        <v>11085</v>
      </c>
      <c r="OXD1" t="s">
        <v>11086</v>
      </c>
      <c r="OXE1" t="s">
        <v>11087</v>
      </c>
      <c r="OXF1" t="s">
        <v>11088</v>
      </c>
      <c r="OXG1" t="s">
        <v>11089</v>
      </c>
      <c r="OXH1" t="s">
        <v>11090</v>
      </c>
      <c r="OXI1" t="s">
        <v>11091</v>
      </c>
      <c r="OXJ1" t="s">
        <v>11092</v>
      </c>
      <c r="OXK1" t="s">
        <v>11093</v>
      </c>
      <c r="OXL1" t="s">
        <v>11094</v>
      </c>
      <c r="OXM1" t="s">
        <v>11095</v>
      </c>
      <c r="OXN1" t="s">
        <v>11096</v>
      </c>
      <c r="OXO1" t="s">
        <v>11097</v>
      </c>
      <c r="OXP1" t="s">
        <v>11098</v>
      </c>
      <c r="OXQ1" t="s">
        <v>11099</v>
      </c>
      <c r="OXR1" t="s">
        <v>11100</v>
      </c>
      <c r="OXS1" t="s">
        <v>11101</v>
      </c>
      <c r="OXT1" t="s">
        <v>11102</v>
      </c>
      <c r="OXU1" t="s">
        <v>11103</v>
      </c>
      <c r="OXV1" t="s">
        <v>11104</v>
      </c>
      <c r="OXW1" t="s">
        <v>11105</v>
      </c>
      <c r="OXX1" t="s">
        <v>11106</v>
      </c>
      <c r="OXY1" t="s">
        <v>11107</v>
      </c>
      <c r="OXZ1" t="s">
        <v>11108</v>
      </c>
      <c r="OYA1" t="s">
        <v>11109</v>
      </c>
      <c r="OYB1" t="s">
        <v>11110</v>
      </c>
      <c r="OYC1" t="s">
        <v>11111</v>
      </c>
      <c r="OYD1" t="s">
        <v>11112</v>
      </c>
      <c r="OYE1" t="s">
        <v>11113</v>
      </c>
      <c r="OYF1" t="s">
        <v>11114</v>
      </c>
      <c r="OYG1" t="s">
        <v>11115</v>
      </c>
      <c r="OYH1" t="s">
        <v>11116</v>
      </c>
      <c r="OYI1" t="s">
        <v>11117</v>
      </c>
      <c r="OYJ1" t="s">
        <v>11118</v>
      </c>
      <c r="OYK1" t="s">
        <v>11119</v>
      </c>
      <c r="OYL1" t="s">
        <v>11120</v>
      </c>
      <c r="OYM1" t="s">
        <v>11121</v>
      </c>
      <c r="OYN1" t="s">
        <v>11122</v>
      </c>
      <c r="OYO1" t="s">
        <v>11123</v>
      </c>
      <c r="OYP1" t="s">
        <v>11124</v>
      </c>
      <c r="OYQ1" t="s">
        <v>11125</v>
      </c>
      <c r="OYR1" t="s">
        <v>11126</v>
      </c>
      <c r="OYS1" t="s">
        <v>11127</v>
      </c>
      <c r="OYT1" t="s">
        <v>11128</v>
      </c>
      <c r="OYU1" t="s">
        <v>11129</v>
      </c>
      <c r="OYV1" t="s">
        <v>11130</v>
      </c>
      <c r="OYW1" t="s">
        <v>11131</v>
      </c>
      <c r="OYX1" t="s">
        <v>11132</v>
      </c>
      <c r="OYY1" t="s">
        <v>11133</v>
      </c>
      <c r="OYZ1" t="s">
        <v>11134</v>
      </c>
      <c r="OZA1" t="s">
        <v>11135</v>
      </c>
      <c r="OZB1" t="s">
        <v>11136</v>
      </c>
      <c r="OZC1" t="s">
        <v>11137</v>
      </c>
      <c r="OZD1" t="s">
        <v>11138</v>
      </c>
      <c r="OZE1" t="s">
        <v>11139</v>
      </c>
      <c r="OZF1" t="s">
        <v>11140</v>
      </c>
      <c r="OZG1" t="s">
        <v>11141</v>
      </c>
      <c r="OZH1" t="s">
        <v>11142</v>
      </c>
      <c r="OZI1" t="s">
        <v>11143</v>
      </c>
      <c r="OZJ1" t="s">
        <v>11144</v>
      </c>
      <c r="OZK1" t="s">
        <v>11145</v>
      </c>
      <c r="OZL1" t="s">
        <v>11146</v>
      </c>
      <c r="OZM1" t="s">
        <v>11147</v>
      </c>
      <c r="OZN1" t="s">
        <v>11148</v>
      </c>
      <c r="OZO1" t="s">
        <v>11149</v>
      </c>
      <c r="OZP1" t="s">
        <v>11150</v>
      </c>
      <c r="OZQ1" t="s">
        <v>11151</v>
      </c>
      <c r="OZR1" t="s">
        <v>11152</v>
      </c>
      <c r="OZS1" t="s">
        <v>11153</v>
      </c>
      <c r="OZT1" t="s">
        <v>11154</v>
      </c>
      <c r="OZU1" t="s">
        <v>11155</v>
      </c>
      <c r="OZV1" t="s">
        <v>11156</v>
      </c>
      <c r="OZW1" t="s">
        <v>11157</v>
      </c>
      <c r="OZX1" t="s">
        <v>11158</v>
      </c>
      <c r="OZY1" t="s">
        <v>11159</v>
      </c>
      <c r="OZZ1" t="s">
        <v>11160</v>
      </c>
      <c r="PAA1" t="s">
        <v>11161</v>
      </c>
      <c r="PAB1" t="s">
        <v>11162</v>
      </c>
      <c r="PAC1" t="s">
        <v>11163</v>
      </c>
      <c r="PAD1" t="s">
        <v>11164</v>
      </c>
      <c r="PAE1" t="s">
        <v>11165</v>
      </c>
      <c r="PAF1" t="s">
        <v>11166</v>
      </c>
      <c r="PAG1" t="s">
        <v>11167</v>
      </c>
      <c r="PAH1" t="s">
        <v>11168</v>
      </c>
      <c r="PAI1" t="s">
        <v>11169</v>
      </c>
      <c r="PAJ1" t="s">
        <v>11170</v>
      </c>
      <c r="PAK1" t="s">
        <v>11171</v>
      </c>
      <c r="PAL1" t="s">
        <v>11172</v>
      </c>
      <c r="PAM1" t="s">
        <v>11173</v>
      </c>
      <c r="PAN1" t="s">
        <v>11174</v>
      </c>
      <c r="PAO1" t="s">
        <v>11175</v>
      </c>
      <c r="PAP1" t="s">
        <v>11176</v>
      </c>
      <c r="PAQ1" t="s">
        <v>11177</v>
      </c>
      <c r="PAR1" t="s">
        <v>11178</v>
      </c>
      <c r="PAS1" t="s">
        <v>11179</v>
      </c>
      <c r="PAT1" t="s">
        <v>11180</v>
      </c>
      <c r="PAU1" t="s">
        <v>11181</v>
      </c>
      <c r="PAV1" t="s">
        <v>11182</v>
      </c>
      <c r="PAW1" t="s">
        <v>11183</v>
      </c>
      <c r="PAX1" t="s">
        <v>11184</v>
      </c>
      <c r="PAY1" t="s">
        <v>11185</v>
      </c>
      <c r="PAZ1" t="s">
        <v>11186</v>
      </c>
      <c r="PBA1" t="s">
        <v>11187</v>
      </c>
      <c r="PBB1" t="s">
        <v>11188</v>
      </c>
      <c r="PBC1" t="s">
        <v>11189</v>
      </c>
      <c r="PBD1" t="s">
        <v>11190</v>
      </c>
      <c r="PBE1" t="s">
        <v>11191</v>
      </c>
      <c r="PBF1" t="s">
        <v>11192</v>
      </c>
      <c r="PBG1" t="s">
        <v>11193</v>
      </c>
      <c r="PBH1" t="s">
        <v>11194</v>
      </c>
      <c r="PBI1" t="s">
        <v>11195</v>
      </c>
      <c r="PBJ1" t="s">
        <v>11196</v>
      </c>
      <c r="PBK1" t="s">
        <v>11197</v>
      </c>
      <c r="PBL1" t="s">
        <v>11198</v>
      </c>
      <c r="PBM1" t="s">
        <v>11199</v>
      </c>
      <c r="PBN1" t="s">
        <v>11200</v>
      </c>
      <c r="PBO1" t="s">
        <v>11201</v>
      </c>
      <c r="PBP1" t="s">
        <v>11202</v>
      </c>
      <c r="PBQ1" t="s">
        <v>11203</v>
      </c>
      <c r="PBR1" t="s">
        <v>11204</v>
      </c>
      <c r="PBS1" t="s">
        <v>11205</v>
      </c>
      <c r="PBT1" t="s">
        <v>11206</v>
      </c>
      <c r="PBU1" t="s">
        <v>11207</v>
      </c>
      <c r="PBV1" t="s">
        <v>11208</v>
      </c>
      <c r="PBW1" t="s">
        <v>11209</v>
      </c>
      <c r="PBX1" t="s">
        <v>11210</v>
      </c>
      <c r="PBY1" t="s">
        <v>11211</v>
      </c>
      <c r="PBZ1" t="s">
        <v>11212</v>
      </c>
      <c r="PCA1" t="s">
        <v>11213</v>
      </c>
      <c r="PCB1" t="s">
        <v>11214</v>
      </c>
      <c r="PCC1" t="s">
        <v>11215</v>
      </c>
      <c r="PCD1" t="s">
        <v>11216</v>
      </c>
      <c r="PCE1" t="s">
        <v>11217</v>
      </c>
      <c r="PCF1" t="s">
        <v>11218</v>
      </c>
      <c r="PCG1" t="s">
        <v>11219</v>
      </c>
      <c r="PCH1" t="s">
        <v>11220</v>
      </c>
      <c r="PCI1" t="s">
        <v>11221</v>
      </c>
      <c r="PCJ1" t="s">
        <v>11222</v>
      </c>
      <c r="PCK1" t="s">
        <v>11223</v>
      </c>
      <c r="PCL1" t="s">
        <v>11224</v>
      </c>
      <c r="PCM1" t="s">
        <v>11225</v>
      </c>
      <c r="PCN1" t="s">
        <v>11226</v>
      </c>
      <c r="PCO1" t="s">
        <v>11227</v>
      </c>
      <c r="PCP1" t="s">
        <v>11228</v>
      </c>
      <c r="PCQ1" t="s">
        <v>11229</v>
      </c>
      <c r="PCR1" t="s">
        <v>11230</v>
      </c>
      <c r="PCS1" t="s">
        <v>11231</v>
      </c>
      <c r="PCT1" t="s">
        <v>11232</v>
      </c>
      <c r="PCU1" t="s">
        <v>11233</v>
      </c>
      <c r="PCV1" t="s">
        <v>11234</v>
      </c>
      <c r="PCW1" t="s">
        <v>11235</v>
      </c>
      <c r="PCX1" t="s">
        <v>11236</v>
      </c>
      <c r="PCY1" t="s">
        <v>11237</v>
      </c>
      <c r="PCZ1" t="s">
        <v>11238</v>
      </c>
      <c r="PDA1" t="s">
        <v>11239</v>
      </c>
      <c r="PDB1" t="s">
        <v>11240</v>
      </c>
      <c r="PDC1" t="s">
        <v>11241</v>
      </c>
      <c r="PDD1" t="s">
        <v>11242</v>
      </c>
      <c r="PDE1" t="s">
        <v>11243</v>
      </c>
      <c r="PDF1" t="s">
        <v>11244</v>
      </c>
      <c r="PDG1" t="s">
        <v>11245</v>
      </c>
      <c r="PDH1" t="s">
        <v>11246</v>
      </c>
      <c r="PDI1" t="s">
        <v>11247</v>
      </c>
      <c r="PDJ1" t="s">
        <v>11248</v>
      </c>
      <c r="PDK1" t="s">
        <v>11249</v>
      </c>
      <c r="PDL1" t="s">
        <v>11250</v>
      </c>
      <c r="PDM1" t="s">
        <v>11251</v>
      </c>
      <c r="PDN1" t="s">
        <v>11252</v>
      </c>
      <c r="PDO1" t="s">
        <v>11253</v>
      </c>
      <c r="PDP1" t="s">
        <v>11254</v>
      </c>
      <c r="PDQ1" t="s">
        <v>11255</v>
      </c>
      <c r="PDR1" t="s">
        <v>11256</v>
      </c>
      <c r="PDS1" t="s">
        <v>11257</v>
      </c>
      <c r="PDT1" t="s">
        <v>11258</v>
      </c>
      <c r="PDU1" t="s">
        <v>11259</v>
      </c>
      <c r="PDV1" t="s">
        <v>11260</v>
      </c>
      <c r="PDW1" t="s">
        <v>11261</v>
      </c>
      <c r="PDX1" t="s">
        <v>11262</v>
      </c>
      <c r="PDY1" t="s">
        <v>11263</v>
      </c>
      <c r="PDZ1" t="s">
        <v>11264</v>
      </c>
      <c r="PEA1" t="s">
        <v>11265</v>
      </c>
      <c r="PEB1" t="s">
        <v>11266</v>
      </c>
      <c r="PEC1" t="s">
        <v>11267</v>
      </c>
      <c r="PED1" t="s">
        <v>11268</v>
      </c>
      <c r="PEE1" t="s">
        <v>11269</v>
      </c>
      <c r="PEF1" t="s">
        <v>11270</v>
      </c>
      <c r="PEG1" t="s">
        <v>11271</v>
      </c>
      <c r="PEH1" t="s">
        <v>11272</v>
      </c>
      <c r="PEI1" t="s">
        <v>11273</v>
      </c>
      <c r="PEJ1" t="s">
        <v>11274</v>
      </c>
      <c r="PEK1" t="s">
        <v>11275</v>
      </c>
      <c r="PEL1" t="s">
        <v>11276</v>
      </c>
      <c r="PEM1" t="s">
        <v>11277</v>
      </c>
      <c r="PEN1" t="s">
        <v>11278</v>
      </c>
      <c r="PEO1" t="s">
        <v>11279</v>
      </c>
      <c r="PEP1" t="s">
        <v>11280</v>
      </c>
      <c r="PEQ1" t="s">
        <v>11281</v>
      </c>
      <c r="PER1" t="s">
        <v>11282</v>
      </c>
      <c r="PES1" t="s">
        <v>11283</v>
      </c>
      <c r="PET1" t="s">
        <v>11284</v>
      </c>
      <c r="PEU1" t="s">
        <v>11285</v>
      </c>
      <c r="PEV1" t="s">
        <v>11286</v>
      </c>
      <c r="PEW1" t="s">
        <v>11287</v>
      </c>
      <c r="PEX1" t="s">
        <v>11288</v>
      </c>
      <c r="PEY1" t="s">
        <v>11289</v>
      </c>
      <c r="PEZ1" t="s">
        <v>11290</v>
      </c>
      <c r="PFA1" t="s">
        <v>11291</v>
      </c>
      <c r="PFB1" t="s">
        <v>11292</v>
      </c>
      <c r="PFC1" t="s">
        <v>11293</v>
      </c>
      <c r="PFD1" t="s">
        <v>11294</v>
      </c>
      <c r="PFE1" t="s">
        <v>11295</v>
      </c>
      <c r="PFF1" t="s">
        <v>11296</v>
      </c>
      <c r="PFG1" t="s">
        <v>11297</v>
      </c>
      <c r="PFH1" t="s">
        <v>11298</v>
      </c>
      <c r="PFI1" t="s">
        <v>11299</v>
      </c>
      <c r="PFJ1" t="s">
        <v>11300</v>
      </c>
      <c r="PFK1" t="s">
        <v>11301</v>
      </c>
      <c r="PFL1" t="s">
        <v>11302</v>
      </c>
      <c r="PFM1" t="s">
        <v>11303</v>
      </c>
      <c r="PFN1" t="s">
        <v>11304</v>
      </c>
      <c r="PFO1" t="s">
        <v>11305</v>
      </c>
      <c r="PFP1" t="s">
        <v>11306</v>
      </c>
      <c r="PFQ1" t="s">
        <v>11307</v>
      </c>
      <c r="PFR1" t="s">
        <v>11308</v>
      </c>
      <c r="PFS1" t="s">
        <v>11309</v>
      </c>
      <c r="PFT1" t="s">
        <v>11310</v>
      </c>
      <c r="PFU1" t="s">
        <v>11311</v>
      </c>
      <c r="PFV1" t="s">
        <v>11312</v>
      </c>
      <c r="PFW1" t="s">
        <v>11313</v>
      </c>
      <c r="PFX1" t="s">
        <v>11314</v>
      </c>
      <c r="PFY1" t="s">
        <v>11315</v>
      </c>
      <c r="PFZ1" t="s">
        <v>11316</v>
      </c>
      <c r="PGA1" t="s">
        <v>11317</v>
      </c>
      <c r="PGB1" t="s">
        <v>11318</v>
      </c>
      <c r="PGC1" t="s">
        <v>11319</v>
      </c>
      <c r="PGD1" t="s">
        <v>11320</v>
      </c>
      <c r="PGE1" t="s">
        <v>11321</v>
      </c>
      <c r="PGF1" t="s">
        <v>11322</v>
      </c>
      <c r="PGG1" t="s">
        <v>11323</v>
      </c>
      <c r="PGH1" t="s">
        <v>11324</v>
      </c>
      <c r="PGI1" t="s">
        <v>11325</v>
      </c>
      <c r="PGJ1" t="s">
        <v>11326</v>
      </c>
      <c r="PGK1" t="s">
        <v>11327</v>
      </c>
      <c r="PGL1" t="s">
        <v>11328</v>
      </c>
      <c r="PGM1" t="s">
        <v>11329</v>
      </c>
      <c r="PGN1" t="s">
        <v>11330</v>
      </c>
      <c r="PGO1" t="s">
        <v>11331</v>
      </c>
      <c r="PGP1" t="s">
        <v>11332</v>
      </c>
      <c r="PGQ1" t="s">
        <v>11333</v>
      </c>
      <c r="PGR1" t="s">
        <v>11334</v>
      </c>
      <c r="PGS1" t="s">
        <v>11335</v>
      </c>
      <c r="PGT1" t="s">
        <v>11336</v>
      </c>
      <c r="PGU1" t="s">
        <v>11337</v>
      </c>
      <c r="PGV1" t="s">
        <v>11338</v>
      </c>
      <c r="PGW1" t="s">
        <v>11339</v>
      </c>
      <c r="PGX1" t="s">
        <v>11340</v>
      </c>
      <c r="PGY1" t="s">
        <v>11341</v>
      </c>
      <c r="PGZ1" t="s">
        <v>11342</v>
      </c>
      <c r="PHA1" t="s">
        <v>11343</v>
      </c>
      <c r="PHB1" t="s">
        <v>11344</v>
      </c>
      <c r="PHC1" t="s">
        <v>11345</v>
      </c>
      <c r="PHD1" t="s">
        <v>11346</v>
      </c>
      <c r="PHE1" t="s">
        <v>11347</v>
      </c>
      <c r="PHF1" t="s">
        <v>11348</v>
      </c>
      <c r="PHG1" t="s">
        <v>11349</v>
      </c>
      <c r="PHH1" t="s">
        <v>11350</v>
      </c>
      <c r="PHI1" t="s">
        <v>11351</v>
      </c>
      <c r="PHJ1" t="s">
        <v>11352</v>
      </c>
      <c r="PHK1" t="s">
        <v>11353</v>
      </c>
      <c r="PHL1" t="s">
        <v>11354</v>
      </c>
      <c r="PHM1" t="s">
        <v>11355</v>
      </c>
      <c r="PHN1" t="s">
        <v>11356</v>
      </c>
      <c r="PHO1" t="s">
        <v>11357</v>
      </c>
      <c r="PHP1" t="s">
        <v>11358</v>
      </c>
      <c r="PHQ1" t="s">
        <v>11359</v>
      </c>
      <c r="PHR1" t="s">
        <v>11360</v>
      </c>
      <c r="PHS1" t="s">
        <v>11361</v>
      </c>
      <c r="PHT1" t="s">
        <v>11362</v>
      </c>
      <c r="PHU1" t="s">
        <v>11363</v>
      </c>
      <c r="PHV1" t="s">
        <v>11364</v>
      </c>
      <c r="PHW1" t="s">
        <v>11365</v>
      </c>
      <c r="PHX1" t="s">
        <v>11366</v>
      </c>
      <c r="PHY1" t="s">
        <v>11367</v>
      </c>
      <c r="PHZ1" t="s">
        <v>11368</v>
      </c>
      <c r="PIA1" t="s">
        <v>11369</v>
      </c>
      <c r="PIB1" t="s">
        <v>11370</v>
      </c>
      <c r="PIC1" t="s">
        <v>11371</v>
      </c>
      <c r="PID1" t="s">
        <v>11372</v>
      </c>
      <c r="PIE1" t="s">
        <v>11373</v>
      </c>
      <c r="PIF1" t="s">
        <v>11374</v>
      </c>
      <c r="PIG1" t="s">
        <v>11375</v>
      </c>
      <c r="PIH1" t="s">
        <v>11376</v>
      </c>
      <c r="PII1" t="s">
        <v>11377</v>
      </c>
      <c r="PIJ1" t="s">
        <v>11378</v>
      </c>
      <c r="PIK1" t="s">
        <v>11379</v>
      </c>
      <c r="PIL1" t="s">
        <v>11380</v>
      </c>
      <c r="PIM1" t="s">
        <v>11381</v>
      </c>
      <c r="PIN1" t="s">
        <v>11382</v>
      </c>
      <c r="PIO1" t="s">
        <v>11383</v>
      </c>
      <c r="PIP1" t="s">
        <v>11384</v>
      </c>
      <c r="PIQ1" t="s">
        <v>11385</v>
      </c>
      <c r="PIR1" t="s">
        <v>11386</v>
      </c>
      <c r="PIS1" t="s">
        <v>11387</v>
      </c>
      <c r="PIT1" t="s">
        <v>11388</v>
      </c>
      <c r="PIU1" t="s">
        <v>11389</v>
      </c>
      <c r="PIV1" t="s">
        <v>11390</v>
      </c>
      <c r="PIW1" t="s">
        <v>11391</v>
      </c>
      <c r="PIX1" t="s">
        <v>11392</v>
      </c>
      <c r="PIY1" t="s">
        <v>11393</v>
      </c>
      <c r="PIZ1" t="s">
        <v>11394</v>
      </c>
      <c r="PJA1" t="s">
        <v>11395</v>
      </c>
      <c r="PJB1" t="s">
        <v>11396</v>
      </c>
      <c r="PJC1" t="s">
        <v>11397</v>
      </c>
      <c r="PJD1" t="s">
        <v>11398</v>
      </c>
      <c r="PJE1" t="s">
        <v>11399</v>
      </c>
      <c r="PJF1" t="s">
        <v>11400</v>
      </c>
      <c r="PJG1" t="s">
        <v>11401</v>
      </c>
      <c r="PJH1" t="s">
        <v>11402</v>
      </c>
      <c r="PJI1" t="s">
        <v>11403</v>
      </c>
      <c r="PJJ1" t="s">
        <v>11404</v>
      </c>
      <c r="PJK1" t="s">
        <v>11405</v>
      </c>
      <c r="PJL1" t="s">
        <v>11406</v>
      </c>
      <c r="PJM1" t="s">
        <v>11407</v>
      </c>
      <c r="PJN1" t="s">
        <v>11408</v>
      </c>
      <c r="PJO1" t="s">
        <v>11409</v>
      </c>
      <c r="PJP1" t="s">
        <v>11410</v>
      </c>
      <c r="PJQ1" t="s">
        <v>11411</v>
      </c>
      <c r="PJR1" t="s">
        <v>11412</v>
      </c>
      <c r="PJS1" t="s">
        <v>11413</v>
      </c>
      <c r="PJT1" t="s">
        <v>11414</v>
      </c>
      <c r="PJU1" t="s">
        <v>11415</v>
      </c>
      <c r="PJV1" t="s">
        <v>11416</v>
      </c>
      <c r="PJW1" t="s">
        <v>11417</v>
      </c>
      <c r="PJX1" t="s">
        <v>11418</v>
      </c>
      <c r="PJY1" t="s">
        <v>11419</v>
      </c>
      <c r="PJZ1" t="s">
        <v>11420</v>
      </c>
      <c r="PKA1" t="s">
        <v>11421</v>
      </c>
      <c r="PKB1" t="s">
        <v>11422</v>
      </c>
      <c r="PKC1" t="s">
        <v>11423</v>
      </c>
      <c r="PKD1" t="s">
        <v>11424</v>
      </c>
      <c r="PKE1" t="s">
        <v>11425</v>
      </c>
      <c r="PKF1" t="s">
        <v>11426</v>
      </c>
      <c r="PKG1" t="s">
        <v>11427</v>
      </c>
      <c r="PKH1" t="s">
        <v>11428</v>
      </c>
      <c r="PKI1" t="s">
        <v>11429</v>
      </c>
      <c r="PKJ1" t="s">
        <v>11430</v>
      </c>
      <c r="PKK1" t="s">
        <v>11431</v>
      </c>
      <c r="PKL1" t="s">
        <v>11432</v>
      </c>
      <c r="PKM1" t="s">
        <v>11433</v>
      </c>
      <c r="PKN1" t="s">
        <v>11434</v>
      </c>
      <c r="PKO1" t="s">
        <v>11435</v>
      </c>
      <c r="PKP1" t="s">
        <v>11436</v>
      </c>
      <c r="PKQ1" t="s">
        <v>11437</v>
      </c>
      <c r="PKR1" t="s">
        <v>11438</v>
      </c>
      <c r="PKS1" t="s">
        <v>11439</v>
      </c>
      <c r="PKT1" t="s">
        <v>11440</v>
      </c>
      <c r="PKU1" t="s">
        <v>11441</v>
      </c>
      <c r="PKV1" t="s">
        <v>11442</v>
      </c>
      <c r="PKW1" t="s">
        <v>11443</v>
      </c>
      <c r="PKX1" t="s">
        <v>11444</v>
      </c>
      <c r="PKY1" t="s">
        <v>11445</v>
      </c>
      <c r="PKZ1" t="s">
        <v>11446</v>
      </c>
      <c r="PLA1" t="s">
        <v>11447</v>
      </c>
      <c r="PLB1" t="s">
        <v>11448</v>
      </c>
      <c r="PLC1" t="s">
        <v>11449</v>
      </c>
      <c r="PLD1" t="s">
        <v>11450</v>
      </c>
      <c r="PLE1" t="s">
        <v>11451</v>
      </c>
      <c r="PLF1" t="s">
        <v>11452</v>
      </c>
      <c r="PLG1" t="s">
        <v>11453</v>
      </c>
      <c r="PLH1" t="s">
        <v>11454</v>
      </c>
      <c r="PLI1" t="s">
        <v>11455</v>
      </c>
      <c r="PLJ1" t="s">
        <v>11456</v>
      </c>
      <c r="PLK1" t="s">
        <v>11457</v>
      </c>
      <c r="PLL1" t="s">
        <v>11458</v>
      </c>
      <c r="PLM1" t="s">
        <v>11459</v>
      </c>
      <c r="PLN1" t="s">
        <v>11460</v>
      </c>
      <c r="PLO1" t="s">
        <v>11461</v>
      </c>
      <c r="PLP1" t="s">
        <v>11462</v>
      </c>
      <c r="PLQ1" t="s">
        <v>11463</v>
      </c>
      <c r="PLR1" t="s">
        <v>11464</v>
      </c>
      <c r="PLS1" t="s">
        <v>11465</v>
      </c>
      <c r="PLT1" t="s">
        <v>11466</v>
      </c>
      <c r="PLU1" t="s">
        <v>11467</v>
      </c>
      <c r="PLV1" t="s">
        <v>11468</v>
      </c>
      <c r="PLW1" t="s">
        <v>11469</v>
      </c>
      <c r="PLX1" t="s">
        <v>11470</v>
      </c>
      <c r="PLY1" t="s">
        <v>11471</v>
      </c>
      <c r="PLZ1" t="s">
        <v>11472</v>
      </c>
      <c r="PMA1" t="s">
        <v>11473</v>
      </c>
      <c r="PMB1" t="s">
        <v>11474</v>
      </c>
      <c r="PMC1" t="s">
        <v>11475</v>
      </c>
      <c r="PMD1" t="s">
        <v>11476</v>
      </c>
      <c r="PME1" t="s">
        <v>11477</v>
      </c>
      <c r="PMF1" t="s">
        <v>11478</v>
      </c>
      <c r="PMG1" t="s">
        <v>11479</v>
      </c>
      <c r="PMH1" t="s">
        <v>11480</v>
      </c>
      <c r="PMI1" t="s">
        <v>11481</v>
      </c>
      <c r="PMJ1" t="s">
        <v>11482</v>
      </c>
      <c r="PMK1" t="s">
        <v>11483</v>
      </c>
      <c r="PML1" t="s">
        <v>11484</v>
      </c>
      <c r="PMM1" t="s">
        <v>11485</v>
      </c>
      <c r="PMN1" t="s">
        <v>11486</v>
      </c>
      <c r="PMO1" t="s">
        <v>11487</v>
      </c>
      <c r="PMP1" t="s">
        <v>11488</v>
      </c>
      <c r="PMQ1" t="s">
        <v>11489</v>
      </c>
      <c r="PMR1" t="s">
        <v>11490</v>
      </c>
      <c r="PMS1" t="s">
        <v>11491</v>
      </c>
      <c r="PMT1" t="s">
        <v>11492</v>
      </c>
      <c r="PMU1" t="s">
        <v>11493</v>
      </c>
      <c r="PMV1" t="s">
        <v>11494</v>
      </c>
      <c r="PMW1" t="s">
        <v>11495</v>
      </c>
      <c r="PMX1" t="s">
        <v>11496</v>
      </c>
      <c r="PMY1" t="s">
        <v>11497</v>
      </c>
      <c r="PMZ1" t="s">
        <v>11498</v>
      </c>
      <c r="PNA1" t="s">
        <v>11499</v>
      </c>
      <c r="PNB1" t="s">
        <v>11500</v>
      </c>
      <c r="PNC1" t="s">
        <v>11501</v>
      </c>
      <c r="PND1" t="s">
        <v>11502</v>
      </c>
      <c r="PNE1" t="s">
        <v>11503</v>
      </c>
      <c r="PNF1" t="s">
        <v>11504</v>
      </c>
      <c r="PNG1" t="s">
        <v>11505</v>
      </c>
      <c r="PNH1" t="s">
        <v>11506</v>
      </c>
      <c r="PNI1" t="s">
        <v>11507</v>
      </c>
      <c r="PNJ1" t="s">
        <v>11508</v>
      </c>
      <c r="PNK1" t="s">
        <v>11509</v>
      </c>
      <c r="PNL1" t="s">
        <v>11510</v>
      </c>
      <c r="PNM1" t="s">
        <v>11511</v>
      </c>
      <c r="PNN1" t="s">
        <v>11512</v>
      </c>
      <c r="PNO1" t="s">
        <v>11513</v>
      </c>
      <c r="PNP1" t="s">
        <v>11514</v>
      </c>
      <c r="PNQ1" t="s">
        <v>11515</v>
      </c>
      <c r="PNR1" t="s">
        <v>11516</v>
      </c>
      <c r="PNS1" t="s">
        <v>11517</v>
      </c>
      <c r="PNT1" t="s">
        <v>11518</v>
      </c>
      <c r="PNU1" t="s">
        <v>11519</v>
      </c>
      <c r="PNV1" t="s">
        <v>11520</v>
      </c>
      <c r="PNW1" t="s">
        <v>11521</v>
      </c>
      <c r="PNX1" t="s">
        <v>11522</v>
      </c>
      <c r="PNY1" t="s">
        <v>11523</v>
      </c>
      <c r="PNZ1" t="s">
        <v>11524</v>
      </c>
      <c r="POA1" t="s">
        <v>11525</v>
      </c>
      <c r="POB1" t="s">
        <v>11526</v>
      </c>
      <c r="POC1" t="s">
        <v>11527</v>
      </c>
      <c r="POD1" t="s">
        <v>11528</v>
      </c>
      <c r="POE1" t="s">
        <v>11529</v>
      </c>
      <c r="POF1" t="s">
        <v>11530</v>
      </c>
      <c r="POG1" t="s">
        <v>11531</v>
      </c>
      <c r="POH1" t="s">
        <v>11532</v>
      </c>
      <c r="POI1" t="s">
        <v>11533</v>
      </c>
      <c r="POJ1" t="s">
        <v>11534</v>
      </c>
      <c r="POK1" t="s">
        <v>11535</v>
      </c>
      <c r="POL1" t="s">
        <v>11536</v>
      </c>
      <c r="POM1" t="s">
        <v>11537</v>
      </c>
      <c r="PON1" t="s">
        <v>11538</v>
      </c>
      <c r="POO1" t="s">
        <v>11539</v>
      </c>
      <c r="POP1" t="s">
        <v>11540</v>
      </c>
      <c r="POQ1" t="s">
        <v>11541</v>
      </c>
      <c r="POR1" t="s">
        <v>11542</v>
      </c>
      <c r="POS1" t="s">
        <v>11543</v>
      </c>
      <c r="POT1" t="s">
        <v>11544</v>
      </c>
      <c r="POU1" t="s">
        <v>11545</v>
      </c>
      <c r="POV1" t="s">
        <v>11546</v>
      </c>
      <c r="POW1" t="s">
        <v>11547</v>
      </c>
      <c r="POX1" t="s">
        <v>11548</v>
      </c>
      <c r="POY1" t="s">
        <v>11549</v>
      </c>
      <c r="POZ1" t="s">
        <v>11550</v>
      </c>
      <c r="PPA1" t="s">
        <v>11551</v>
      </c>
      <c r="PPB1" t="s">
        <v>11552</v>
      </c>
      <c r="PPC1" t="s">
        <v>11553</v>
      </c>
      <c r="PPD1" t="s">
        <v>11554</v>
      </c>
      <c r="PPE1" t="s">
        <v>11555</v>
      </c>
      <c r="PPF1" t="s">
        <v>11556</v>
      </c>
      <c r="PPG1" t="s">
        <v>11557</v>
      </c>
      <c r="PPH1" t="s">
        <v>11558</v>
      </c>
      <c r="PPI1" t="s">
        <v>11559</v>
      </c>
      <c r="PPJ1" t="s">
        <v>11560</v>
      </c>
      <c r="PPK1" t="s">
        <v>11561</v>
      </c>
      <c r="PPL1" t="s">
        <v>11562</v>
      </c>
      <c r="PPM1" t="s">
        <v>11563</v>
      </c>
      <c r="PPN1" t="s">
        <v>11564</v>
      </c>
      <c r="PPO1" t="s">
        <v>11565</v>
      </c>
      <c r="PPP1" t="s">
        <v>11566</v>
      </c>
      <c r="PPQ1" t="s">
        <v>11567</v>
      </c>
      <c r="PPR1" t="s">
        <v>11568</v>
      </c>
      <c r="PPS1" t="s">
        <v>11569</v>
      </c>
      <c r="PPT1" t="s">
        <v>11570</v>
      </c>
      <c r="PPU1" t="s">
        <v>11571</v>
      </c>
      <c r="PPV1" t="s">
        <v>11572</v>
      </c>
      <c r="PPW1" t="s">
        <v>11573</v>
      </c>
      <c r="PPX1" t="s">
        <v>11574</v>
      </c>
      <c r="PPY1" t="s">
        <v>11575</v>
      </c>
      <c r="PPZ1" t="s">
        <v>11576</v>
      </c>
      <c r="PQA1" t="s">
        <v>11577</v>
      </c>
      <c r="PQB1" t="s">
        <v>11578</v>
      </c>
      <c r="PQC1" t="s">
        <v>11579</v>
      </c>
      <c r="PQD1" t="s">
        <v>11580</v>
      </c>
      <c r="PQE1" t="s">
        <v>11581</v>
      </c>
      <c r="PQF1" t="s">
        <v>11582</v>
      </c>
      <c r="PQG1" t="s">
        <v>11583</v>
      </c>
      <c r="PQH1" t="s">
        <v>11584</v>
      </c>
      <c r="PQI1" t="s">
        <v>11585</v>
      </c>
      <c r="PQJ1" t="s">
        <v>11586</v>
      </c>
      <c r="PQK1" t="s">
        <v>11587</v>
      </c>
      <c r="PQL1" t="s">
        <v>11588</v>
      </c>
      <c r="PQM1" t="s">
        <v>11589</v>
      </c>
      <c r="PQN1" t="s">
        <v>11590</v>
      </c>
      <c r="PQO1" t="s">
        <v>11591</v>
      </c>
      <c r="PQP1" t="s">
        <v>11592</v>
      </c>
      <c r="PQQ1" t="s">
        <v>11593</v>
      </c>
      <c r="PQR1" t="s">
        <v>11594</v>
      </c>
      <c r="PQS1" t="s">
        <v>11595</v>
      </c>
      <c r="PQT1" t="s">
        <v>11596</v>
      </c>
      <c r="PQU1" t="s">
        <v>11597</v>
      </c>
      <c r="PQV1" t="s">
        <v>11598</v>
      </c>
      <c r="PQW1" t="s">
        <v>11599</v>
      </c>
      <c r="PQX1" t="s">
        <v>11600</v>
      </c>
      <c r="PQY1" t="s">
        <v>11601</v>
      </c>
      <c r="PQZ1" t="s">
        <v>11602</v>
      </c>
      <c r="PRA1" t="s">
        <v>11603</v>
      </c>
      <c r="PRB1" t="s">
        <v>11604</v>
      </c>
      <c r="PRC1" t="s">
        <v>11605</v>
      </c>
      <c r="PRD1" t="s">
        <v>11606</v>
      </c>
      <c r="PRE1" t="s">
        <v>11607</v>
      </c>
      <c r="PRF1" t="s">
        <v>11608</v>
      </c>
      <c r="PRG1" t="s">
        <v>11609</v>
      </c>
      <c r="PRH1" t="s">
        <v>11610</v>
      </c>
      <c r="PRI1" t="s">
        <v>11611</v>
      </c>
      <c r="PRJ1" t="s">
        <v>11612</v>
      </c>
      <c r="PRK1" t="s">
        <v>11613</v>
      </c>
      <c r="PRL1" t="s">
        <v>11614</v>
      </c>
      <c r="PRM1" t="s">
        <v>11615</v>
      </c>
      <c r="PRN1" t="s">
        <v>11616</v>
      </c>
      <c r="PRO1" t="s">
        <v>11617</v>
      </c>
      <c r="PRP1" t="s">
        <v>11618</v>
      </c>
      <c r="PRQ1" t="s">
        <v>11619</v>
      </c>
      <c r="PRR1" t="s">
        <v>11620</v>
      </c>
      <c r="PRS1" t="s">
        <v>11621</v>
      </c>
      <c r="PRT1" t="s">
        <v>11622</v>
      </c>
      <c r="PRU1" t="s">
        <v>11623</v>
      </c>
      <c r="PRV1" t="s">
        <v>11624</v>
      </c>
      <c r="PRW1" t="s">
        <v>11625</v>
      </c>
      <c r="PRX1" t="s">
        <v>11626</v>
      </c>
      <c r="PRY1" t="s">
        <v>11627</v>
      </c>
      <c r="PRZ1" t="s">
        <v>11628</v>
      </c>
      <c r="PSA1" t="s">
        <v>11629</v>
      </c>
      <c r="PSB1" t="s">
        <v>11630</v>
      </c>
      <c r="PSC1" t="s">
        <v>11631</v>
      </c>
      <c r="PSD1" t="s">
        <v>11632</v>
      </c>
      <c r="PSE1" t="s">
        <v>11633</v>
      </c>
      <c r="PSF1" t="s">
        <v>11634</v>
      </c>
      <c r="PSG1" t="s">
        <v>11635</v>
      </c>
      <c r="PSH1" t="s">
        <v>11636</v>
      </c>
      <c r="PSI1" t="s">
        <v>11637</v>
      </c>
      <c r="PSJ1" t="s">
        <v>11638</v>
      </c>
      <c r="PSK1" t="s">
        <v>11639</v>
      </c>
      <c r="PSL1" t="s">
        <v>11640</v>
      </c>
      <c r="PSM1" t="s">
        <v>11641</v>
      </c>
      <c r="PSN1" t="s">
        <v>11642</v>
      </c>
      <c r="PSO1" t="s">
        <v>11643</v>
      </c>
      <c r="PSP1" t="s">
        <v>11644</v>
      </c>
      <c r="PSQ1" t="s">
        <v>11645</v>
      </c>
      <c r="PSR1" t="s">
        <v>11646</v>
      </c>
      <c r="PSS1" t="s">
        <v>11647</v>
      </c>
      <c r="PST1" t="s">
        <v>11648</v>
      </c>
      <c r="PSU1" t="s">
        <v>11649</v>
      </c>
      <c r="PSV1" t="s">
        <v>11650</v>
      </c>
      <c r="PSW1" t="s">
        <v>11651</v>
      </c>
      <c r="PSX1" t="s">
        <v>11652</v>
      </c>
      <c r="PSY1" t="s">
        <v>11653</v>
      </c>
      <c r="PSZ1" t="s">
        <v>11654</v>
      </c>
      <c r="PTA1" t="s">
        <v>11655</v>
      </c>
      <c r="PTB1" t="s">
        <v>11656</v>
      </c>
      <c r="PTC1" t="s">
        <v>11657</v>
      </c>
      <c r="PTD1" t="s">
        <v>11658</v>
      </c>
      <c r="PTE1" t="s">
        <v>11659</v>
      </c>
      <c r="PTF1" t="s">
        <v>11660</v>
      </c>
      <c r="PTG1" t="s">
        <v>11661</v>
      </c>
      <c r="PTH1" t="s">
        <v>11662</v>
      </c>
      <c r="PTI1" t="s">
        <v>11663</v>
      </c>
      <c r="PTJ1" t="s">
        <v>11664</v>
      </c>
      <c r="PTK1" t="s">
        <v>11665</v>
      </c>
      <c r="PTL1" t="s">
        <v>11666</v>
      </c>
      <c r="PTM1" t="s">
        <v>11667</v>
      </c>
      <c r="PTN1" t="s">
        <v>11668</v>
      </c>
      <c r="PTO1" t="s">
        <v>11669</v>
      </c>
      <c r="PTP1" t="s">
        <v>11670</v>
      </c>
      <c r="PTQ1" t="s">
        <v>11671</v>
      </c>
      <c r="PTR1" t="s">
        <v>11672</v>
      </c>
      <c r="PTS1" t="s">
        <v>11673</v>
      </c>
      <c r="PTT1" t="s">
        <v>11674</v>
      </c>
      <c r="PTU1" t="s">
        <v>11675</v>
      </c>
      <c r="PTV1" t="s">
        <v>11676</v>
      </c>
      <c r="PTW1" t="s">
        <v>11677</v>
      </c>
      <c r="PTX1" t="s">
        <v>11678</v>
      </c>
      <c r="PTY1" t="s">
        <v>11679</v>
      </c>
      <c r="PTZ1" t="s">
        <v>11680</v>
      </c>
      <c r="PUA1" t="s">
        <v>11681</v>
      </c>
      <c r="PUB1" t="s">
        <v>11682</v>
      </c>
      <c r="PUC1" t="s">
        <v>11683</v>
      </c>
      <c r="PUD1" t="s">
        <v>11684</v>
      </c>
      <c r="PUE1" t="s">
        <v>11685</v>
      </c>
      <c r="PUF1" t="s">
        <v>11686</v>
      </c>
      <c r="PUG1" t="s">
        <v>11687</v>
      </c>
      <c r="PUH1" t="s">
        <v>11688</v>
      </c>
      <c r="PUI1" t="s">
        <v>11689</v>
      </c>
      <c r="PUJ1" t="s">
        <v>11690</v>
      </c>
      <c r="PUK1" t="s">
        <v>11691</v>
      </c>
      <c r="PUL1" t="s">
        <v>11692</v>
      </c>
      <c r="PUM1" t="s">
        <v>11693</v>
      </c>
      <c r="PUN1" t="s">
        <v>11694</v>
      </c>
      <c r="PUO1" t="s">
        <v>11695</v>
      </c>
      <c r="PUP1" t="s">
        <v>11696</v>
      </c>
      <c r="PUQ1" t="s">
        <v>11697</v>
      </c>
      <c r="PUR1" t="s">
        <v>11698</v>
      </c>
      <c r="PUS1" t="s">
        <v>11699</v>
      </c>
      <c r="PUT1" t="s">
        <v>11700</v>
      </c>
      <c r="PUU1" t="s">
        <v>11701</v>
      </c>
      <c r="PUV1" t="s">
        <v>11702</v>
      </c>
      <c r="PUW1" t="s">
        <v>11703</v>
      </c>
      <c r="PUX1" t="s">
        <v>11704</v>
      </c>
      <c r="PUY1" t="s">
        <v>11705</v>
      </c>
      <c r="PUZ1" t="s">
        <v>11706</v>
      </c>
      <c r="PVA1" t="s">
        <v>11707</v>
      </c>
      <c r="PVB1" t="s">
        <v>11708</v>
      </c>
      <c r="PVC1" t="s">
        <v>11709</v>
      </c>
      <c r="PVD1" t="s">
        <v>11710</v>
      </c>
      <c r="PVE1" t="s">
        <v>11711</v>
      </c>
      <c r="PVF1" t="s">
        <v>11712</v>
      </c>
      <c r="PVG1" t="s">
        <v>11713</v>
      </c>
      <c r="PVH1" t="s">
        <v>11714</v>
      </c>
      <c r="PVI1" t="s">
        <v>11715</v>
      </c>
      <c r="PVJ1" t="s">
        <v>11716</v>
      </c>
      <c r="PVK1" t="s">
        <v>11717</v>
      </c>
      <c r="PVL1" t="s">
        <v>11718</v>
      </c>
      <c r="PVM1" t="s">
        <v>11719</v>
      </c>
      <c r="PVN1" t="s">
        <v>11720</v>
      </c>
      <c r="PVO1" t="s">
        <v>11721</v>
      </c>
      <c r="PVP1" t="s">
        <v>11722</v>
      </c>
      <c r="PVQ1" t="s">
        <v>11723</v>
      </c>
      <c r="PVR1" t="s">
        <v>11724</v>
      </c>
      <c r="PVS1" t="s">
        <v>11725</v>
      </c>
      <c r="PVT1" t="s">
        <v>11726</v>
      </c>
      <c r="PVU1" t="s">
        <v>11727</v>
      </c>
      <c r="PVV1" t="s">
        <v>11728</v>
      </c>
      <c r="PVW1" t="s">
        <v>11729</v>
      </c>
      <c r="PVX1" t="s">
        <v>11730</v>
      </c>
      <c r="PVY1" t="s">
        <v>11731</v>
      </c>
      <c r="PVZ1" t="s">
        <v>11732</v>
      </c>
      <c r="PWA1" t="s">
        <v>11733</v>
      </c>
      <c r="PWB1" t="s">
        <v>11734</v>
      </c>
      <c r="PWC1" t="s">
        <v>11735</v>
      </c>
      <c r="PWD1" t="s">
        <v>11736</v>
      </c>
      <c r="PWE1" t="s">
        <v>11737</v>
      </c>
      <c r="PWF1" t="s">
        <v>11738</v>
      </c>
      <c r="PWG1" t="s">
        <v>11739</v>
      </c>
      <c r="PWH1" t="s">
        <v>11740</v>
      </c>
      <c r="PWI1" t="s">
        <v>11741</v>
      </c>
      <c r="PWJ1" t="s">
        <v>11742</v>
      </c>
      <c r="PWK1" t="s">
        <v>11743</v>
      </c>
      <c r="PWL1" t="s">
        <v>11744</v>
      </c>
      <c r="PWM1" t="s">
        <v>11745</v>
      </c>
      <c r="PWN1" t="s">
        <v>11746</v>
      </c>
      <c r="PWO1" t="s">
        <v>11747</v>
      </c>
      <c r="PWP1" t="s">
        <v>11748</v>
      </c>
      <c r="PWQ1" t="s">
        <v>11749</v>
      </c>
      <c r="PWR1" t="s">
        <v>11750</v>
      </c>
      <c r="PWS1" t="s">
        <v>11751</v>
      </c>
      <c r="PWT1" t="s">
        <v>11752</v>
      </c>
      <c r="PWU1" t="s">
        <v>11753</v>
      </c>
      <c r="PWV1" t="s">
        <v>11754</v>
      </c>
      <c r="PWW1" t="s">
        <v>11755</v>
      </c>
      <c r="PWX1" t="s">
        <v>11756</v>
      </c>
      <c r="PWY1" t="s">
        <v>11757</v>
      </c>
      <c r="PWZ1" t="s">
        <v>11758</v>
      </c>
      <c r="PXA1" t="s">
        <v>11759</v>
      </c>
      <c r="PXB1" t="s">
        <v>11760</v>
      </c>
      <c r="PXC1" t="s">
        <v>11761</v>
      </c>
      <c r="PXD1" t="s">
        <v>11762</v>
      </c>
      <c r="PXE1" t="s">
        <v>11763</v>
      </c>
      <c r="PXF1" t="s">
        <v>11764</v>
      </c>
      <c r="PXG1" t="s">
        <v>11765</v>
      </c>
      <c r="PXH1" t="s">
        <v>11766</v>
      </c>
      <c r="PXI1" t="s">
        <v>11767</v>
      </c>
      <c r="PXJ1" t="s">
        <v>11768</v>
      </c>
      <c r="PXK1" t="s">
        <v>11769</v>
      </c>
      <c r="PXL1" t="s">
        <v>11770</v>
      </c>
      <c r="PXM1" t="s">
        <v>11771</v>
      </c>
      <c r="PXN1" t="s">
        <v>11772</v>
      </c>
      <c r="PXO1" t="s">
        <v>11773</v>
      </c>
      <c r="PXP1" t="s">
        <v>11774</v>
      </c>
      <c r="PXQ1" t="s">
        <v>11775</v>
      </c>
      <c r="PXR1" t="s">
        <v>11776</v>
      </c>
      <c r="PXS1" t="s">
        <v>11777</v>
      </c>
      <c r="PXT1" t="s">
        <v>11778</v>
      </c>
      <c r="PXU1" t="s">
        <v>11779</v>
      </c>
      <c r="PXV1" t="s">
        <v>11780</v>
      </c>
      <c r="PXW1" t="s">
        <v>11781</v>
      </c>
      <c r="PXX1" t="s">
        <v>11782</v>
      </c>
      <c r="PXY1" t="s">
        <v>11783</v>
      </c>
      <c r="PXZ1" t="s">
        <v>11784</v>
      </c>
      <c r="PYA1" t="s">
        <v>11785</v>
      </c>
      <c r="PYB1" t="s">
        <v>11786</v>
      </c>
      <c r="PYC1" t="s">
        <v>11787</v>
      </c>
      <c r="PYD1" t="s">
        <v>11788</v>
      </c>
      <c r="PYE1" t="s">
        <v>11789</v>
      </c>
      <c r="PYF1" t="s">
        <v>11790</v>
      </c>
      <c r="PYG1" t="s">
        <v>11791</v>
      </c>
      <c r="PYH1" t="s">
        <v>11792</v>
      </c>
      <c r="PYI1" t="s">
        <v>11793</v>
      </c>
      <c r="PYJ1" t="s">
        <v>11794</v>
      </c>
      <c r="PYK1" t="s">
        <v>11795</v>
      </c>
      <c r="PYL1" t="s">
        <v>11796</v>
      </c>
      <c r="PYM1" t="s">
        <v>11797</v>
      </c>
      <c r="PYN1" t="s">
        <v>11798</v>
      </c>
      <c r="PYO1" t="s">
        <v>11799</v>
      </c>
      <c r="PYP1" t="s">
        <v>11800</v>
      </c>
      <c r="PYQ1" t="s">
        <v>11801</v>
      </c>
      <c r="PYR1" t="s">
        <v>11802</v>
      </c>
      <c r="PYS1" t="s">
        <v>11803</v>
      </c>
      <c r="PYT1" t="s">
        <v>11804</v>
      </c>
      <c r="PYU1" t="s">
        <v>11805</v>
      </c>
      <c r="PYV1" t="s">
        <v>11806</v>
      </c>
      <c r="PYW1" t="s">
        <v>11807</v>
      </c>
      <c r="PYX1" t="s">
        <v>11808</v>
      </c>
      <c r="PYY1" t="s">
        <v>11809</v>
      </c>
      <c r="PYZ1" t="s">
        <v>11810</v>
      </c>
      <c r="PZA1" t="s">
        <v>11811</v>
      </c>
      <c r="PZB1" t="s">
        <v>11812</v>
      </c>
      <c r="PZC1" t="s">
        <v>11813</v>
      </c>
      <c r="PZD1" t="s">
        <v>11814</v>
      </c>
      <c r="PZE1" t="s">
        <v>11815</v>
      </c>
      <c r="PZF1" t="s">
        <v>11816</v>
      </c>
      <c r="PZG1" t="s">
        <v>11817</v>
      </c>
      <c r="PZH1" t="s">
        <v>11818</v>
      </c>
      <c r="PZI1" t="s">
        <v>11819</v>
      </c>
      <c r="PZJ1" t="s">
        <v>11820</v>
      </c>
      <c r="PZK1" t="s">
        <v>11821</v>
      </c>
      <c r="PZL1" t="s">
        <v>11822</v>
      </c>
      <c r="PZM1" t="s">
        <v>11823</v>
      </c>
      <c r="PZN1" t="s">
        <v>11824</v>
      </c>
      <c r="PZO1" t="s">
        <v>11825</v>
      </c>
      <c r="PZP1" t="s">
        <v>11826</v>
      </c>
      <c r="PZQ1" t="s">
        <v>11827</v>
      </c>
      <c r="PZR1" t="s">
        <v>11828</v>
      </c>
      <c r="PZS1" t="s">
        <v>11829</v>
      </c>
      <c r="PZT1" t="s">
        <v>11830</v>
      </c>
      <c r="PZU1" t="s">
        <v>11831</v>
      </c>
      <c r="PZV1" t="s">
        <v>11832</v>
      </c>
      <c r="PZW1" t="s">
        <v>11833</v>
      </c>
      <c r="PZX1" t="s">
        <v>11834</v>
      </c>
      <c r="PZY1" t="s">
        <v>11835</v>
      </c>
      <c r="PZZ1" t="s">
        <v>11836</v>
      </c>
      <c r="QAA1" t="s">
        <v>11837</v>
      </c>
      <c r="QAB1" t="s">
        <v>11838</v>
      </c>
      <c r="QAC1" t="s">
        <v>11839</v>
      </c>
      <c r="QAD1" t="s">
        <v>11840</v>
      </c>
      <c r="QAE1" t="s">
        <v>11841</v>
      </c>
      <c r="QAF1" t="s">
        <v>11842</v>
      </c>
      <c r="QAG1" t="s">
        <v>11843</v>
      </c>
      <c r="QAH1" t="s">
        <v>11844</v>
      </c>
      <c r="QAI1" t="s">
        <v>11845</v>
      </c>
      <c r="QAJ1" t="s">
        <v>11846</v>
      </c>
      <c r="QAK1" t="s">
        <v>11847</v>
      </c>
      <c r="QAL1" t="s">
        <v>11848</v>
      </c>
      <c r="QAM1" t="s">
        <v>11849</v>
      </c>
      <c r="QAN1" t="s">
        <v>11850</v>
      </c>
      <c r="QAO1" t="s">
        <v>11851</v>
      </c>
      <c r="QAP1" t="s">
        <v>11852</v>
      </c>
      <c r="QAQ1" t="s">
        <v>11853</v>
      </c>
      <c r="QAR1" t="s">
        <v>11854</v>
      </c>
      <c r="QAS1" t="s">
        <v>11855</v>
      </c>
      <c r="QAT1" t="s">
        <v>11856</v>
      </c>
      <c r="QAU1" t="s">
        <v>11857</v>
      </c>
      <c r="QAV1" t="s">
        <v>11858</v>
      </c>
      <c r="QAW1" t="s">
        <v>11859</v>
      </c>
      <c r="QAX1" t="s">
        <v>11860</v>
      </c>
      <c r="QAY1" t="s">
        <v>11861</v>
      </c>
      <c r="QAZ1" t="s">
        <v>11862</v>
      </c>
      <c r="QBA1" t="s">
        <v>11863</v>
      </c>
      <c r="QBB1" t="s">
        <v>11864</v>
      </c>
      <c r="QBC1" t="s">
        <v>11865</v>
      </c>
      <c r="QBD1" t="s">
        <v>11866</v>
      </c>
      <c r="QBE1" t="s">
        <v>11867</v>
      </c>
      <c r="QBF1" t="s">
        <v>11868</v>
      </c>
      <c r="QBG1" t="s">
        <v>11869</v>
      </c>
      <c r="QBH1" t="s">
        <v>11870</v>
      </c>
      <c r="QBI1" t="s">
        <v>11871</v>
      </c>
      <c r="QBJ1" t="s">
        <v>11872</v>
      </c>
      <c r="QBK1" t="s">
        <v>11873</v>
      </c>
      <c r="QBL1" t="s">
        <v>11874</v>
      </c>
      <c r="QBM1" t="s">
        <v>11875</v>
      </c>
      <c r="QBN1" t="s">
        <v>11876</v>
      </c>
      <c r="QBO1" t="s">
        <v>11877</v>
      </c>
      <c r="QBP1" t="s">
        <v>11878</v>
      </c>
      <c r="QBQ1" t="s">
        <v>11879</v>
      </c>
      <c r="QBR1" t="s">
        <v>11880</v>
      </c>
      <c r="QBS1" t="s">
        <v>11881</v>
      </c>
      <c r="QBT1" t="s">
        <v>11882</v>
      </c>
      <c r="QBU1" t="s">
        <v>11883</v>
      </c>
      <c r="QBV1" t="s">
        <v>11884</v>
      </c>
      <c r="QBW1" t="s">
        <v>11885</v>
      </c>
      <c r="QBX1" t="s">
        <v>11886</v>
      </c>
      <c r="QBY1" t="s">
        <v>11887</v>
      </c>
      <c r="QBZ1" t="s">
        <v>11888</v>
      </c>
      <c r="QCA1" t="s">
        <v>11889</v>
      </c>
      <c r="QCB1" t="s">
        <v>11890</v>
      </c>
      <c r="QCC1" t="s">
        <v>11891</v>
      </c>
      <c r="QCD1" t="s">
        <v>11892</v>
      </c>
      <c r="QCE1" t="s">
        <v>11893</v>
      </c>
      <c r="QCF1" t="s">
        <v>11894</v>
      </c>
      <c r="QCG1" t="s">
        <v>11895</v>
      </c>
      <c r="QCH1" t="s">
        <v>11896</v>
      </c>
      <c r="QCI1" t="s">
        <v>11897</v>
      </c>
      <c r="QCJ1" t="s">
        <v>11898</v>
      </c>
      <c r="QCK1" t="s">
        <v>11899</v>
      </c>
      <c r="QCL1" t="s">
        <v>11900</v>
      </c>
      <c r="QCM1" t="s">
        <v>11901</v>
      </c>
      <c r="QCN1" t="s">
        <v>11902</v>
      </c>
      <c r="QCO1" t="s">
        <v>11903</v>
      </c>
      <c r="QCP1" t="s">
        <v>11904</v>
      </c>
      <c r="QCQ1" t="s">
        <v>11905</v>
      </c>
      <c r="QCR1" t="s">
        <v>11906</v>
      </c>
      <c r="QCS1" t="s">
        <v>11907</v>
      </c>
      <c r="QCT1" t="s">
        <v>11908</v>
      </c>
      <c r="QCU1" t="s">
        <v>11909</v>
      </c>
      <c r="QCV1" t="s">
        <v>11910</v>
      </c>
      <c r="QCW1" t="s">
        <v>11911</v>
      </c>
      <c r="QCX1" t="s">
        <v>11912</v>
      </c>
      <c r="QCY1" t="s">
        <v>11913</v>
      </c>
      <c r="QCZ1" t="s">
        <v>11914</v>
      </c>
      <c r="QDA1" t="s">
        <v>11915</v>
      </c>
      <c r="QDB1" t="s">
        <v>11916</v>
      </c>
      <c r="QDC1" t="s">
        <v>11917</v>
      </c>
      <c r="QDD1" t="s">
        <v>11918</v>
      </c>
      <c r="QDE1" t="s">
        <v>11919</v>
      </c>
      <c r="QDF1" t="s">
        <v>11920</v>
      </c>
      <c r="QDG1" t="s">
        <v>11921</v>
      </c>
      <c r="QDH1" t="s">
        <v>11922</v>
      </c>
      <c r="QDI1" t="s">
        <v>11923</v>
      </c>
      <c r="QDJ1" t="s">
        <v>11924</v>
      </c>
      <c r="QDK1" t="s">
        <v>11925</v>
      </c>
      <c r="QDL1" t="s">
        <v>11926</v>
      </c>
      <c r="QDM1" t="s">
        <v>11927</v>
      </c>
      <c r="QDN1" t="s">
        <v>11928</v>
      </c>
      <c r="QDO1" t="s">
        <v>11929</v>
      </c>
      <c r="QDP1" t="s">
        <v>11930</v>
      </c>
      <c r="QDQ1" t="s">
        <v>11931</v>
      </c>
      <c r="QDR1" t="s">
        <v>11932</v>
      </c>
      <c r="QDS1" t="s">
        <v>11933</v>
      </c>
      <c r="QDT1" t="s">
        <v>11934</v>
      </c>
      <c r="QDU1" t="s">
        <v>11935</v>
      </c>
      <c r="QDV1" t="s">
        <v>11936</v>
      </c>
      <c r="QDW1" t="s">
        <v>11937</v>
      </c>
      <c r="QDX1" t="s">
        <v>11938</v>
      </c>
      <c r="QDY1" t="s">
        <v>11939</v>
      </c>
      <c r="QDZ1" t="s">
        <v>11940</v>
      </c>
      <c r="QEA1" t="s">
        <v>11941</v>
      </c>
      <c r="QEB1" t="s">
        <v>11942</v>
      </c>
      <c r="QEC1" t="s">
        <v>11943</v>
      </c>
      <c r="QED1" t="s">
        <v>11944</v>
      </c>
      <c r="QEE1" t="s">
        <v>11945</v>
      </c>
      <c r="QEF1" t="s">
        <v>11946</v>
      </c>
      <c r="QEG1" t="s">
        <v>11947</v>
      </c>
      <c r="QEH1" t="s">
        <v>11948</v>
      </c>
      <c r="QEI1" t="s">
        <v>11949</v>
      </c>
      <c r="QEJ1" t="s">
        <v>11950</v>
      </c>
      <c r="QEK1" t="s">
        <v>11951</v>
      </c>
      <c r="QEL1" t="s">
        <v>11952</v>
      </c>
      <c r="QEM1" t="s">
        <v>11953</v>
      </c>
      <c r="QEN1" t="s">
        <v>11954</v>
      </c>
      <c r="QEO1" t="s">
        <v>11955</v>
      </c>
      <c r="QEP1" t="s">
        <v>11956</v>
      </c>
      <c r="QEQ1" t="s">
        <v>11957</v>
      </c>
      <c r="QER1" t="s">
        <v>11958</v>
      </c>
      <c r="QES1" t="s">
        <v>11959</v>
      </c>
      <c r="QET1" t="s">
        <v>11960</v>
      </c>
      <c r="QEU1" t="s">
        <v>11961</v>
      </c>
      <c r="QEV1" t="s">
        <v>11962</v>
      </c>
      <c r="QEW1" t="s">
        <v>11963</v>
      </c>
      <c r="QEX1" t="s">
        <v>11964</v>
      </c>
      <c r="QEY1" t="s">
        <v>11965</v>
      </c>
      <c r="QEZ1" t="s">
        <v>11966</v>
      </c>
      <c r="QFA1" t="s">
        <v>11967</v>
      </c>
      <c r="QFB1" t="s">
        <v>11968</v>
      </c>
      <c r="QFC1" t="s">
        <v>11969</v>
      </c>
      <c r="QFD1" t="s">
        <v>11970</v>
      </c>
      <c r="QFE1" t="s">
        <v>11971</v>
      </c>
      <c r="QFF1" t="s">
        <v>11972</v>
      </c>
      <c r="QFG1" t="s">
        <v>11973</v>
      </c>
      <c r="QFH1" t="s">
        <v>11974</v>
      </c>
      <c r="QFI1" t="s">
        <v>11975</v>
      </c>
      <c r="QFJ1" t="s">
        <v>11976</v>
      </c>
      <c r="QFK1" t="s">
        <v>11977</v>
      </c>
      <c r="QFL1" t="s">
        <v>11978</v>
      </c>
      <c r="QFM1" t="s">
        <v>11979</v>
      </c>
      <c r="QFN1" t="s">
        <v>11980</v>
      </c>
      <c r="QFO1" t="s">
        <v>11981</v>
      </c>
      <c r="QFP1" t="s">
        <v>11982</v>
      </c>
      <c r="QFQ1" t="s">
        <v>11983</v>
      </c>
      <c r="QFR1" t="s">
        <v>11984</v>
      </c>
      <c r="QFS1" t="s">
        <v>11985</v>
      </c>
      <c r="QFT1" t="s">
        <v>11986</v>
      </c>
      <c r="QFU1" t="s">
        <v>11987</v>
      </c>
      <c r="QFV1" t="s">
        <v>11988</v>
      </c>
      <c r="QFW1" t="s">
        <v>11989</v>
      </c>
      <c r="QFX1" t="s">
        <v>11990</v>
      </c>
      <c r="QFY1" t="s">
        <v>11991</v>
      </c>
      <c r="QFZ1" t="s">
        <v>11992</v>
      </c>
      <c r="QGA1" t="s">
        <v>11993</v>
      </c>
      <c r="QGB1" t="s">
        <v>11994</v>
      </c>
      <c r="QGC1" t="s">
        <v>11995</v>
      </c>
      <c r="QGD1" t="s">
        <v>11996</v>
      </c>
      <c r="QGE1" t="s">
        <v>11997</v>
      </c>
      <c r="QGF1" t="s">
        <v>11998</v>
      </c>
      <c r="QGG1" t="s">
        <v>11999</v>
      </c>
      <c r="QGH1" t="s">
        <v>12000</v>
      </c>
      <c r="QGI1" t="s">
        <v>12001</v>
      </c>
      <c r="QGJ1" t="s">
        <v>12002</v>
      </c>
      <c r="QGK1" t="s">
        <v>12003</v>
      </c>
      <c r="QGL1" t="s">
        <v>12004</v>
      </c>
      <c r="QGM1" t="s">
        <v>12005</v>
      </c>
      <c r="QGN1" t="s">
        <v>12006</v>
      </c>
      <c r="QGO1" t="s">
        <v>12007</v>
      </c>
      <c r="QGP1" t="s">
        <v>12008</v>
      </c>
      <c r="QGQ1" t="s">
        <v>12009</v>
      </c>
      <c r="QGR1" t="s">
        <v>12010</v>
      </c>
      <c r="QGS1" t="s">
        <v>12011</v>
      </c>
      <c r="QGT1" t="s">
        <v>12012</v>
      </c>
      <c r="QGU1" t="s">
        <v>12013</v>
      </c>
      <c r="QGV1" t="s">
        <v>12014</v>
      </c>
      <c r="QGW1" t="s">
        <v>12015</v>
      </c>
      <c r="QGX1" t="s">
        <v>12016</v>
      </c>
      <c r="QGY1" t="s">
        <v>12017</v>
      </c>
      <c r="QGZ1" t="s">
        <v>12018</v>
      </c>
      <c r="QHA1" t="s">
        <v>12019</v>
      </c>
      <c r="QHB1" t="s">
        <v>12020</v>
      </c>
      <c r="QHC1" t="s">
        <v>12021</v>
      </c>
      <c r="QHD1" t="s">
        <v>12022</v>
      </c>
      <c r="QHE1" t="s">
        <v>12023</v>
      </c>
      <c r="QHF1" t="s">
        <v>12024</v>
      </c>
      <c r="QHG1" t="s">
        <v>12025</v>
      </c>
      <c r="QHH1" t="s">
        <v>12026</v>
      </c>
      <c r="QHI1" t="s">
        <v>12027</v>
      </c>
      <c r="QHJ1" t="s">
        <v>12028</v>
      </c>
      <c r="QHK1" t="s">
        <v>12029</v>
      </c>
      <c r="QHL1" t="s">
        <v>12030</v>
      </c>
      <c r="QHM1" t="s">
        <v>12031</v>
      </c>
      <c r="QHN1" t="s">
        <v>12032</v>
      </c>
      <c r="QHO1" t="s">
        <v>12033</v>
      </c>
      <c r="QHP1" t="s">
        <v>12034</v>
      </c>
      <c r="QHQ1" t="s">
        <v>12035</v>
      </c>
      <c r="QHR1" t="s">
        <v>12036</v>
      </c>
      <c r="QHS1" t="s">
        <v>12037</v>
      </c>
      <c r="QHT1" t="s">
        <v>12038</v>
      </c>
      <c r="QHU1" t="s">
        <v>12039</v>
      </c>
      <c r="QHV1" t="s">
        <v>12040</v>
      </c>
      <c r="QHW1" t="s">
        <v>12041</v>
      </c>
      <c r="QHX1" t="s">
        <v>12042</v>
      </c>
      <c r="QHY1" t="s">
        <v>12043</v>
      </c>
      <c r="QHZ1" t="s">
        <v>12044</v>
      </c>
      <c r="QIA1" t="s">
        <v>12045</v>
      </c>
      <c r="QIB1" t="s">
        <v>12046</v>
      </c>
      <c r="QIC1" t="s">
        <v>12047</v>
      </c>
      <c r="QID1" t="s">
        <v>12048</v>
      </c>
      <c r="QIE1" t="s">
        <v>12049</v>
      </c>
      <c r="QIF1" t="s">
        <v>12050</v>
      </c>
      <c r="QIG1" t="s">
        <v>12051</v>
      </c>
      <c r="QIH1" t="s">
        <v>12052</v>
      </c>
      <c r="QII1" t="s">
        <v>12053</v>
      </c>
      <c r="QIJ1" t="s">
        <v>12054</v>
      </c>
      <c r="QIK1" t="s">
        <v>12055</v>
      </c>
      <c r="QIL1" t="s">
        <v>12056</v>
      </c>
      <c r="QIM1" t="s">
        <v>12057</v>
      </c>
      <c r="QIN1" t="s">
        <v>12058</v>
      </c>
      <c r="QIO1" t="s">
        <v>12059</v>
      </c>
      <c r="QIP1" t="s">
        <v>12060</v>
      </c>
      <c r="QIQ1" t="s">
        <v>12061</v>
      </c>
      <c r="QIR1" t="s">
        <v>12062</v>
      </c>
      <c r="QIS1" t="s">
        <v>12063</v>
      </c>
      <c r="QIT1" t="s">
        <v>12064</v>
      </c>
      <c r="QIU1" t="s">
        <v>12065</v>
      </c>
      <c r="QIV1" t="s">
        <v>12066</v>
      </c>
      <c r="QIW1" t="s">
        <v>12067</v>
      </c>
      <c r="QIX1" t="s">
        <v>12068</v>
      </c>
      <c r="QIY1" t="s">
        <v>12069</v>
      </c>
      <c r="QIZ1" t="s">
        <v>12070</v>
      </c>
      <c r="QJA1" t="s">
        <v>12071</v>
      </c>
      <c r="QJB1" t="s">
        <v>12072</v>
      </c>
      <c r="QJC1" t="s">
        <v>12073</v>
      </c>
      <c r="QJD1" t="s">
        <v>12074</v>
      </c>
      <c r="QJE1" t="s">
        <v>12075</v>
      </c>
      <c r="QJF1" t="s">
        <v>12076</v>
      </c>
      <c r="QJG1" t="s">
        <v>12077</v>
      </c>
      <c r="QJH1" t="s">
        <v>12078</v>
      </c>
      <c r="QJI1" t="s">
        <v>12079</v>
      </c>
      <c r="QJJ1" t="s">
        <v>12080</v>
      </c>
      <c r="QJK1" t="s">
        <v>12081</v>
      </c>
      <c r="QJL1" t="s">
        <v>12082</v>
      </c>
      <c r="QJM1" t="s">
        <v>12083</v>
      </c>
      <c r="QJN1" t="s">
        <v>12084</v>
      </c>
      <c r="QJO1" t="s">
        <v>12085</v>
      </c>
      <c r="QJP1" t="s">
        <v>12086</v>
      </c>
      <c r="QJQ1" t="s">
        <v>12087</v>
      </c>
      <c r="QJR1" t="s">
        <v>12088</v>
      </c>
      <c r="QJS1" t="s">
        <v>12089</v>
      </c>
      <c r="QJT1" t="s">
        <v>12090</v>
      </c>
      <c r="QJU1" t="s">
        <v>12091</v>
      </c>
      <c r="QJV1" t="s">
        <v>12092</v>
      </c>
      <c r="QJW1" t="s">
        <v>12093</v>
      </c>
      <c r="QJX1" t="s">
        <v>12094</v>
      </c>
      <c r="QJY1" t="s">
        <v>12095</v>
      </c>
      <c r="QJZ1" t="s">
        <v>12096</v>
      </c>
      <c r="QKA1" t="s">
        <v>12097</v>
      </c>
      <c r="QKB1" t="s">
        <v>12098</v>
      </c>
      <c r="QKC1" t="s">
        <v>12099</v>
      </c>
      <c r="QKD1" t="s">
        <v>12100</v>
      </c>
      <c r="QKE1" t="s">
        <v>12101</v>
      </c>
      <c r="QKF1" t="s">
        <v>12102</v>
      </c>
      <c r="QKG1" t="s">
        <v>12103</v>
      </c>
      <c r="QKH1" t="s">
        <v>12104</v>
      </c>
      <c r="QKI1" t="s">
        <v>12105</v>
      </c>
      <c r="QKJ1" t="s">
        <v>12106</v>
      </c>
      <c r="QKK1" t="s">
        <v>12107</v>
      </c>
      <c r="QKL1" t="s">
        <v>12108</v>
      </c>
      <c r="QKM1" t="s">
        <v>12109</v>
      </c>
      <c r="QKN1" t="s">
        <v>12110</v>
      </c>
      <c r="QKO1" t="s">
        <v>12111</v>
      </c>
      <c r="QKP1" t="s">
        <v>12112</v>
      </c>
      <c r="QKQ1" t="s">
        <v>12113</v>
      </c>
      <c r="QKR1" t="s">
        <v>12114</v>
      </c>
      <c r="QKS1" t="s">
        <v>12115</v>
      </c>
      <c r="QKT1" t="s">
        <v>12116</v>
      </c>
      <c r="QKU1" t="s">
        <v>12117</v>
      </c>
      <c r="QKV1" t="s">
        <v>12118</v>
      </c>
      <c r="QKW1" t="s">
        <v>12119</v>
      </c>
      <c r="QKX1" t="s">
        <v>12120</v>
      </c>
      <c r="QKY1" t="s">
        <v>12121</v>
      </c>
      <c r="QKZ1" t="s">
        <v>12122</v>
      </c>
      <c r="QLA1" t="s">
        <v>12123</v>
      </c>
      <c r="QLB1" t="s">
        <v>12124</v>
      </c>
      <c r="QLC1" t="s">
        <v>12125</v>
      </c>
      <c r="QLD1" t="s">
        <v>12126</v>
      </c>
      <c r="QLE1" t="s">
        <v>12127</v>
      </c>
      <c r="QLF1" t="s">
        <v>12128</v>
      </c>
      <c r="QLG1" t="s">
        <v>12129</v>
      </c>
      <c r="QLH1" t="s">
        <v>12130</v>
      </c>
      <c r="QLI1" t="s">
        <v>12131</v>
      </c>
      <c r="QLJ1" t="s">
        <v>12132</v>
      </c>
      <c r="QLK1" t="s">
        <v>12133</v>
      </c>
      <c r="QLL1" t="s">
        <v>12134</v>
      </c>
      <c r="QLM1" t="s">
        <v>12135</v>
      </c>
      <c r="QLN1" t="s">
        <v>12136</v>
      </c>
      <c r="QLO1" t="s">
        <v>12137</v>
      </c>
      <c r="QLP1" t="s">
        <v>12138</v>
      </c>
      <c r="QLQ1" t="s">
        <v>12139</v>
      </c>
      <c r="QLR1" t="s">
        <v>12140</v>
      </c>
      <c r="QLS1" t="s">
        <v>12141</v>
      </c>
      <c r="QLT1" t="s">
        <v>12142</v>
      </c>
      <c r="QLU1" t="s">
        <v>12143</v>
      </c>
      <c r="QLV1" t="s">
        <v>12144</v>
      </c>
      <c r="QLW1" t="s">
        <v>12145</v>
      </c>
      <c r="QLX1" t="s">
        <v>12146</v>
      </c>
      <c r="QLY1" t="s">
        <v>12147</v>
      </c>
      <c r="QLZ1" t="s">
        <v>12148</v>
      </c>
      <c r="QMA1" t="s">
        <v>12149</v>
      </c>
      <c r="QMB1" t="s">
        <v>12150</v>
      </c>
      <c r="QMC1" t="s">
        <v>12151</v>
      </c>
      <c r="QMD1" t="s">
        <v>12152</v>
      </c>
      <c r="QME1" t="s">
        <v>12153</v>
      </c>
      <c r="QMF1" t="s">
        <v>12154</v>
      </c>
      <c r="QMG1" t="s">
        <v>12155</v>
      </c>
      <c r="QMH1" t="s">
        <v>12156</v>
      </c>
      <c r="QMI1" t="s">
        <v>12157</v>
      </c>
      <c r="QMJ1" t="s">
        <v>12158</v>
      </c>
      <c r="QMK1" t="s">
        <v>12159</v>
      </c>
      <c r="QML1" t="s">
        <v>12160</v>
      </c>
      <c r="QMM1" t="s">
        <v>12161</v>
      </c>
      <c r="QMN1" t="s">
        <v>12162</v>
      </c>
      <c r="QMO1" t="s">
        <v>12163</v>
      </c>
      <c r="QMP1" t="s">
        <v>12164</v>
      </c>
      <c r="QMQ1" t="s">
        <v>12165</v>
      </c>
      <c r="QMR1" t="s">
        <v>12166</v>
      </c>
      <c r="QMS1" t="s">
        <v>12167</v>
      </c>
      <c r="QMT1" t="s">
        <v>12168</v>
      </c>
      <c r="QMU1" t="s">
        <v>12169</v>
      </c>
      <c r="QMV1" t="s">
        <v>12170</v>
      </c>
      <c r="QMW1" t="s">
        <v>12171</v>
      </c>
      <c r="QMX1" t="s">
        <v>12172</v>
      </c>
      <c r="QMY1" t="s">
        <v>12173</v>
      </c>
      <c r="QMZ1" t="s">
        <v>12174</v>
      </c>
      <c r="QNA1" t="s">
        <v>12175</v>
      </c>
      <c r="QNB1" t="s">
        <v>12176</v>
      </c>
      <c r="QNC1" t="s">
        <v>12177</v>
      </c>
      <c r="QND1" t="s">
        <v>12178</v>
      </c>
      <c r="QNE1" t="s">
        <v>12179</v>
      </c>
      <c r="QNF1" t="s">
        <v>12180</v>
      </c>
      <c r="QNG1" t="s">
        <v>12181</v>
      </c>
      <c r="QNH1" t="s">
        <v>12182</v>
      </c>
      <c r="QNI1" t="s">
        <v>12183</v>
      </c>
      <c r="QNJ1" t="s">
        <v>12184</v>
      </c>
      <c r="QNK1" t="s">
        <v>12185</v>
      </c>
      <c r="QNL1" t="s">
        <v>12186</v>
      </c>
      <c r="QNM1" t="s">
        <v>12187</v>
      </c>
      <c r="QNN1" t="s">
        <v>12188</v>
      </c>
      <c r="QNO1" t="s">
        <v>12189</v>
      </c>
      <c r="QNP1" t="s">
        <v>12190</v>
      </c>
      <c r="QNQ1" t="s">
        <v>12191</v>
      </c>
      <c r="QNR1" t="s">
        <v>12192</v>
      </c>
      <c r="QNS1" t="s">
        <v>12193</v>
      </c>
      <c r="QNT1" t="s">
        <v>12194</v>
      </c>
      <c r="QNU1" t="s">
        <v>12195</v>
      </c>
      <c r="QNV1" t="s">
        <v>12196</v>
      </c>
      <c r="QNW1" t="s">
        <v>12197</v>
      </c>
      <c r="QNX1" t="s">
        <v>12198</v>
      </c>
      <c r="QNY1" t="s">
        <v>12199</v>
      </c>
      <c r="QNZ1" t="s">
        <v>12200</v>
      </c>
      <c r="QOA1" t="s">
        <v>12201</v>
      </c>
      <c r="QOB1" t="s">
        <v>12202</v>
      </c>
      <c r="QOC1" t="s">
        <v>12203</v>
      </c>
      <c r="QOD1" t="s">
        <v>12204</v>
      </c>
      <c r="QOE1" t="s">
        <v>12205</v>
      </c>
      <c r="QOF1" t="s">
        <v>12206</v>
      </c>
      <c r="QOG1" t="s">
        <v>12207</v>
      </c>
      <c r="QOH1" t="s">
        <v>12208</v>
      </c>
      <c r="QOI1" t="s">
        <v>12209</v>
      </c>
      <c r="QOJ1" t="s">
        <v>12210</v>
      </c>
      <c r="QOK1" t="s">
        <v>12211</v>
      </c>
      <c r="QOL1" t="s">
        <v>12212</v>
      </c>
      <c r="QOM1" t="s">
        <v>12213</v>
      </c>
      <c r="QON1" t="s">
        <v>12214</v>
      </c>
      <c r="QOO1" t="s">
        <v>12215</v>
      </c>
      <c r="QOP1" t="s">
        <v>12216</v>
      </c>
      <c r="QOQ1" t="s">
        <v>12217</v>
      </c>
      <c r="QOR1" t="s">
        <v>12218</v>
      </c>
      <c r="QOS1" t="s">
        <v>12219</v>
      </c>
      <c r="QOT1" t="s">
        <v>12220</v>
      </c>
      <c r="QOU1" t="s">
        <v>12221</v>
      </c>
      <c r="QOV1" t="s">
        <v>12222</v>
      </c>
      <c r="QOW1" t="s">
        <v>12223</v>
      </c>
      <c r="QOX1" t="s">
        <v>12224</v>
      </c>
      <c r="QOY1" t="s">
        <v>12225</v>
      </c>
      <c r="QOZ1" t="s">
        <v>12226</v>
      </c>
      <c r="QPA1" t="s">
        <v>12227</v>
      </c>
      <c r="QPB1" t="s">
        <v>12228</v>
      </c>
      <c r="QPC1" t="s">
        <v>12229</v>
      </c>
      <c r="QPD1" t="s">
        <v>12230</v>
      </c>
      <c r="QPE1" t="s">
        <v>12231</v>
      </c>
      <c r="QPF1" t="s">
        <v>12232</v>
      </c>
      <c r="QPG1" t="s">
        <v>12233</v>
      </c>
      <c r="QPH1" t="s">
        <v>12234</v>
      </c>
      <c r="QPI1" t="s">
        <v>12235</v>
      </c>
      <c r="QPJ1" t="s">
        <v>12236</v>
      </c>
      <c r="QPK1" t="s">
        <v>12237</v>
      </c>
      <c r="QPL1" t="s">
        <v>12238</v>
      </c>
      <c r="QPM1" t="s">
        <v>12239</v>
      </c>
      <c r="QPN1" t="s">
        <v>12240</v>
      </c>
      <c r="QPO1" t="s">
        <v>12241</v>
      </c>
      <c r="QPP1" t="s">
        <v>12242</v>
      </c>
      <c r="QPQ1" t="s">
        <v>12243</v>
      </c>
      <c r="QPR1" t="s">
        <v>12244</v>
      </c>
      <c r="QPS1" t="s">
        <v>12245</v>
      </c>
      <c r="QPT1" t="s">
        <v>12246</v>
      </c>
      <c r="QPU1" t="s">
        <v>12247</v>
      </c>
      <c r="QPV1" t="s">
        <v>12248</v>
      </c>
      <c r="QPW1" t="s">
        <v>12249</v>
      </c>
      <c r="QPX1" t="s">
        <v>12250</v>
      </c>
      <c r="QPY1" t="s">
        <v>12251</v>
      </c>
      <c r="QPZ1" t="s">
        <v>12252</v>
      </c>
      <c r="QQA1" t="s">
        <v>12253</v>
      </c>
      <c r="QQB1" t="s">
        <v>12254</v>
      </c>
      <c r="QQC1" t="s">
        <v>12255</v>
      </c>
      <c r="QQD1" t="s">
        <v>12256</v>
      </c>
      <c r="QQE1" t="s">
        <v>12257</v>
      </c>
      <c r="QQF1" t="s">
        <v>12258</v>
      </c>
      <c r="QQG1" t="s">
        <v>12259</v>
      </c>
      <c r="QQH1" t="s">
        <v>12260</v>
      </c>
      <c r="QQI1" t="s">
        <v>12261</v>
      </c>
      <c r="QQJ1" t="s">
        <v>12262</v>
      </c>
      <c r="QQK1" t="s">
        <v>12263</v>
      </c>
      <c r="QQL1" t="s">
        <v>12264</v>
      </c>
      <c r="QQM1" t="s">
        <v>12265</v>
      </c>
      <c r="QQN1" t="s">
        <v>12266</v>
      </c>
      <c r="QQO1" t="s">
        <v>12267</v>
      </c>
      <c r="QQP1" t="s">
        <v>12268</v>
      </c>
      <c r="QQQ1" t="s">
        <v>12269</v>
      </c>
      <c r="QQR1" t="s">
        <v>12270</v>
      </c>
      <c r="QQS1" t="s">
        <v>12271</v>
      </c>
      <c r="QQT1" t="s">
        <v>12272</v>
      </c>
      <c r="QQU1" t="s">
        <v>12273</v>
      </c>
      <c r="QQV1" t="s">
        <v>12274</v>
      </c>
      <c r="QQW1" t="s">
        <v>12275</v>
      </c>
      <c r="QQX1" t="s">
        <v>12276</v>
      </c>
      <c r="QQY1" t="s">
        <v>12277</v>
      </c>
      <c r="QQZ1" t="s">
        <v>12278</v>
      </c>
      <c r="QRA1" t="s">
        <v>12279</v>
      </c>
      <c r="QRB1" t="s">
        <v>12280</v>
      </c>
      <c r="QRC1" t="s">
        <v>12281</v>
      </c>
      <c r="QRD1" t="s">
        <v>12282</v>
      </c>
      <c r="QRE1" t="s">
        <v>12283</v>
      </c>
      <c r="QRF1" t="s">
        <v>12284</v>
      </c>
      <c r="QRG1" t="s">
        <v>12285</v>
      </c>
      <c r="QRH1" t="s">
        <v>12286</v>
      </c>
      <c r="QRI1" t="s">
        <v>12287</v>
      </c>
      <c r="QRJ1" t="s">
        <v>12288</v>
      </c>
      <c r="QRK1" t="s">
        <v>12289</v>
      </c>
      <c r="QRL1" t="s">
        <v>12290</v>
      </c>
      <c r="QRM1" t="s">
        <v>12291</v>
      </c>
      <c r="QRN1" t="s">
        <v>12292</v>
      </c>
      <c r="QRO1" t="s">
        <v>12293</v>
      </c>
      <c r="QRP1" t="s">
        <v>12294</v>
      </c>
      <c r="QRQ1" t="s">
        <v>12295</v>
      </c>
      <c r="QRR1" t="s">
        <v>12296</v>
      </c>
      <c r="QRS1" t="s">
        <v>12297</v>
      </c>
      <c r="QRT1" t="s">
        <v>12298</v>
      </c>
      <c r="QRU1" t="s">
        <v>12299</v>
      </c>
      <c r="QRV1" t="s">
        <v>12300</v>
      </c>
      <c r="QRW1" t="s">
        <v>12301</v>
      </c>
      <c r="QRX1" t="s">
        <v>12302</v>
      </c>
      <c r="QRY1" t="s">
        <v>12303</v>
      </c>
      <c r="QRZ1" t="s">
        <v>12304</v>
      </c>
      <c r="QSA1" t="s">
        <v>12305</v>
      </c>
      <c r="QSB1" t="s">
        <v>12306</v>
      </c>
      <c r="QSC1" t="s">
        <v>12307</v>
      </c>
      <c r="QSD1" t="s">
        <v>12308</v>
      </c>
      <c r="QSE1" t="s">
        <v>12309</v>
      </c>
      <c r="QSF1" t="s">
        <v>12310</v>
      </c>
      <c r="QSG1" t="s">
        <v>12311</v>
      </c>
      <c r="QSH1" t="s">
        <v>12312</v>
      </c>
      <c r="QSI1" t="s">
        <v>12313</v>
      </c>
      <c r="QSJ1" t="s">
        <v>12314</v>
      </c>
      <c r="QSK1" t="s">
        <v>12315</v>
      </c>
      <c r="QSL1" t="s">
        <v>12316</v>
      </c>
      <c r="QSM1" t="s">
        <v>12317</v>
      </c>
      <c r="QSN1" t="s">
        <v>12318</v>
      </c>
      <c r="QSO1" t="s">
        <v>12319</v>
      </c>
      <c r="QSP1" t="s">
        <v>12320</v>
      </c>
      <c r="QSQ1" t="s">
        <v>12321</v>
      </c>
      <c r="QSR1" t="s">
        <v>12322</v>
      </c>
      <c r="QSS1" t="s">
        <v>12323</v>
      </c>
      <c r="QST1" t="s">
        <v>12324</v>
      </c>
      <c r="QSU1" t="s">
        <v>12325</v>
      </c>
      <c r="QSV1" t="s">
        <v>12326</v>
      </c>
      <c r="QSW1" t="s">
        <v>12327</v>
      </c>
      <c r="QSX1" t="s">
        <v>12328</v>
      </c>
      <c r="QSY1" t="s">
        <v>12329</v>
      </c>
      <c r="QSZ1" t="s">
        <v>12330</v>
      </c>
      <c r="QTA1" t="s">
        <v>12331</v>
      </c>
      <c r="QTB1" t="s">
        <v>12332</v>
      </c>
      <c r="QTC1" t="s">
        <v>12333</v>
      </c>
      <c r="QTD1" t="s">
        <v>12334</v>
      </c>
      <c r="QTE1" t="s">
        <v>12335</v>
      </c>
      <c r="QTF1" t="s">
        <v>12336</v>
      </c>
      <c r="QTG1" t="s">
        <v>12337</v>
      </c>
      <c r="QTH1" t="s">
        <v>12338</v>
      </c>
      <c r="QTI1" t="s">
        <v>12339</v>
      </c>
      <c r="QTJ1" t="s">
        <v>12340</v>
      </c>
      <c r="QTK1" t="s">
        <v>12341</v>
      </c>
      <c r="QTL1" t="s">
        <v>12342</v>
      </c>
      <c r="QTM1" t="s">
        <v>12343</v>
      </c>
      <c r="QTN1" t="s">
        <v>12344</v>
      </c>
      <c r="QTO1" t="s">
        <v>12345</v>
      </c>
      <c r="QTP1" t="s">
        <v>12346</v>
      </c>
      <c r="QTQ1" t="s">
        <v>12347</v>
      </c>
      <c r="QTR1" t="s">
        <v>12348</v>
      </c>
      <c r="QTS1" t="s">
        <v>12349</v>
      </c>
      <c r="QTT1" t="s">
        <v>12350</v>
      </c>
      <c r="QTU1" t="s">
        <v>12351</v>
      </c>
      <c r="QTV1" t="s">
        <v>12352</v>
      </c>
      <c r="QTW1" t="s">
        <v>12353</v>
      </c>
      <c r="QTX1" t="s">
        <v>12354</v>
      </c>
      <c r="QTY1" t="s">
        <v>12355</v>
      </c>
      <c r="QTZ1" t="s">
        <v>12356</v>
      </c>
      <c r="QUA1" t="s">
        <v>12357</v>
      </c>
      <c r="QUB1" t="s">
        <v>12358</v>
      </c>
      <c r="QUC1" t="s">
        <v>12359</v>
      </c>
      <c r="QUD1" t="s">
        <v>12360</v>
      </c>
      <c r="QUE1" t="s">
        <v>12361</v>
      </c>
      <c r="QUF1" t="s">
        <v>12362</v>
      </c>
      <c r="QUG1" t="s">
        <v>12363</v>
      </c>
      <c r="QUH1" t="s">
        <v>12364</v>
      </c>
      <c r="QUI1" t="s">
        <v>12365</v>
      </c>
      <c r="QUJ1" t="s">
        <v>12366</v>
      </c>
      <c r="QUK1" t="s">
        <v>12367</v>
      </c>
      <c r="QUL1" t="s">
        <v>12368</v>
      </c>
      <c r="QUM1" t="s">
        <v>12369</v>
      </c>
      <c r="QUN1" t="s">
        <v>12370</v>
      </c>
      <c r="QUO1" t="s">
        <v>12371</v>
      </c>
      <c r="QUP1" t="s">
        <v>12372</v>
      </c>
      <c r="QUQ1" t="s">
        <v>12373</v>
      </c>
      <c r="QUR1" t="s">
        <v>12374</v>
      </c>
      <c r="QUS1" t="s">
        <v>12375</v>
      </c>
      <c r="QUT1" t="s">
        <v>12376</v>
      </c>
      <c r="QUU1" t="s">
        <v>12377</v>
      </c>
      <c r="QUV1" t="s">
        <v>12378</v>
      </c>
      <c r="QUW1" t="s">
        <v>12379</v>
      </c>
      <c r="QUX1" t="s">
        <v>12380</v>
      </c>
      <c r="QUY1" t="s">
        <v>12381</v>
      </c>
      <c r="QUZ1" t="s">
        <v>12382</v>
      </c>
      <c r="QVA1" t="s">
        <v>12383</v>
      </c>
      <c r="QVB1" t="s">
        <v>12384</v>
      </c>
      <c r="QVC1" t="s">
        <v>12385</v>
      </c>
      <c r="QVD1" t="s">
        <v>12386</v>
      </c>
      <c r="QVE1" t="s">
        <v>12387</v>
      </c>
      <c r="QVF1" t="s">
        <v>12388</v>
      </c>
      <c r="QVG1" t="s">
        <v>12389</v>
      </c>
      <c r="QVH1" t="s">
        <v>12390</v>
      </c>
      <c r="QVI1" t="s">
        <v>12391</v>
      </c>
      <c r="QVJ1" t="s">
        <v>12392</v>
      </c>
      <c r="QVK1" t="s">
        <v>12393</v>
      </c>
      <c r="QVL1" t="s">
        <v>12394</v>
      </c>
      <c r="QVM1" t="s">
        <v>12395</v>
      </c>
      <c r="QVN1" t="s">
        <v>12396</v>
      </c>
      <c r="QVO1" t="s">
        <v>12397</v>
      </c>
      <c r="QVP1" t="s">
        <v>12398</v>
      </c>
      <c r="QVQ1" t="s">
        <v>12399</v>
      </c>
      <c r="QVR1" t="s">
        <v>12400</v>
      </c>
      <c r="QVS1" t="s">
        <v>12401</v>
      </c>
      <c r="QVT1" t="s">
        <v>12402</v>
      </c>
      <c r="QVU1" t="s">
        <v>12403</v>
      </c>
      <c r="QVV1" t="s">
        <v>12404</v>
      </c>
      <c r="QVW1" t="s">
        <v>12405</v>
      </c>
      <c r="QVX1" t="s">
        <v>12406</v>
      </c>
      <c r="QVY1" t="s">
        <v>12407</v>
      </c>
      <c r="QVZ1" t="s">
        <v>12408</v>
      </c>
      <c r="QWA1" t="s">
        <v>12409</v>
      </c>
      <c r="QWB1" t="s">
        <v>12410</v>
      </c>
      <c r="QWC1" t="s">
        <v>12411</v>
      </c>
      <c r="QWD1" t="s">
        <v>12412</v>
      </c>
      <c r="QWE1" t="s">
        <v>12413</v>
      </c>
      <c r="QWF1" t="s">
        <v>12414</v>
      </c>
      <c r="QWG1" t="s">
        <v>12415</v>
      </c>
      <c r="QWH1" t="s">
        <v>12416</v>
      </c>
      <c r="QWI1" t="s">
        <v>12417</v>
      </c>
      <c r="QWJ1" t="s">
        <v>12418</v>
      </c>
      <c r="QWK1" t="s">
        <v>12419</v>
      </c>
      <c r="QWL1" t="s">
        <v>12420</v>
      </c>
      <c r="QWM1" t="s">
        <v>12421</v>
      </c>
      <c r="QWN1" t="s">
        <v>12422</v>
      </c>
      <c r="QWO1" t="s">
        <v>12423</v>
      </c>
      <c r="QWP1" t="s">
        <v>12424</v>
      </c>
      <c r="QWQ1" t="s">
        <v>12425</v>
      </c>
      <c r="QWR1" t="s">
        <v>12426</v>
      </c>
      <c r="QWS1" t="s">
        <v>12427</v>
      </c>
      <c r="QWT1" t="s">
        <v>12428</v>
      </c>
      <c r="QWU1" t="s">
        <v>12429</v>
      </c>
      <c r="QWV1" t="s">
        <v>12430</v>
      </c>
      <c r="QWW1" t="s">
        <v>12431</v>
      </c>
      <c r="QWX1" t="s">
        <v>12432</v>
      </c>
      <c r="QWY1" t="s">
        <v>12433</v>
      </c>
      <c r="QWZ1" t="s">
        <v>12434</v>
      </c>
      <c r="QXA1" t="s">
        <v>12435</v>
      </c>
      <c r="QXB1" t="s">
        <v>12436</v>
      </c>
      <c r="QXC1" t="s">
        <v>12437</v>
      </c>
      <c r="QXD1" t="s">
        <v>12438</v>
      </c>
      <c r="QXE1" t="s">
        <v>12439</v>
      </c>
      <c r="QXF1" t="s">
        <v>12440</v>
      </c>
      <c r="QXG1" t="s">
        <v>12441</v>
      </c>
      <c r="QXH1" t="s">
        <v>12442</v>
      </c>
      <c r="QXI1" t="s">
        <v>12443</v>
      </c>
      <c r="QXJ1" t="s">
        <v>12444</v>
      </c>
      <c r="QXK1" t="s">
        <v>12445</v>
      </c>
      <c r="QXL1" t="s">
        <v>12446</v>
      </c>
      <c r="QXM1" t="s">
        <v>12447</v>
      </c>
      <c r="QXN1" t="s">
        <v>12448</v>
      </c>
      <c r="QXO1" t="s">
        <v>12449</v>
      </c>
      <c r="QXP1" t="s">
        <v>12450</v>
      </c>
      <c r="QXQ1" t="s">
        <v>12451</v>
      </c>
      <c r="QXR1" t="s">
        <v>12452</v>
      </c>
      <c r="QXS1" t="s">
        <v>12453</v>
      </c>
      <c r="QXT1" t="s">
        <v>12454</v>
      </c>
      <c r="QXU1" t="s">
        <v>12455</v>
      </c>
      <c r="QXV1" t="s">
        <v>12456</v>
      </c>
      <c r="QXW1" t="s">
        <v>12457</v>
      </c>
      <c r="QXX1" t="s">
        <v>12458</v>
      </c>
      <c r="QXY1" t="s">
        <v>12459</v>
      </c>
      <c r="QXZ1" t="s">
        <v>12460</v>
      </c>
      <c r="QYA1" t="s">
        <v>12461</v>
      </c>
      <c r="QYB1" t="s">
        <v>12462</v>
      </c>
      <c r="QYC1" t="s">
        <v>12463</v>
      </c>
      <c r="QYD1" t="s">
        <v>12464</v>
      </c>
      <c r="QYE1" t="s">
        <v>12465</v>
      </c>
      <c r="QYF1" t="s">
        <v>12466</v>
      </c>
      <c r="QYG1" t="s">
        <v>12467</v>
      </c>
      <c r="QYH1" t="s">
        <v>12468</v>
      </c>
      <c r="QYI1" t="s">
        <v>12469</v>
      </c>
      <c r="QYJ1" t="s">
        <v>12470</v>
      </c>
      <c r="QYK1" t="s">
        <v>12471</v>
      </c>
      <c r="QYL1" t="s">
        <v>12472</v>
      </c>
      <c r="QYM1" t="s">
        <v>12473</v>
      </c>
      <c r="QYN1" t="s">
        <v>12474</v>
      </c>
      <c r="QYO1" t="s">
        <v>12475</v>
      </c>
      <c r="QYP1" t="s">
        <v>12476</v>
      </c>
      <c r="QYQ1" t="s">
        <v>12477</v>
      </c>
      <c r="QYR1" t="s">
        <v>12478</v>
      </c>
      <c r="QYS1" t="s">
        <v>12479</v>
      </c>
      <c r="QYT1" t="s">
        <v>12480</v>
      </c>
      <c r="QYU1" t="s">
        <v>12481</v>
      </c>
      <c r="QYV1" t="s">
        <v>12482</v>
      </c>
      <c r="QYW1" t="s">
        <v>12483</v>
      </c>
      <c r="QYX1" t="s">
        <v>12484</v>
      </c>
      <c r="QYY1" t="s">
        <v>12485</v>
      </c>
      <c r="QYZ1" t="s">
        <v>12486</v>
      </c>
      <c r="QZA1" t="s">
        <v>12487</v>
      </c>
      <c r="QZB1" t="s">
        <v>12488</v>
      </c>
      <c r="QZC1" t="s">
        <v>12489</v>
      </c>
      <c r="QZD1" t="s">
        <v>12490</v>
      </c>
      <c r="QZE1" t="s">
        <v>12491</v>
      </c>
      <c r="QZF1" t="s">
        <v>12492</v>
      </c>
      <c r="QZG1" t="s">
        <v>12493</v>
      </c>
      <c r="QZH1" t="s">
        <v>12494</v>
      </c>
      <c r="QZI1" t="s">
        <v>12495</v>
      </c>
      <c r="QZJ1" t="s">
        <v>12496</v>
      </c>
      <c r="QZK1" t="s">
        <v>12497</v>
      </c>
      <c r="QZL1" t="s">
        <v>12498</v>
      </c>
      <c r="QZM1" t="s">
        <v>12499</v>
      </c>
      <c r="QZN1" t="s">
        <v>12500</v>
      </c>
      <c r="QZO1" t="s">
        <v>12501</v>
      </c>
      <c r="QZP1" t="s">
        <v>12502</v>
      </c>
      <c r="QZQ1" t="s">
        <v>12503</v>
      </c>
      <c r="QZR1" t="s">
        <v>12504</v>
      </c>
      <c r="QZS1" t="s">
        <v>12505</v>
      </c>
      <c r="QZT1" t="s">
        <v>12506</v>
      </c>
      <c r="QZU1" t="s">
        <v>12507</v>
      </c>
      <c r="QZV1" t="s">
        <v>12508</v>
      </c>
      <c r="QZW1" t="s">
        <v>12509</v>
      </c>
      <c r="QZX1" t="s">
        <v>12510</v>
      </c>
      <c r="QZY1" t="s">
        <v>12511</v>
      </c>
      <c r="QZZ1" t="s">
        <v>12512</v>
      </c>
      <c r="RAA1" t="s">
        <v>12513</v>
      </c>
      <c r="RAB1" t="s">
        <v>12514</v>
      </c>
      <c r="RAC1" t="s">
        <v>12515</v>
      </c>
      <c r="RAD1" t="s">
        <v>12516</v>
      </c>
      <c r="RAE1" t="s">
        <v>12517</v>
      </c>
      <c r="RAF1" t="s">
        <v>12518</v>
      </c>
      <c r="RAG1" t="s">
        <v>12519</v>
      </c>
      <c r="RAH1" t="s">
        <v>12520</v>
      </c>
      <c r="RAI1" t="s">
        <v>12521</v>
      </c>
      <c r="RAJ1" t="s">
        <v>12522</v>
      </c>
      <c r="RAK1" t="s">
        <v>12523</v>
      </c>
      <c r="RAL1" t="s">
        <v>12524</v>
      </c>
      <c r="RAM1" t="s">
        <v>12525</v>
      </c>
      <c r="RAN1" t="s">
        <v>12526</v>
      </c>
      <c r="RAO1" t="s">
        <v>12527</v>
      </c>
      <c r="RAP1" t="s">
        <v>12528</v>
      </c>
      <c r="RAQ1" t="s">
        <v>12529</v>
      </c>
      <c r="RAR1" t="s">
        <v>12530</v>
      </c>
      <c r="RAS1" t="s">
        <v>12531</v>
      </c>
      <c r="RAT1" t="s">
        <v>12532</v>
      </c>
      <c r="RAU1" t="s">
        <v>12533</v>
      </c>
      <c r="RAV1" t="s">
        <v>12534</v>
      </c>
      <c r="RAW1" t="s">
        <v>12535</v>
      </c>
      <c r="RAX1" t="s">
        <v>12536</v>
      </c>
      <c r="RAY1" t="s">
        <v>12537</v>
      </c>
      <c r="RAZ1" t="s">
        <v>12538</v>
      </c>
      <c r="RBA1" t="s">
        <v>12539</v>
      </c>
      <c r="RBB1" t="s">
        <v>12540</v>
      </c>
      <c r="RBC1" t="s">
        <v>12541</v>
      </c>
      <c r="RBD1" t="s">
        <v>12542</v>
      </c>
      <c r="RBE1" t="s">
        <v>12543</v>
      </c>
      <c r="RBF1" t="s">
        <v>12544</v>
      </c>
      <c r="RBG1" t="s">
        <v>12545</v>
      </c>
      <c r="RBH1" t="s">
        <v>12546</v>
      </c>
      <c r="RBI1" t="s">
        <v>12547</v>
      </c>
      <c r="RBJ1" t="s">
        <v>12548</v>
      </c>
      <c r="RBK1" t="s">
        <v>12549</v>
      </c>
      <c r="RBL1" t="s">
        <v>12550</v>
      </c>
      <c r="RBM1" t="s">
        <v>12551</v>
      </c>
      <c r="RBN1" t="s">
        <v>12552</v>
      </c>
      <c r="RBO1" t="s">
        <v>12553</v>
      </c>
      <c r="RBP1" t="s">
        <v>12554</v>
      </c>
      <c r="RBQ1" t="s">
        <v>12555</v>
      </c>
      <c r="RBR1" t="s">
        <v>12556</v>
      </c>
      <c r="RBS1" t="s">
        <v>12557</v>
      </c>
      <c r="RBT1" t="s">
        <v>12558</v>
      </c>
      <c r="RBU1" t="s">
        <v>12559</v>
      </c>
      <c r="RBV1" t="s">
        <v>12560</v>
      </c>
      <c r="RBW1" t="s">
        <v>12561</v>
      </c>
      <c r="RBX1" t="s">
        <v>12562</v>
      </c>
      <c r="RBY1" t="s">
        <v>12563</v>
      </c>
      <c r="RBZ1" t="s">
        <v>12564</v>
      </c>
      <c r="RCA1" t="s">
        <v>12565</v>
      </c>
      <c r="RCB1" t="s">
        <v>12566</v>
      </c>
      <c r="RCC1" t="s">
        <v>12567</v>
      </c>
      <c r="RCD1" t="s">
        <v>12568</v>
      </c>
      <c r="RCE1" t="s">
        <v>12569</v>
      </c>
      <c r="RCF1" t="s">
        <v>12570</v>
      </c>
      <c r="RCG1" t="s">
        <v>12571</v>
      </c>
      <c r="RCH1" t="s">
        <v>12572</v>
      </c>
      <c r="RCI1" t="s">
        <v>12573</v>
      </c>
      <c r="RCJ1" t="s">
        <v>12574</v>
      </c>
      <c r="RCK1" t="s">
        <v>12575</v>
      </c>
      <c r="RCL1" t="s">
        <v>12576</v>
      </c>
      <c r="RCM1" t="s">
        <v>12577</v>
      </c>
      <c r="RCN1" t="s">
        <v>12578</v>
      </c>
      <c r="RCO1" t="s">
        <v>12579</v>
      </c>
      <c r="RCP1" t="s">
        <v>12580</v>
      </c>
      <c r="RCQ1" t="s">
        <v>12581</v>
      </c>
      <c r="RCR1" t="s">
        <v>12582</v>
      </c>
      <c r="RCS1" t="s">
        <v>12583</v>
      </c>
      <c r="RCT1" t="s">
        <v>12584</v>
      </c>
      <c r="RCU1" t="s">
        <v>12585</v>
      </c>
      <c r="RCV1" t="s">
        <v>12586</v>
      </c>
      <c r="RCW1" t="s">
        <v>12587</v>
      </c>
      <c r="RCX1" t="s">
        <v>12588</v>
      </c>
      <c r="RCY1" t="s">
        <v>12589</v>
      </c>
      <c r="RCZ1" t="s">
        <v>12590</v>
      </c>
      <c r="RDA1" t="s">
        <v>12591</v>
      </c>
      <c r="RDB1" t="s">
        <v>12592</v>
      </c>
      <c r="RDC1" t="s">
        <v>12593</v>
      </c>
      <c r="RDD1" t="s">
        <v>12594</v>
      </c>
      <c r="RDE1" t="s">
        <v>12595</v>
      </c>
      <c r="RDF1" t="s">
        <v>12596</v>
      </c>
      <c r="RDG1" t="s">
        <v>12597</v>
      </c>
      <c r="RDH1" t="s">
        <v>12598</v>
      </c>
      <c r="RDI1" t="s">
        <v>12599</v>
      </c>
      <c r="RDJ1" t="s">
        <v>12600</v>
      </c>
      <c r="RDK1" t="s">
        <v>12601</v>
      </c>
      <c r="RDL1" t="s">
        <v>12602</v>
      </c>
      <c r="RDM1" t="s">
        <v>12603</v>
      </c>
      <c r="RDN1" t="s">
        <v>12604</v>
      </c>
      <c r="RDO1" t="s">
        <v>12605</v>
      </c>
      <c r="RDP1" t="s">
        <v>12606</v>
      </c>
      <c r="RDQ1" t="s">
        <v>12607</v>
      </c>
      <c r="RDR1" t="s">
        <v>12608</v>
      </c>
      <c r="RDS1" t="s">
        <v>12609</v>
      </c>
      <c r="RDT1" t="s">
        <v>12610</v>
      </c>
      <c r="RDU1" t="s">
        <v>12611</v>
      </c>
      <c r="RDV1" t="s">
        <v>12612</v>
      </c>
      <c r="RDW1" t="s">
        <v>12613</v>
      </c>
      <c r="RDX1" t="s">
        <v>12614</v>
      </c>
      <c r="RDY1" t="s">
        <v>12615</v>
      </c>
      <c r="RDZ1" t="s">
        <v>12616</v>
      </c>
      <c r="REA1" t="s">
        <v>12617</v>
      </c>
      <c r="REB1" t="s">
        <v>12618</v>
      </c>
      <c r="REC1" t="s">
        <v>12619</v>
      </c>
      <c r="RED1" t="s">
        <v>12620</v>
      </c>
      <c r="REE1" t="s">
        <v>12621</v>
      </c>
      <c r="REF1" t="s">
        <v>12622</v>
      </c>
      <c r="REG1" t="s">
        <v>12623</v>
      </c>
      <c r="REH1" t="s">
        <v>12624</v>
      </c>
      <c r="REI1" t="s">
        <v>12625</v>
      </c>
      <c r="REJ1" t="s">
        <v>12626</v>
      </c>
      <c r="REK1" t="s">
        <v>12627</v>
      </c>
      <c r="REL1" t="s">
        <v>12628</v>
      </c>
      <c r="REM1" t="s">
        <v>12629</v>
      </c>
      <c r="REN1" t="s">
        <v>12630</v>
      </c>
      <c r="REO1" t="s">
        <v>12631</v>
      </c>
      <c r="REP1" t="s">
        <v>12632</v>
      </c>
      <c r="REQ1" t="s">
        <v>12633</v>
      </c>
      <c r="RER1" t="s">
        <v>12634</v>
      </c>
      <c r="RES1" t="s">
        <v>12635</v>
      </c>
      <c r="RET1" t="s">
        <v>12636</v>
      </c>
      <c r="REU1" t="s">
        <v>12637</v>
      </c>
      <c r="REV1" t="s">
        <v>12638</v>
      </c>
      <c r="REW1" t="s">
        <v>12639</v>
      </c>
      <c r="REX1" t="s">
        <v>12640</v>
      </c>
      <c r="REY1" t="s">
        <v>12641</v>
      </c>
      <c r="REZ1" t="s">
        <v>12642</v>
      </c>
      <c r="RFA1" t="s">
        <v>12643</v>
      </c>
      <c r="RFB1" t="s">
        <v>12644</v>
      </c>
      <c r="RFC1" t="s">
        <v>12645</v>
      </c>
      <c r="RFD1" t="s">
        <v>12646</v>
      </c>
      <c r="RFE1" t="s">
        <v>12647</v>
      </c>
      <c r="RFF1" t="s">
        <v>12648</v>
      </c>
      <c r="RFG1" t="s">
        <v>12649</v>
      </c>
      <c r="RFH1" t="s">
        <v>12650</v>
      </c>
      <c r="RFI1" t="s">
        <v>12651</v>
      </c>
      <c r="RFJ1" t="s">
        <v>12652</v>
      </c>
      <c r="RFK1" t="s">
        <v>12653</v>
      </c>
      <c r="RFL1" t="s">
        <v>12654</v>
      </c>
      <c r="RFM1" t="s">
        <v>12655</v>
      </c>
      <c r="RFN1" t="s">
        <v>12656</v>
      </c>
      <c r="RFO1" t="s">
        <v>12657</v>
      </c>
      <c r="RFP1" t="s">
        <v>12658</v>
      </c>
      <c r="RFQ1" t="s">
        <v>12659</v>
      </c>
      <c r="RFR1" t="s">
        <v>12660</v>
      </c>
      <c r="RFS1" t="s">
        <v>12661</v>
      </c>
      <c r="RFT1" t="s">
        <v>12662</v>
      </c>
      <c r="RFU1" t="s">
        <v>12663</v>
      </c>
      <c r="RFV1" t="s">
        <v>12664</v>
      </c>
      <c r="RFW1" t="s">
        <v>12665</v>
      </c>
      <c r="RFX1" t="s">
        <v>12666</v>
      </c>
      <c r="RFY1" t="s">
        <v>12667</v>
      </c>
      <c r="RFZ1" t="s">
        <v>12668</v>
      </c>
      <c r="RGA1" t="s">
        <v>12669</v>
      </c>
      <c r="RGB1" t="s">
        <v>12670</v>
      </c>
      <c r="RGC1" t="s">
        <v>12671</v>
      </c>
      <c r="RGD1" t="s">
        <v>12672</v>
      </c>
      <c r="RGE1" t="s">
        <v>12673</v>
      </c>
      <c r="RGF1" t="s">
        <v>12674</v>
      </c>
      <c r="RGG1" t="s">
        <v>12675</v>
      </c>
      <c r="RGH1" t="s">
        <v>12676</v>
      </c>
      <c r="RGI1" t="s">
        <v>12677</v>
      </c>
      <c r="RGJ1" t="s">
        <v>12678</v>
      </c>
      <c r="RGK1" t="s">
        <v>12679</v>
      </c>
      <c r="RGL1" t="s">
        <v>12680</v>
      </c>
      <c r="RGM1" t="s">
        <v>12681</v>
      </c>
      <c r="RGN1" t="s">
        <v>12682</v>
      </c>
      <c r="RGO1" t="s">
        <v>12683</v>
      </c>
      <c r="RGP1" t="s">
        <v>12684</v>
      </c>
      <c r="RGQ1" t="s">
        <v>12685</v>
      </c>
      <c r="RGR1" t="s">
        <v>12686</v>
      </c>
      <c r="RGS1" t="s">
        <v>12687</v>
      </c>
      <c r="RGT1" t="s">
        <v>12688</v>
      </c>
      <c r="RGU1" t="s">
        <v>12689</v>
      </c>
      <c r="RGV1" t="s">
        <v>12690</v>
      </c>
      <c r="RGW1" t="s">
        <v>12691</v>
      </c>
      <c r="RGX1" t="s">
        <v>12692</v>
      </c>
      <c r="RGY1" t="s">
        <v>12693</v>
      </c>
      <c r="RGZ1" t="s">
        <v>12694</v>
      </c>
      <c r="RHA1" t="s">
        <v>12695</v>
      </c>
      <c r="RHB1" t="s">
        <v>12696</v>
      </c>
      <c r="RHC1" t="s">
        <v>12697</v>
      </c>
      <c r="RHD1" t="s">
        <v>12698</v>
      </c>
      <c r="RHE1" t="s">
        <v>12699</v>
      </c>
      <c r="RHF1" t="s">
        <v>12700</v>
      </c>
      <c r="RHG1" t="s">
        <v>12701</v>
      </c>
      <c r="RHH1" t="s">
        <v>12702</v>
      </c>
      <c r="RHI1" t="s">
        <v>12703</v>
      </c>
      <c r="RHJ1" t="s">
        <v>12704</v>
      </c>
      <c r="RHK1" t="s">
        <v>12705</v>
      </c>
      <c r="RHL1" t="s">
        <v>12706</v>
      </c>
      <c r="RHM1" t="s">
        <v>12707</v>
      </c>
      <c r="RHN1" t="s">
        <v>12708</v>
      </c>
      <c r="RHO1" t="s">
        <v>12709</v>
      </c>
      <c r="RHP1" t="s">
        <v>12710</v>
      </c>
      <c r="RHQ1" t="s">
        <v>12711</v>
      </c>
      <c r="RHR1" t="s">
        <v>12712</v>
      </c>
      <c r="RHS1" t="s">
        <v>12713</v>
      </c>
      <c r="RHT1" t="s">
        <v>12714</v>
      </c>
      <c r="RHU1" t="s">
        <v>12715</v>
      </c>
      <c r="RHV1" t="s">
        <v>12716</v>
      </c>
      <c r="RHW1" t="s">
        <v>12717</v>
      </c>
      <c r="RHX1" t="s">
        <v>12718</v>
      </c>
      <c r="RHY1" t="s">
        <v>12719</v>
      </c>
      <c r="RHZ1" t="s">
        <v>12720</v>
      </c>
      <c r="RIA1" t="s">
        <v>12721</v>
      </c>
      <c r="RIB1" t="s">
        <v>12722</v>
      </c>
      <c r="RIC1" t="s">
        <v>12723</v>
      </c>
      <c r="RID1" t="s">
        <v>12724</v>
      </c>
      <c r="RIE1" t="s">
        <v>12725</v>
      </c>
      <c r="RIF1" t="s">
        <v>12726</v>
      </c>
      <c r="RIG1" t="s">
        <v>12727</v>
      </c>
      <c r="RIH1" t="s">
        <v>12728</v>
      </c>
      <c r="RII1" t="s">
        <v>12729</v>
      </c>
      <c r="RIJ1" t="s">
        <v>12730</v>
      </c>
      <c r="RIK1" t="s">
        <v>12731</v>
      </c>
      <c r="RIL1" t="s">
        <v>12732</v>
      </c>
      <c r="RIM1" t="s">
        <v>12733</v>
      </c>
      <c r="RIN1" t="s">
        <v>12734</v>
      </c>
      <c r="RIO1" t="s">
        <v>12735</v>
      </c>
      <c r="RIP1" t="s">
        <v>12736</v>
      </c>
      <c r="RIQ1" t="s">
        <v>12737</v>
      </c>
      <c r="RIR1" t="s">
        <v>12738</v>
      </c>
      <c r="RIS1" t="s">
        <v>12739</v>
      </c>
      <c r="RIT1" t="s">
        <v>12740</v>
      </c>
      <c r="RIU1" t="s">
        <v>12741</v>
      </c>
      <c r="RIV1" t="s">
        <v>12742</v>
      </c>
      <c r="RIW1" t="s">
        <v>12743</v>
      </c>
      <c r="RIX1" t="s">
        <v>12744</v>
      </c>
      <c r="RIY1" t="s">
        <v>12745</v>
      </c>
      <c r="RIZ1" t="s">
        <v>12746</v>
      </c>
      <c r="RJA1" t="s">
        <v>12747</v>
      </c>
      <c r="RJB1" t="s">
        <v>12748</v>
      </c>
      <c r="RJC1" t="s">
        <v>12749</v>
      </c>
      <c r="RJD1" t="s">
        <v>12750</v>
      </c>
      <c r="RJE1" t="s">
        <v>12751</v>
      </c>
      <c r="RJF1" t="s">
        <v>12752</v>
      </c>
      <c r="RJG1" t="s">
        <v>12753</v>
      </c>
      <c r="RJH1" t="s">
        <v>12754</v>
      </c>
      <c r="RJI1" t="s">
        <v>12755</v>
      </c>
      <c r="RJJ1" t="s">
        <v>12756</v>
      </c>
      <c r="RJK1" t="s">
        <v>12757</v>
      </c>
      <c r="RJL1" t="s">
        <v>12758</v>
      </c>
      <c r="RJM1" t="s">
        <v>12759</v>
      </c>
      <c r="RJN1" t="s">
        <v>12760</v>
      </c>
      <c r="RJO1" t="s">
        <v>12761</v>
      </c>
      <c r="RJP1" t="s">
        <v>12762</v>
      </c>
      <c r="RJQ1" t="s">
        <v>12763</v>
      </c>
      <c r="RJR1" t="s">
        <v>12764</v>
      </c>
      <c r="RJS1" t="s">
        <v>12765</v>
      </c>
      <c r="RJT1" t="s">
        <v>12766</v>
      </c>
      <c r="RJU1" t="s">
        <v>12767</v>
      </c>
      <c r="RJV1" t="s">
        <v>12768</v>
      </c>
      <c r="RJW1" t="s">
        <v>12769</v>
      </c>
      <c r="RJX1" t="s">
        <v>12770</v>
      </c>
      <c r="RJY1" t="s">
        <v>12771</v>
      </c>
      <c r="RJZ1" t="s">
        <v>12772</v>
      </c>
      <c r="RKA1" t="s">
        <v>12773</v>
      </c>
      <c r="RKB1" t="s">
        <v>12774</v>
      </c>
      <c r="RKC1" t="s">
        <v>12775</v>
      </c>
      <c r="RKD1" t="s">
        <v>12776</v>
      </c>
      <c r="RKE1" t="s">
        <v>12777</v>
      </c>
      <c r="RKF1" t="s">
        <v>12778</v>
      </c>
      <c r="RKG1" t="s">
        <v>12779</v>
      </c>
      <c r="RKH1" t="s">
        <v>12780</v>
      </c>
      <c r="RKI1" t="s">
        <v>12781</v>
      </c>
      <c r="RKJ1" t="s">
        <v>12782</v>
      </c>
      <c r="RKK1" t="s">
        <v>12783</v>
      </c>
      <c r="RKL1" t="s">
        <v>12784</v>
      </c>
      <c r="RKM1" t="s">
        <v>12785</v>
      </c>
      <c r="RKN1" t="s">
        <v>12786</v>
      </c>
      <c r="RKO1" t="s">
        <v>12787</v>
      </c>
      <c r="RKP1" t="s">
        <v>12788</v>
      </c>
      <c r="RKQ1" t="s">
        <v>12789</v>
      </c>
      <c r="RKR1" t="s">
        <v>12790</v>
      </c>
      <c r="RKS1" t="s">
        <v>12791</v>
      </c>
      <c r="RKT1" t="s">
        <v>12792</v>
      </c>
      <c r="RKU1" t="s">
        <v>12793</v>
      </c>
      <c r="RKV1" t="s">
        <v>12794</v>
      </c>
      <c r="RKW1" t="s">
        <v>12795</v>
      </c>
      <c r="RKX1" t="s">
        <v>12796</v>
      </c>
      <c r="RKY1" t="s">
        <v>12797</v>
      </c>
      <c r="RKZ1" t="s">
        <v>12798</v>
      </c>
      <c r="RLA1" t="s">
        <v>12799</v>
      </c>
      <c r="RLB1" t="s">
        <v>12800</v>
      </c>
      <c r="RLC1" t="s">
        <v>12801</v>
      </c>
      <c r="RLD1" t="s">
        <v>12802</v>
      </c>
      <c r="RLE1" t="s">
        <v>12803</v>
      </c>
      <c r="RLF1" t="s">
        <v>12804</v>
      </c>
      <c r="RLG1" t="s">
        <v>12805</v>
      </c>
      <c r="RLH1" t="s">
        <v>12806</v>
      </c>
      <c r="RLI1" t="s">
        <v>12807</v>
      </c>
      <c r="RLJ1" t="s">
        <v>12808</v>
      </c>
      <c r="RLK1" t="s">
        <v>12809</v>
      </c>
      <c r="RLL1" t="s">
        <v>12810</v>
      </c>
      <c r="RLM1" t="s">
        <v>12811</v>
      </c>
      <c r="RLN1" t="s">
        <v>12812</v>
      </c>
      <c r="RLO1" t="s">
        <v>12813</v>
      </c>
      <c r="RLP1" t="s">
        <v>12814</v>
      </c>
      <c r="RLQ1" t="s">
        <v>12815</v>
      </c>
      <c r="RLR1" t="s">
        <v>12816</v>
      </c>
      <c r="RLS1" t="s">
        <v>12817</v>
      </c>
      <c r="RLT1" t="s">
        <v>12818</v>
      </c>
      <c r="RLU1" t="s">
        <v>12819</v>
      </c>
      <c r="RLV1" t="s">
        <v>12820</v>
      </c>
      <c r="RLW1" t="s">
        <v>12821</v>
      </c>
      <c r="RLX1" t="s">
        <v>12822</v>
      </c>
      <c r="RLY1" t="s">
        <v>12823</v>
      </c>
      <c r="RLZ1" t="s">
        <v>12824</v>
      </c>
      <c r="RMA1" t="s">
        <v>12825</v>
      </c>
      <c r="RMB1" t="s">
        <v>12826</v>
      </c>
      <c r="RMC1" t="s">
        <v>12827</v>
      </c>
      <c r="RMD1" t="s">
        <v>12828</v>
      </c>
      <c r="RME1" t="s">
        <v>12829</v>
      </c>
      <c r="RMF1" t="s">
        <v>12830</v>
      </c>
      <c r="RMG1" t="s">
        <v>12831</v>
      </c>
      <c r="RMH1" t="s">
        <v>12832</v>
      </c>
      <c r="RMI1" t="s">
        <v>12833</v>
      </c>
      <c r="RMJ1" t="s">
        <v>12834</v>
      </c>
      <c r="RMK1" t="s">
        <v>12835</v>
      </c>
      <c r="RML1" t="s">
        <v>12836</v>
      </c>
      <c r="RMM1" t="s">
        <v>12837</v>
      </c>
      <c r="RMN1" t="s">
        <v>12838</v>
      </c>
      <c r="RMO1" t="s">
        <v>12839</v>
      </c>
      <c r="RMP1" t="s">
        <v>12840</v>
      </c>
      <c r="RMQ1" t="s">
        <v>12841</v>
      </c>
      <c r="RMR1" t="s">
        <v>12842</v>
      </c>
      <c r="RMS1" t="s">
        <v>12843</v>
      </c>
      <c r="RMT1" t="s">
        <v>12844</v>
      </c>
      <c r="RMU1" t="s">
        <v>12845</v>
      </c>
      <c r="RMV1" t="s">
        <v>12846</v>
      </c>
      <c r="RMW1" t="s">
        <v>12847</v>
      </c>
      <c r="RMX1" t="s">
        <v>12848</v>
      </c>
      <c r="RMY1" t="s">
        <v>12849</v>
      </c>
      <c r="RMZ1" t="s">
        <v>12850</v>
      </c>
      <c r="RNA1" t="s">
        <v>12851</v>
      </c>
      <c r="RNB1" t="s">
        <v>12852</v>
      </c>
      <c r="RNC1" t="s">
        <v>12853</v>
      </c>
      <c r="RND1" t="s">
        <v>12854</v>
      </c>
      <c r="RNE1" t="s">
        <v>12855</v>
      </c>
      <c r="RNF1" t="s">
        <v>12856</v>
      </c>
      <c r="RNG1" t="s">
        <v>12857</v>
      </c>
      <c r="RNH1" t="s">
        <v>12858</v>
      </c>
      <c r="RNI1" t="s">
        <v>12859</v>
      </c>
      <c r="RNJ1" t="s">
        <v>12860</v>
      </c>
      <c r="RNK1" t="s">
        <v>12861</v>
      </c>
      <c r="RNL1" t="s">
        <v>12862</v>
      </c>
      <c r="RNM1" t="s">
        <v>12863</v>
      </c>
      <c r="RNN1" t="s">
        <v>12864</v>
      </c>
      <c r="RNO1" t="s">
        <v>12865</v>
      </c>
      <c r="RNP1" t="s">
        <v>12866</v>
      </c>
      <c r="RNQ1" t="s">
        <v>12867</v>
      </c>
      <c r="RNR1" t="s">
        <v>12868</v>
      </c>
      <c r="RNS1" t="s">
        <v>12869</v>
      </c>
      <c r="RNT1" t="s">
        <v>12870</v>
      </c>
      <c r="RNU1" t="s">
        <v>12871</v>
      </c>
      <c r="RNV1" t="s">
        <v>12872</v>
      </c>
      <c r="RNW1" t="s">
        <v>12873</v>
      </c>
      <c r="RNX1" t="s">
        <v>12874</v>
      </c>
      <c r="RNY1" t="s">
        <v>12875</v>
      </c>
      <c r="RNZ1" t="s">
        <v>12876</v>
      </c>
      <c r="ROA1" t="s">
        <v>12877</v>
      </c>
      <c r="ROB1" t="s">
        <v>12878</v>
      </c>
      <c r="ROC1" t="s">
        <v>12879</v>
      </c>
      <c r="ROD1" t="s">
        <v>12880</v>
      </c>
      <c r="ROE1" t="s">
        <v>12881</v>
      </c>
      <c r="ROF1" t="s">
        <v>12882</v>
      </c>
      <c r="ROG1" t="s">
        <v>12883</v>
      </c>
      <c r="ROH1" t="s">
        <v>12884</v>
      </c>
      <c r="ROI1" t="s">
        <v>12885</v>
      </c>
      <c r="ROJ1" t="s">
        <v>12886</v>
      </c>
      <c r="ROK1" t="s">
        <v>12887</v>
      </c>
      <c r="ROL1" t="s">
        <v>12888</v>
      </c>
      <c r="ROM1" t="s">
        <v>12889</v>
      </c>
      <c r="RON1" t="s">
        <v>12890</v>
      </c>
      <c r="ROO1" t="s">
        <v>12891</v>
      </c>
      <c r="ROP1" t="s">
        <v>12892</v>
      </c>
      <c r="ROQ1" t="s">
        <v>12893</v>
      </c>
      <c r="ROR1" t="s">
        <v>12894</v>
      </c>
      <c r="ROS1" t="s">
        <v>12895</v>
      </c>
      <c r="ROT1" t="s">
        <v>12896</v>
      </c>
      <c r="ROU1" t="s">
        <v>12897</v>
      </c>
      <c r="ROV1" t="s">
        <v>12898</v>
      </c>
      <c r="ROW1" t="s">
        <v>12899</v>
      </c>
      <c r="ROX1" t="s">
        <v>12900</v>
      </c>
      <c r="ROY1" t="s">
        <v>12901</v>
      </c>
      <c r="ROZ1" t="s">
        <v>12902</v>
      </c>
      <c r="RPA1" t="s">
        <v>12903</v>
      </c>
      <c r="RPB1" t="s">
        <v>12904</v>
      </c>
      <c r="RPC1" t="s">
        <v>12905</v>
      </c>
      <c r="RPD1" t="s">
        <v>12906</v>
      </c>
      <c r="RPE1" t="s">
        <v>12907</v>
      </c>
      <c r="RPF1" t="s">
        <v>12908</v>
      </c>
      <c r="RPG1" t="s">
        <v>12909</v>
      </c>
      <c r="RPH1" t="s">
        <v>12910</v>
      </c>
      <c r="RPI1" t="s">
        <v>12911</v>
      </c>
      <c r="RPJ1" t="s">
        <v>12912</v>
      </c>
      <c r="RPK1" t="s">
        <v>12913</v>
      </c>
      <c r="RPL1" t="s">
        <v>12914</v>
      </c>
      <c r="RPM1" t="s">
        <v>12915</v>
      </c>
      <c r="RPN1" t="s">
        <v>12916</v>
      </c>
      <c r="RPO1" t="s">
        <v>12917</v>
      </c>
      <c r="RPP1" t="s">
        <v>12918</v>
      </c>
      <c r="RPQ1" t="s">
        <v>12919</v>
      </c>
      <c r="RPR1" t="s">
        <v>12920</v>
      </c>
      <c r="RPS1" t="s">
        <v>12921</v>
      </c>
      <c r="RPT1" t="s">
        <v>12922</v>
      </c>
      <c r="RPU1" t="s">
        <v>12923</v>
      </c>
      <c r="RPV1" t="s">
        <v>12924</v>
      </c>
      <c r="RPW1" t="s">
        <v>12925</v>
      </c>
      <c r="RPX1" t="s">
        <v>12926</v>
      </c>
      <c r="RPY1" t="s">
        <v>12927</v>
      </c>
      <c r="RPZ1" t="s">
        <v>12928</v>
      </c>
      <c r="RQA1" t="s">
        <v>12929</v>
      </c>
      <c r="RQB1" t="s">
        <v>12930</v>
      </c>
      <c r="RQC1" t="s">
        <v>12931</v>
      </c>
      <c r="RQD1" t="s">
        <v>12932</v>
      </c>
      <c r="RQE1" t="s">
        <v>12933</v>
      </c>
      <c r="RQF1" t="s">
        <v>12934</v>
      </c>
      <c r="RQG1" t="s">
        <v>12935</v>
      </c>
      <c r="RQH1" t="s">
        <v>12936</v>
      </c>
      <c r="RQI1" t="s">
        <v>12937</v>
      </c>
      <c r="RQJ1" t="s">
        <v>12938</v>
      </c>
      <c r="RQK1" t="s">
        <v>12939</v>
      </c>
      <c r="RQL1" t="s">
        <v>12940</v>
      </c>
      <c r="RQM1" t="s">
        <v>12941</v>
      </c>
      <c r="RQN1" t="s">
        <v>12942</v>
      </c>
      <c r="RQO1" t="s">
        <v>12943</v>
      </c>
      <c r="RQP1" t="s">
        <v>12944</v>
      </c>
      <c r="RQQ1" t="s">
        <v>12945</v>
      </c>
      <c r="RQR1" t="s">
        <v>12946</v>
      </c>
      <c r="RQS1" t="s">
        <v>12947</v>
      </c>
      <c r="RQT1" t="s">
        <v>12948</v>
      </c>
      <c r="RQU1" t="s">
        <v>12949</v>
      </c>
      <c r="RQV1" t="s">
        <v>12950</v>
      </c>
      <c r="RQW1" t="s">
        <v>12951</v>
      </c>
      <c r="RQX1" t="s">
        <v>12952</v>
      </c>
      <c r="RQY1" t="s">
        <v>12953</v>
      </c>
      <c r="RQZ1" t="s">
        <v>12954</v>
      </c>
      <c r="RRA1" t="s">
        <v>12955</v>
      </c>
      <c r="RRB1" t="s">
        <v>12956</v>
      </c>
      <c r="RRC1" t="s">
        <v>12957</v>
      </c>
      <c r="RRD1" t="s">
        <v>12958</v>
      </c>
      <c r="RRE1" t="s">
        <v>12959</v>
      </c>
      <c r="RRF1" t="s">
        <v>12960</v>
      </c>
      <c r="RRG1" t="s">
        <v>12961</v>
      </c>
      <c r="RRH1" t="s">
        <v>12962</v>
      </c>
      <c r="RRI1" t="s">
        <v>12963</v>
      </c>
      <c r="RRJ1" t="s">
        <v>12964</v>
      </c>
      <c r="RRK1" t="s">
        <v>12965</v>
      </c>
      <c r="RRL1" t="s">
        <v>12966</v>
      </c>
      <c r="RRM1" t="s">
        <v>12967</v>
      </c>
      <c r="RRN1" t="s">
        <v>12968</v>
      </c>
      <c r="RRO1" t="s">
        <v>12969</v>
      </c>
      <c r="RRP1" t="s">
        <v>12970</v>
      </c>
      <c r="RRQ1" t="s">
        <v>12971</v>
      </c>
      <c r="RRR1" t="s">
        <v>12972</v>
      </c>
      <c r="RRS1" t="s">
        <v>12973</v>
      </c>
      <c r="RRT1" t="s">
        <v>12974</v>
      </c>
      <c r="RRU1" t="s">
        <v>12975</v>
      </c>
      <c r="RRV1" t="s">
        <v>12976</v>
      </c>
      <c r="RRW1" t="s">
        <v>12977</v>
      </c>
      <c r="RRX1" t="s">
        <v>12978</v>
      </c>
      <c r="RRY1" t="s">
        <v>12979</v>
      </c>
      <c r="RRZ1" t="s">
        <v>12980</v>
      </c>
      <c r="RSA1" t="s">
        <v>12981</v>
      </c>
      <c r="RSB1" t="s">
        <v>12982</v>
      </c>
      <c r="RSC1" t="s">
        <v>12983</v>
      </c>
      <c r="RSD1" t="s">
        <v>12984</v>
      </c>
      <c r="RSE1" t="s">
        <v>12985</v>
      </c>
      <c r="RSF1" t="s">
        <v>12986</v>
      </c>
      <c r="RSG1" t="s">
        <v>12987</v>
      </c>
      <c r="RSH1" t="s">
        <v>12988</v>
      </c>
      <c r="RSI1" t="s">
        <v>12989</v>
      </c>
      <c r="RSJ1" t="s">
        <v>12990</v>
      </c>
      <c r="RSK1" t="s">
        <v>12991</v>
      </c>
      <c r="RSL1" t="s">
        <v>12992</v>
      </c>
      <c r="RSM1" t="s">
        <v>12993</v>
      </c>
      <c r="RSN1" t="s">
        <v>12994</v>
      </c>
      <c r="RSO1" t="s">
        <v>12995</v>
      </c>
      <c r="RSP1" t="s">
        <v>12996</v>
      </c>
      <c r="RSQ1" t="s">
        <v>12997</v>
      </c>
      <c r="RSR1" t="s">
        <v>12998</v>
      </c>
      <c r="RSS1" t="s">
        <v>12999</v>
      </c>
      <c r="RST1" t="s">
        <v>13000</v>
      </c>
      <c r="RSU1" t="s">
        <v>13001</v>
      </c>
      <c r="RSV1" t="s">
        <v>13002</v>
      </c>
      <c r="RSW1" t="s">
        <v>13003</v>
      </c>
      <c r="RSX1" t="s">
        <v>13004</v>
      </c>
      <c r="RSY1" t="s">
        <v>13005</v>
      </c>
      <c r="RSZ1" t="s">
        <v>13006</v>
      </c>
      <c r="RTA1" t="s">
        <v>13007</v>
      </c>
      <c r="RTB1" t="s">
        <v>13008</v>
      </c>
      <c r="RTC1" t="s">
        <v>13009</v>
      </c>
      <c r="RTD1" t="s">
        <v>13010</v>
      </c>
      <c r="RTE1" t="s">
        <v>13011</v>
      </c>
      <c r="RTF1" t="s">
        <v>13012</v>
      </c>
      <c r="RTG1" t="s">
        <v>13013</v>
      </c>
      <c r="RTH1" t="s">
        <v>13014</v>
      </c>
      <c r="RTI1" t="s">
        <v>13015</v>
      </c>
      <c r="RTJ1" t="s">
        <v>13016</v>
      </c>
      <c r="RTK1" t="s">
        <v>13017</v>
      </c>
      <c r="RTL1" t="s">
        <v>13018</v>
      </c>
      <c r="RTM1" t="s">
        <v>13019</v>
      </c>
      <c r="RTN1" t="s">
        <v>13020</v>
      </c>
      <c r="RTO1" t="s">
        <v>13021</v>
      </c>
      <c r="RTP1" t="s">
        <v>13022</v>
      </c>
      <c r="RTQ1" t="s">
        <v>13023</v>
      </c>
      <c r="RTR1" t="s">
        <v>13024</v>
      </c>
      <c r="RTS1" t="s">
        <v>13025</v>
      </c>
      <c r="RTT1" t="s">
        <v>13026</v>
      </c>
      <c r="RTU1" t="s">
        <v>13027</v>
      </c>
      <c r="RTV1" t="s">
        <v>13028</v>
      </c>
      <c r="RTW1" t="s">
        <v>13029</v>
      </c>
      <c r="RTX1" t="s">
        <v>13030</v>
      </c>
      <c r="RTY1" t="s">
        <v>13031</v>
      </c>
      <c r="RTZ1" t="s">
        <v>13032</v>
      </c>
      <c r="RUA1" t="s">
        <v>13033</v>
      </c>
      <c r="RUB1" t="s">
        <v>13034</v>
      </c>
      <c r="RUC1" t="s">
        <v>13035</v>
      </c>
      <c r="RUD1" t="s">
        <v>13036</v>
      </c>
      <c r="RUE1" t="s">
        <v>13037</v>
      </c>
      <c r="RUF1" t="s">
        <v>13038</v>
      </c>
      <c r="RUG1" t="s">
        <v>13039</v>
      </c>
      <c r="RUH1" t="s">
        <v>13040</v>
      </c>
      <c r="RUI1" t="s">
        <v>13041</v>
      </c>
      <c r="RUJ1" t="s">
        <v>13042</v>
      </c>
      <c r="RUK1" t="s">
        <v>13043</v>
      </c>
      <c r="RUL1" t="s">
        <v>13044</v>
      </c>
      <c r="RUM1" t="s">
        <v>13045</v>
      </c>
      <c r="RUN1" t="s">
        <v>13046</v>
      </c>
      <c r="RUO1" t="s">
        <v>13047</v>
      </c>
      <c r="RUP1" t="s">
        <v>13048</v>
      </c>
      <c r="RUQ1" t="s">
        <v>13049</v>
      </c>
      <c r="RUR1" t="s">
        <v>13050</v>
      </c>
      <c r="RUS1" t="s">
        <v>13051</v>
      </c>
      <c r="RUT1" t="s">
        <v>13052</v>
      </c>
      <c r="RUU1" t="s">
        <v>13053</v>
      </c>
      <c r="RUV1" t="s">
        <v>13054</v>
      </c>
      <c r="RUW1" t="s">
        <v>13055</v>
      </c>
      <c r="RUX1" t="s">
        <v>13056</v>
      </c>
      <c r="RUY1" t="s">
        <v>13057</v>
      </c>
      <c r="RUZ1" t="s">
        <v>13058</v>
      </c>
      <c r="RVA1" t="s">
        <v>13059</v>
      </c>
      <c r="RVB1" t="s">
        <v>13060</v>
      </c>
      <c r="RVC1" t="s">
        <v>13061</v>
      </c>
      <c r="RVD1" t="s">
        <v>13062</v>
      </c>
      <c r="RVE1" t="s">
        <v>13063</v>
      </c>
      <c r="RVF1" t="s">
        <v>13064</v>
      </c>
      <c r="RVG1" t="s">
        <v>13065</v>
      </c>
      <c r="RVH1" t="s">
        <v>13066</v>
      </c>
      <c r="RVI1" t="s">
        <v>13067</v>
      </c>
      <c r="RVJ1" t="s">
        <v>13068</v>
      </c>
      <c r="RVK1" t="s">
        <v>13069</v>
      </c>
      <c r="RVL1" t="s">
        <v>13070</v>
      </c>
      <c r="RVM1" t="s">
        <v>13071</v>
      </c>
      <c r="RVN1" t="s">
        <v>13072</v>
      </c>
      <c r="RVO1" t="s">
        <v>13073</v>
      </c>
      <c r="RVP1" t="s">
        <v>13074</v>
      </c>
      <c r="RVQ1" t="s">
        <v>13075</v>
      </c>
      <c r="RVR1" t="s">
        <v>13076</v>
      </c>
      <c r="RVS1" t="s">
        <v>13077</v>
      </c>
      <c r="RVT1" t="s">
        <v>13078</v>
      </c>
      <c r="RVU1" t="s">
        <v>13079</v>
      </c>
      <c r="RVV1" t="s">
        <v>13080</v>
      </c>
      <c r="RVW1" t="s">
        <v>13081</v>
      </c>
      <c r="RVX1" t="s">
        <v>13082</v>
      </c>
      <c r="RVY1" t="s">
        <v>13083</v>
      </c>
      <c r="RVZ1" t="s">
        <v>13084</v>
      </c>
      <c r="RWA1" t="s">
        <v>13085</v>
      </c>
      <c r="RWB1" t="s">
        <v>13086</v>
      </c>
      <c r="RWC1" t="s">
        <v>13087</v>
      </c>
      <c r="RWD1" t="s">
        <v>13088</v>
      </c>
      <c r="RWE1" t="s">
        <v>13089</v>
      </c>
      <c r="RWF1" t="s">
        <v>13090</v>
      </c>
      <c r="RWG1" t="s">
        <v>13091</v>
      </c>
      <c r="RWH1" t="s">
        <v>13092</v>
      </c>
      <c r="RWI1" t="s">
        <v>13093</v>
      </c>
      <c r="RWJ1" t="s">
        <v>13094</v>
      </c>
      <c r="RWK1" t="s">
        <v>13095</v>
      </c>
      <c r="RWL1" t="s">
        <v>13096</v>
      </c>
      <c r="RWM1" t="s">
        <v>13097</v>
      </c>
      <c r="RWN1" t="s">
        <v>13098</v>
      </c>
      <c r="RWO1" t="s">
        <v>13099</v>
      </c>
      <c r="RWP1" t="s">
        <v>13100</v>
      </c>
      <c r="RWQ1" t="s">
        <v>13101</v>
      </c>
      <c r="RWR1" t="s">
        <v>13102</v>
      </c>
      <c r="RWS1" t="s">
        <v>13103</v>
      </c>
      <c r="RWT1" t="s">
        <v>13104</v>
      </c>
      <c r="RWU1" t="s">
        <v>13105</v>
      </c>
      <c r="RWV1" t="s">
        <v>13106</v>
      </c>
      <c r="RWW1" t="s">
        <v>13107</v>
      </c>
      <c r="RWX1" t="s">
        <v>13108</v>
      </c>
      <c r="RWY1" t="s">
        <v>13109</v>
      </c>
      <c r="RWZ1" t="s">
        <v>13110</v>
      </c>
      <c r="RXA1" t="s">
        <v>13111</v>
      </c>
      <c r="RXB1" t="s">
        <v>13112</v>
      </c>
      <c r="RXC1" t="s">
        <v>13113</v>
      </c>
      <c r="RXD1" t="s">
        <v>13114</v>
      </c>
      <c r="RXE1" t="s">
        <v>13115</v>
      </c>
      <c r="RXF1" t="s">
        <v>13116</v>
      </c>
      <c r="RXG1" t="s">
        <v>13117</v>
      </c>
      <c r="RXH1" t="s">
        <v>13118</v>
      </c>
      <c r="RXI1" t="s">
        <v>13119</v>
      </c>
      <c r="RXJ1" t="s">
        <v>13120</v>
      </c>
      <c r="RXK1" t="s">
        <v>13121</v>
      </c>
      <c r="RXL1" t="s">
        <v>13122</v>
      </c>
      <c r="RXM1" t="s">
        <v>13123</v>
      </c>
      <c r="RXN1" t="s">
        <v>13124</v>
      </c>
      <c r="RXO1" t="s">
        <v>13125</v>
      </c>
      <c r="RXP1" t="s">
        <v>13126</v>
      </c>
      <c r="RXQ1" t="s">
        <v>13127</v>
      </c>
      <c r="RXR1" t="s">
        <v>13128</v>
      </c>
      <c r="RXS1" t="s">
        <v>13129</v>
      </c>
      <c r="RXT1" t="s">
        <v>13130</v>
      </c>
      <c r="RXU1" t="s">
        <v>13131</v>
      </c>
      <c r="RXV1" t="s">
        <v>13132</v>
      </c>
      <c r="RXW1" t="s">
        <v>13133</v>
      </c>
      <c r="RXX1" t="s">
        <v>13134</v>
      </c>
      <c r="RXY1" t="s">
        <v>13135</v>
      </c>
      <c r="RXZ1" t="s">
        <v>13136</v>
      </c>
      <c r="RYA1" t="s">
        <v>13137</v>
      </c>
      <c r="RYB1" t="s">
        <v>13138</v>
      </c>
      <c r="RYC1" t="s">
        <v>13139</v>
      </c>
      <c r="RYD1" t="s">
        <v>13140</v>
      </c>
      <c r="RYE1" t="s">
        <v>13141</v>
      </c>
      <c r="RYF1" t="s">
        <v>13142</v>
      </c>
      <c r="RYG1" t="s">
        <v>13143</v>
      </c>
      <c r="RYH1" t="s">
        <v>13144</v>
      </c>
      <c r="RYI1" t="s">
        <v>13145</v>
      </c>
      <c r="RYJ1" t="s">
        <v>13146</v>
      </c>
      <c r="RYK1" t="s">
        <v>13147</v>
      </c>
      <c r="RYL1" t="s">
        <v>13148</v>
      </c>
      <c r="RYM1" t="s">
        <v>13149</v>
      </c>
      <c r="RYN1" t="s">
        <v>13150</v>
      </c>
      <c r="RYO1" t="s">
        <v>13151</v>
      </c>
      <c r="RYP1" t="s">
        <v>13152</v>
      </c>
      <c r="RYQ1" t="s">
        <v>13153</v>
      </c>
      <c r="RYR1" t="s">
        <v>13154</v>
      </c>
      <c r="RYS1" t="s">
        <v>13155</v>
      </c>
      <c r="RYT1" t="s">
        <v>13156</v>
      </c>
      <c r="RYU1" t="s">
        <v>13157</v>
      </c>
      <c r="RYV1" t="s">
        <v>13158</v>
      </c>
      <c r="RYW1" t="s">
        <v>13159</v>
      </c>
      <c r="RYX1" t="s">
        <v>13160</v>
      </c>
      <c r="RYY1" t="s">
        <v>13161</v>
      </c>
      <c r="RYZ1" t="s">
        <v>13162</v>
      </c>
      <c r="RZA1" t="s">
        <v>13163</v>
      </c>
      <c r="RZB1" t="s">
        <v>13164</v>
      </c>
      <c r="RZC1" t="s">
        <v>13165</v>
      </c>
      <c r="RZD1" t="s">
        <v>13166</v>
      </c>
      <c r="RZE1" t="s">
        <v>13167</v>
      </c>
      <c r="RZF1" t="s">
        <v>13168</v>
      </c>
      <c r="RZG1" t="s">
        <v>13169</v>
      </c>
      <c r="RZH1" t="s">
        <v>13170</v>
      </c>
      <c r="RZI1" t="s">
        <v>13171</v>
      </c>
      <c r="RZJ1" t="s">
        <v>13172</v>
      </c>
      <c r="RZK1" t="s">
        <v>13173</v>
      </c>
      <c r="RZL1" t="s">
        <v>13174</v>
      </c>
      <c r="RZM1" t="s">
        <v>13175</v>
      </c>
      <c r="RZN1" t="s">
        <v>13176</v>
      </c>
      <c r="RZO1" t="s">
        <v>13177</v>
      </c>
      <c r="RZP1" t="s">
        <v>13178</v>
      </c>
      <c r="RZQ1" t="s">
        <v>13179</v>
      </c>
      <c r="RZR1" t="s">
        <v>13180</v>
      </c>
      <c r="RZS1" t="s">
        <v>13181</v>
      </c>
      <c r="RZT1" t="s">
        <v>13182</v>
      </c>
      <c r="RZU1" t="s">
        <v>13183</v>
      </c>
      <c r="RZV1" t="s">
        <v>13184</v>
      </c>
      <c r="RZW1" t="s">
        <v>13185</v>
      </c>
      <c r="RZX1" t="s">
        <v>13186</v>
      </c>
      <c r="RZY1" t="s">
        <v>13187</v>
      </c>
      <c r="RZZ1" t="s">
        <v>13188</v>
      </c>
      <c r="SAA1" t="s">
        <v>13189</v>
      </c>
      <c r="SAB1" t="s">
        <v>13190</v>
      </c>
      <c r="SAC1" t="s">
        <v>13191</v>
      </c>
      <c r="SAD1" t="s">
        <v>13192</v>
      </c>
      <c r="SAE1" t="s">
        <v>13193</v>
      </c>
      <c r="SAF1" t="s">
        <v>13194</v>
      </c>
      <c r="SAG1" t="s">
        <v>13195</v>
      </c>
      <c r="SAH1" t="s">
        <v>13196</v>
      </c>
      <c r="SAI1" t="s">
        <v>13197</v>
      </c>
      <c r="SAJ1" t="s">
        <v>13198</v>
      </c>
      <c r="SAK1" t="s">
        <v>13199</v>
      </c>
      <c r="SAL1" t="s">
        <v>13200</v>
      </c>
      <c r="SAM1" t="s">
        <v>13201</v>
      </c>
      <c r="SAN1" t="s">
        <v>13202</v>
      </c>
      <c r="SAO1" t="s">
        <v>13203</v>
      </c>
      <c r="SAP1" t="s">
        <v>13204</v>
      </c>
      <c r="SAQ1" t="s">
        <v>13205</v>
      </c>
      <c r="SAR1" t="s">
        <v>13206</v>
      </c>
      <c r="SAS1" t="s">
        <v>13207</v>
      </c>
      <c r="SAT1" t="s">
        <v>13208</v>
      </c>
      <c r="SAU1" t="s">
        <v>13209</v>
      </c>
      <c r="SAV1" t="s">
        <v>13210</v>
      </c>
      <c r="SAW1" t="s">
        <v>13211</v>
      </c>
      <c r="SAX1" t="s">
        <v>13212</v>
      </c>
      <c r="SAY1" t="s">
        <v>13213</v>
      </c>
      <c r="SAZ1" t="s">
        <v>13214</v>
      </c>
      <c r="SBA1" t="s">
        <v>13215</v>
      </c>
      <c r="SBB1" t="s">
        <v>13216</v>
      </c>
      <c r="SBC1" t="s">
        <v>13217</v>
      </c>
      <c r="SBD1" t="s">
        <v>13218</v>
      </c>
      <c r="SBE1" t="s">
        <v>13219</v>
      </c>
      <c r="SBF1" t="s">
        <v>13220</v>
      </c>
      <c r="SBG1" t="s">
        <v>13221</v>
      </c>
      <c r="SBH1" t="s">
        <v>13222</v>
      </c>
      <c r="SBI1" t="s">
        <v>13223</v>
      </c>
      <c r="SBJ1" t="s">
        <v>13224</v>
      </c>
      <c r="SBK1" t="s">
        <v>13225</v>
      </c>
      <c r="SBL1" t="s">
        <v>13226</v>
      </c>
      <c r="SBM1" t="s">
        <v>13227</v>
      </c>
      <c r="SBN1" t="s">
        <v>13228</v>
      </c>
      <c r="SBO1" t="s">
        <v>13229</v>
      </c>
      <c r="SBP1" t="s">
        <v>13230</v>
      </c>
      <c r="SBQ1" t="s">
        <v>13231</v>
      </c>
      <c r="SBR1" t="s">
        <v>13232</v>
      </c>
      <c r="SBS1" t="s">
        <v>13233</v>
      </c>
      <c r="SBT1" t="s">
        <v>13234</v>
      </c>
      <c r="SBU1" t="s">
        <v>13235</v>
      </c>
      <c r="SBV1" t="s">
        <v>13236</v>
      </c>
      <c r="SBW1" t="s">
        <v>13237</v>
      </c>
      <c r="SBX1" t="s">
        <v>13238</v>
      </c>
      <c r="SBY1" t="s">
        <v>13239</v>
      </c>
      <c r="SBZ1" t="s">
        <v>13240</v>
      </c>
      <c r="SCA1" t="s">
        <v>13241</v>
      </c>
      <c r="SCB1" t="s">
        <v>13242</v>
      </c>
      <c r="SCC1" t="s">
        <v>13243</v>
      </c>
      <c r="SCD1" t="s">
        <v>13244</v>
      </c>
      <c r="SCE1" t="s">
        <v>13245</v>
      </c>
      <c r="SCF1" t="s">
        <v>13246</v>
      </c>
      <c r="SCG1" t="s">
        <v>13247</v>
      </c>
      <c r="SCH1" t="s">
        <v>13248</v>
      </c>
      <c r="SCI1" t="s">
        <v>13249</v>
      </c>
      <c r="SCJ1" t="s">
        <v>13250</v>
      </c>
      <c r="SCK1" t="s">
        <v>13251</v>
      </c>
      <c r="SCL1" t="s">
        <v>13252</v>
      </c>
      <c r="SCM1" t="s">
        <v>13253</v>
      </c>
      <c r="SCN1" t="s">
        <v>13254</v>
      </c>
      <c r="SCO1" t="s">
        <v>13255</v>
      </c>
      <c r="SCP1" t="s">
        <v>13256</v>
      </c>
      <c r="SCQ1" t="s">
        <v>13257</v>
      </c>
      <c r="SCR1" t="s">
        <v>13258</v>
      </c>
      <c r="SCS1" t="s">
        <v>13259</v>
      </c>
      <c r="SCT1" t="s">
        <v>13260</v>
      </c>
      <c r="SCU1" t="s">
        <v>13261</v>
      </c>
      <c r="SCV1" t="s">
        <v>13262</v>
      </c>
      <c r="SCW1" t="s">
        <v>13263</v>
      </c>
      <c r="SCX1" t="s">
        <v>13264</v>
      </c>
      <c r="SCY1" t="s">
        <v>13265</v>
      </c>
      <c r="SCZ1" t="s">
        <v>13266</v>
      </c>
      <c r="SDA1" t="s">
        <v>13267</v>
      </c>
      <c r="SDB1" t="s">
        <v>13268</v>
      </c>
      <c r="SDC1" t="s">
        <v>13269</v>
      </c>
      <c r="SDD1" t="s">
        <v>13270</v>
      </c>
      <c r="SDE1" t="s">
        <v>13271</v>
      </c>
      <c r="SDF1" t="s">
        <v>13272</v>
      </c>
      <c r="SDG1" t="s">
        <v>13273</v>
      </c>
      <c r="SDH1" t="s">
        <v>13274</v>
      </c>
      <c r="SDI1" t="s">
        <v>13275</v>
      </c>
      <c r="SDJ1" t="s">
        <v>13276</v>
      </c>
      <c r="SDK1" t="s">
        <v>13277</v>
      </c>
      <c r="SDL1" t="s">
        <v>13278</v>
      </c>
      <c r="SDM1" t="s">
        <v>13279</v>
      </c>
      <c r="SDN1" t="s">
        <v>13280</v>
      </c>
      <c r="SDO1" t="s">
        <v>13281</v>
      </c>
      <c r="SDP1" t="s">
        <v>13282</v>
      </c>
      <c r="SDQ1" t="s">
        <v>13283</v>
      </c>
      <c r="SDR1" t="s">
        <v>13284</v>
      </c>
      <c r="SDS1" t="s">
        <v>13285</v>
      </c>
      <c r="SDT1" t="s">
        <v>13286</v>
      </c>
      <c r="SDU1" t="s">
        <v>13287</v>
      </c>
      <c r="SDV1" t="s">
        <v>13288</v>
      </c>
      <c r="SDW1" t="s">
        <v>13289</v>
      </c>
      <c r="SDX1" t="s">
        <v>13290</v>
      </c>
      <c r="SDY1" t="s">
        <v>13291</v>
      </c>
      <c r="SDZ1" t="s">
        <v>13292</v>
      </c>
      <c r="SEA1" t="s">
        <v>13293</v>
      </c>
      <c r="SEB1" t="s">
        <v>13294</v>
      </c>
      <c r="SEC1" t="s">
        <v>13295</v>
      </c>
      <c r="SED1" t="s">
        <v>13296</v>
      </c>
      <c r="SEE1" t="s">
        <v>13297</v>
      </c>
      <c r="SEF1" t="s">
        <v>13298</v>
      </c>
      <c r="SEG1" t="s">
        <v>13299</v>
      </c>
      <c r="SEH1" t="s">
        <v>13300</v>
      </c>
      <c r="SEI1" t="s">
        <v>13301</v>
      </c>
      <c r="SEJ1" t="s">
        <v>13302</v>
      </c>
      <c r="SEK1" t="s">
        <v>13303</v>
      </c>
      <c r="SEL1" t="s">
        <v>13304</v>
      </c>
      <c r="SEM1" t="s">
        <v>13305</v>
      </c>
      <c r="SEN1" t="s">
        <v>13306</v>
      </c>
      <c r="SEO1" t="s">
        <v>13307</v>
      </c>
      <c r="SEP1" t="s">
        <v>13308</v>
      </c>
      <c r="SEQ1" t="s">
        <v>13309</v>
      </c>
      <c r="SER1" t="s">
        <v>13310</v>
      </c>
      <c r="SES1" t="s">
        <v>13311</v>
      </c>
      <c r="SET1" t="s">
        <v>13312</v>
      </c>
      <c r="SEU1" t="s">
        <v>13313</v>
      </c>
      <c r="SEV1" t="s">
        <v>13314</v>
      </c>
      <c r="SEW1" t="s">
        <v>13315</v>
      </c>
      <c r="SEX1" t="s">
        <v>13316</v>
      </c>
      <c r="SEY1" t="s">
        <v>13317</v>
      </c>
      <c r="SEZ1" t="s">
        <v>13318</v>
      </c>
      <c r="SFA1" t="s">
        <v>13319</v>
      </c>
      <c r="SFB1" t="s">
        <v>13320</v>
      </c>
      <c r="SFC1" t="s">
        <v>13321</v>
      </c>
      <c r="SFD1" t="s">
        <v>13322</v>
      </c>
      <c r="SFE1" t="s">
        <v>13323</v>
      </c>
      <c r="SFF1" t="s">
        <v>13324</v>
      </c>
      <c r="SFG1" t="s">
        <v>13325</v>
      </c>
      <c r="SFH1" t="s">
        <v>13326</v>
      </c>
      <c r="SFI1" t="s">
        <v>13327</v>
      </c>
      <c r="SFJ1" t="s">
        <v>13328</v>
      </c>
      <c r="SFK1" t="s">
        <v>13329</v>
      </c>
      <c r="SFL1" t="s">
        <v>13330</v>
      </c>
      <c r="SFM1" t="s">
        <v>13331</v>
      </c>
      <c r="SFN1" t="s">
        <v>13332</v>
      </c>
      <c r="SFO1" t="s">
        <v>13333</v>
      </c>
      <c r="SFP1" t="s">
        <v>13334</v>
      </c>
      <c r="SFQ1" t="s">
        <v>13335</v>
      </c>
      <c r="SFR1" t="s">
        <v>13336</v>
      </c>
      <c r="SFS1" t="s">
        <v>13337</v>
      </c>
      <c r="SFT1" t="s">
        <v>13338</v>
      </c>
      <c r="SFU1" t="s">
        <v>13339</v>
      </c>
      <c r="SFV1" t="s">
        <v>13340</v>
      </c>
      <c r="SFW1" t="s">
        <v>13341</v>
      </c>
      <c r="SFX1" t="s">
        <v>13342</v>
      </c>
      <c r="SFY1" t="s">
        <v>13343</v>
      </c>
      <c r="SFZ1" t="s">
        <v>13344</v>
      </c>
      <c r="SGA1" t="s">
        <v>13345</v>
      </c>
      <c r="SGB1" t="s">
        <v>13346</v>
      </c>
      <c r="SGC1" t="s">
        <v>13347</v>
      </c>
      <c r="SGD1" t="s">
        <v>13348</v>
      </c>
      <c r="SGE1" t="s">
        <v>13349</v>
      </c>
      <c r="SGF1" t="s">
        <v>13350</v>
      </c>
      <c r="SGG1" t="s">
        <v>13351</v>
      </c>
      <c r="SGH1" t="s">
        <v>13352</v>
      </c>
      <c r="SGI1" t="s">
        <v>13353</v>
      </c>
      <c r="SGJ1" t="s">
        <v>13354</v>
      </c>
      <c r="SGK1" t="s">
        <v>13355</v>
      </c>
      <c r="SGL1" t="s">
        <v>13356</v>
      </c>
      <c r="SGM1" t="s">
        <v>13357</v>
      </c>
      <c r="SGN1" t="s">
        <v>13358</v>
      </c>
      <c r="SGO1" t="s">
        <v>13359</v>
      </c>
      <c r="SGP1" t="s">
        <v>13360</v>
      </c>
      <c r="SGQ1" t="s">
        <v>13361</v>
      </c>
      <c r="SGR1" t="s">
        <v>13362</v>
      </c>
      <c r="SGS1" t="s">
        <v>13363</v>
      </c>
      <c r="SGT1" t="s">
        <v>13364</v>
      </c>
      <c r="SGU1" t="s">
        <v>13365</v>
      </c>
      <c r="SGV1" t="s">
        <v>13366</v>
      </c>
      <c r="SGW1" t="s">
        <v>13367</v>
      </c>
      <c r="SGX1" t="s">
        <v>13368</v>
      </c>
      <c r="SGY1" t="s">
        <v>13369</v>
      </c>
      <c r="SGZ1" t="s">
        <v>13370</v>
      </c>
      <c r="SHA1" t="s">
        <v>13371</v>
      </c>
      <c r="SHB1" t="s">
        <v>13372</v>
      </c>
      <c r="SHC1" t="s">
        <v>13373</v>
      </c>
      <c r="SHD1" t="s">
        <v>13374</v>
      </c>
      <c r="SHE1" t="s">
        <v>13375</v>
      </c>
      <c r="SHF1" t="s">
        <v>13376</v>
      </c>
      <c r="SHG1" t="s">
        <v>13377</v>
      </c>
      <c r="SHH1" t="s">
        <v>13378</v>
      </c>
      <c r="SHI1" t="s">
        <v>13379</v>
      </c>
      <c r="SHJ1" t="s">
        <v>13380</v>
      </c>
      <c r="SHK1" t="s">
        <v>13381</v>
      </c>
      <c r="SHL1" t="s">
        <v>13382</v>
      </c>
      <c r="SHM1" t="s">
        <v>13383</v>
      </c>
      <c r="SHN1" t="s">
        <v>13384</v>
      </c>
      <c r="SHO1" t="s">
        <v>13385</v>
      </c>
      <c r="SHP1" t="s">
        <v>13386</v>
      </c>
      <c r="SHQ1" t="s">
        <v>13387</v>
      </c>
      <c r="SHR1" t="s">
        <v>13388</v>
      </c>
      <c r="SHS1" t="s">
        <v>13389</v>
      </c>
      <c r="SHT1" t="s">
        <v>13390</v>
      </c>
      <c r="SHU1" t="s">
        <v>13391</v>
      </c>
      <c r="SHV1" t="s">
        <v>13392</v>
      </c>
      <c r="SHW1" t="s">
        <v>13393</v>
      </c>
      <c r="SHX1" t="s">
        <v>13394</v>
      </c>
      <c r="SHY1" t="s">
        <v>13395</v>
      </c>
      <c r="SHZ1" t="s">
        <v>13396</v>
      </c>
      <c r="SIA1" t="s">
        <v>13397</v>
      </c>
      <c r="SIB1" t="s">
        <v>13398</v>
      </c>
      <c r="SIC1" t="s">
        <v>13399</v>
      </c>
      <c r="SID1" t="s">
        <v>13400</v>
      </c>
      <c r="SIE1" t="s">
        <v>13401</v>
      </c>
      <c r="SIF1" t="s">
        <v>13402</v>
      </c>
      <c r="SIG1" t="s">
        <v>13403</v>
      </c>
      <c r="SIH1" t="s">
        <v>13404</v>
      </c>
      <c r="SII1" t="s">
        <v>13405</v>
      </c>
      <c r="SIJ1" t="s">
        <v>13406</v>
      </c>
      <c r="SIK1" t="s">
        <v>13407</v>
      </c>
      <c r="SIL1" t="s">
        <v>13408</v>
      </c>
      <c r="SIM1" t="s">
        <v>13409</v>
      </c>
      <c r="SIN1" t="s">
        <v>13410</v>
      </c>
      <c r="SIO1" t="s">
        <v>13411</v>
      </c>
      <c r="SIP1" t="s">
        <v>13412</v>
      </c>
      <c r="SIQ1" t="s">
        <v>13413</v>
      </c>
      <c r="SIR1" t="s">
        <v>13414</v>
      </c>
      <c r="SIS1" t="s">
        <v>13415</v>
      </c>
      <c r="SIT1" t="s">
        <v>13416</v>
      </c>
      <c r="SIU1" t="s">
        <v>13417</v>
      </c>
      <c r="SIV1" t="s">
        <v>13418</v>
      </c>
      <c r="SIW1" t="s">
        <v>13419</v>
      </c>
      <c r="SIX1" t="s">
        <v>13420</v>
      </c>
      <c r="SIY1" t="s">
        <v>13421</v>
      </c>
      <c r="SIZ1" t="s">
        <v>13422</v>
      </c>
      <c r="SJA1" t="s">
        <v>13423</v>
      </c>
      <c r="SJB1" t="s">
        <v>13424</v>
      </c>
      <c r="SJC1" t="s">
        <v>13425</v>
      </c>
      <c r="SJD1" t="s">
        <v>13426</v>
      </c>
      <c r="SJE1" t="s">
        <v>13427</v>
      </c>
      <c r="SJF1" t="s">
        <v>13428</v>
      </c>
      <c r="SJG1" t="s">
        <v>13429</v>
      </c>
      <c r="SJH1" t="s">
        <v>13430</v>
      </c>
      <c r="SJI1" t="s">
        <v>13431</v>
      </c>
      <c r="SJJ1" t="s">
        <v>13432</v>
      </c>
      <c r="SJK1" t="s">
        <v>13433</v>
      </c>
      <c r="SJL1" t="s">
        <v>13434</v>
      </c>
      <c r="SJM1" t="s">
        <v>13435</v>
      </c>
      <c r="SJN1" t="s">
        <v>13436</v>
      </c>
      <c r="SJO1" t="s">
        <v>13437</v>
      </c>
      <c r="SJP1" t="s">
        <v>13438</v>
      </c>
      <c r="SJQ1" t="s">
        <v>13439</v>
      </c>
      <c r="SJR1" t="s">
        <v>13440</v>
      </c>
      <c r="SJS1" t="s">
        <v>13441</v>
      </c>
      <c r="SJT1" t="s">
        <v>13442</v>
      </c>
      <c r="SJU1" t="s">
        <v>13443</v>
      </c>
      <c r="SJV1" t="s">
        <v>13444</v>
      </c>
      <c r="SJW1" t="s">
        <v>13445</v>
      </c>
      <c r="SJX1" t="s">
        <v>13446</v>
      </c>
      <c r="SJY1" t="s">
        <v>13447</v>
      </c>
      <c r="SJZ1" t="s">
        <v>13448</v>
      </c>
      <c r="SKA1" t="s">
        <v>13449</v>
      </c>
      <c r="SKB1" t="s">
        <v>13450</v>
      </c>
      <c r="SKC1" t="s">
        <v>13451</v>
      </c>
      <c r="SKD1" t="s">
        <v>13452</v>
      </c>
      <c r="SKE1" t="s">
        <v>13453</v>
      </c>
      <c r="SKF1" t="s">
        <v>13454</v>
      </c>
      <c r="SKG1" t="s">
        <v>13455</v>
      </c>
      <c r="SKH1" t="s">
        <v>13456</v>
      </c>
      <c r="SKI1" t="s">
        <v>13457</v>
      </c>
      <c r="SKJ1" t="s">
        <v>13458</v>
      </c>
      <c r="SKK1" t="s">
        <v>13459</v>
      </c>
      <c r="SKL1" t="s">
        <v>13460</v>
      </c>
      <c r="SKM1" t="s">
        <v>13461</v>
      </c>
      <c r="SKN1" t="s">
        <v>13462</v>
      </c>
      <c r="SKO1" t="s">
        <v>13463</v>
      </c>
      <c r="SKP1" t="s">
        <v>13464</v>
      </c>
      <c r="SKQ1" t="s">
        <v>13465</v>
      </c>
      <c r="SKR1" t="s">
        <v>13466</v>
      </c>
      <c r="SKS1" t="s">
        <v>13467</v>
      </c>
      <c r="SKT1" t="s">
        <v>13468</v>
      </c>
      <c r="SKU1" t="s">
        <v>13469</v>
      </c>
      <c r="SKV1" t="s">
        <v>13470</v>
      </c>
      <c r="SKW1" t="s">
        <v>13471</v>
      </c>
      <c r="SKX1" t="s">
        <v>13472</v>
      </c>
      <c r="SKY1" t="s">
        <v>13473</v>
      </c>
      <c r="SKZ1" t="s">
        <v>13474</v>
      </c>
      <c r="SLA1" t="s">
        <v>13475</v>
      </c>
      <c r="SLB1" t="s">
        <v>13476</v>
      </c>
      <c r="SLC1" t="s">
        <v>13477</v>
      </c>
      <c r="SLD1" t="s">
        <v>13478</v>
      </c>
      <c r="SLE1" t="s">
        <v>13479</v>
      </c>
      <c r="SLF1" t="s">
        <v>13480</v>
      </c>
      <c r="SLG1" t="s">
        <v>13481</v>
      </c>
      <c r="SLH1" t="s">
        <v>13482</v>
      </c>
      <c r="SLI1" t="s">
        <v>13483</v>
      </c>
      <c r="SLJ1" t="s">
        <v>13484</v>
      </c>
      <c r="SLK1" t="s">
        <v>13485</v>
      </c>
      <c r="SLL1" t="s">
        <v>13486</v>
      </c>
      <c r="SLM1" t="s">
        <v>13487</v>
      </c>
      <c r="SLN1" t="s">
        <v>13488</v>
      </c>
      <c r="SLO1" t="s">
        <v>13489</v>
      </c>
      <c r="SLP1" t="s">
        <v>13490</v>
      </c>
      <c r="SLQ1" t="s">
        <v>13491</v>
      </c>
      <c r="SLR1" t="s">
        <v>13492</v>
      </c>
      <c r="SLS1" t="s">
        <v>13493</v>
      </c>
      <c r="SLT1" t="s">
        <v>13494</v>
      </c>
      <c r="SLU1" t="s">
        <v>13495</v>
      </c>
      <c r="SLV1" t="s">
        <v>13496</v>
      </c>
      <c r="SLW1" t="s">
        <v>13497</v>
      </c>
      <c r="SLX1" t="s">
        <v>13498</v>
      </c>
      <c r="SLY1" t="s">
        <v>13499</v>
      </c>
      <c r="SLZ1" t="s">
        <v>13500</v>
      </c>
      <c r="SMA1" t="s">
        <v>13501</v>
      </c>
      <c r="SMB1" t="s">
        <v>13502</v>
      </c>
      <c r="SMC1" t="s">
        <v>13503</v>
      </c>
      <c r="SMD1" t="s">
        <v>13504</v>
      </c>
      <c r="SME1" t="s">
        <v>13505</v>
      </c>
      <c r="SMF1" t="s">
        <v>13506</v>
      </c>
      <c r="SMG1" t="s">
        <v>13507</v>
      </c>
      <c r="SMH1" t="s">
        <v>13508</v>
      </c>
      <c r="SMI1" t="s">
        <v>13509</v>
      </c>
      <c r="SMJ1" t="s">
        <v>13510</v>
      </c>
      <c r="SMK1" t="s">
        <v>13511</v>
      </c>
      <c r="SML1" t="s">
        <v>13512</v>
      </c>
      <c r="SMM1" t="s">
        <v>13513</v>
      </c>
      <c r="SMN1" t="s">
        <v>13514</v>
      </c>
      <c r="SMO1" t="s">
        <v>13515</v>
      </c>
      <c r="SMP1" t="s">
        <v>13516</v>
      </c>
      <c r="SMQ1" t="s">
        <v>13517</v>
      </c>
      <c r="SMR1" t="s">
        <v>13518</v>
      </c>
      <c r="SMS1" t="s">
        <v>13519</v>
      </c>
      <c r="SMT1" t="s">
        <v>13520</v>
      </c>
      <c r="SMU1" t="s">
        <v>13521</v>
      </c>
      <c r="SMV1" t="s">
        <v>13522</v>
      </c>
      <c r="SMW1" t="s">
        <v>13523</v>
      </c>
      <c r="SMX1" t="s">
        <v>13524</v>
      </c>
      <c r="SMY1" t="s">
        <v>13525</v>
      </c>
      <c r="SMZ1" t="s">
        <v>13526</v>
      </c>
      <c r="SNA1" t="s">
        <v>13527</v>
      </c>
      <c r="SNB1" t="s">
        <v>13528</v>
      </c>
      <c r="SNC1" t="s">
        <v>13529</v>
      </c>
      <c r="SND1" t="s">
        <v>13530</v>
      </c>
      <c r="SNE1" t="s">
        <v>13531</v>
      </c>
      <c r="SNF1" t="s">
        <v>13532</v>
      </c>
      <c r="SNG1" t="s">
        <v>13533</v>
      </c>
      <c r="SNH1" t="s">
        <v>13534</v>
      </c>
      <c r="SNI1" t="s">
        <v>13535</v>
      </c>
      <c r="SNJ1" t="s">
        <v>13536</v>
      </c>
      <c r="SNK1" t="s">
        <v>13537</v>
      </c>
      <c r="SNL1" t="s">
        <v>13538</v>
      </c>
      <c r="SNM1" t="s">
        <v>13539</v>
      </c>
      <c r="SNN1" t="s">
        <v>13540</v>
      </c>
      <c r="SNO1" t="s">
        <v>13541</v>
      </c>
      <c r="SNP1" t="s">
        <v>13542</v>
      </c>
      <c r="SNQ1" t="s">
        <v>13543</v>
      </c>
      <c r="SNR1" t="s">
        <v>13544</v>
      </c>
      <c r="SNS1" t="s">
        <v>13545</v>
      </c>
      <c r="SNT1" t="s">
        <v>13546</v>
      </c>
      <c r="SNU1" t="s">
        <v>13547</v>
      </c>
      <c r="SNV1" t="s">
        <v>13548</v>
      </c>
      <c r="SNW1" t="s">
        <v>13549</v>
      </c>
      <c r="SNX1" t="s">
        <v>13550</v>
      </c>
      <c r="SNY1" t="s">
        <v>13551</v>
      </c>
      <c r="SNZ1" t="s">
        <v>13552</v>
      </c>
      <c r="SOA1" t="s">
        <v>13553</v>
      </c>
      <c r="SOB1" t="s">
        <v>13554</v>
      </c>
      <c r="SOC1" t="s">
        <v>13555</v>
      </c>
      <c r="SOD1" t="s">
        <v>13556</v>
      </c>
      <c r="SOE1" t="s">
        <v>13557</v>
      </c>
      <c r="SOF1" t="s">
        <v>13558</v>
      </c>
      <c r="SOG1" t="s">
        <v>13559</v>
      </c>
      <c r="SOH1" t="s">
        <v>13560</v>
      </c>
      <c r="SOI1" t="s">
        <v>13561</v>
      </c>
      <c r="SOJ1" t="s">
        <v>13562</v>
      </c>
      <c r="SOK1" t="s">
        <v>13563</v>
      </c>
      <c r="SOL1" t="s">
        <v>13564</v>
      </c>
      <c r="SOM1" t="s">
        <v>13565</v>
      </c>
      <c r="SON1" t="s">
        <v>13566</v>
      </c>
      <c r="SOO1" t="s">
        <v>13567</v>
      </c>
      <c r="SOP1" t="s">
        <v>13568</v>
      </c>
      <c r="SOQ1" t="s">
        <v>13569</v>
      </c>
      <c r="SOR1" t="s">
        <v>13570</v>
      </c>
      <c r="SOS1" t="s">
        <v>13571</v>
      </c>
      <c r="SOT1" t="s">
        <v>13572</v>
      </c>
      <c r="SOU1" t="s">
        <v>13573</v>
      </c>
      <c r="SOV1" t="s">
        <v>13574</v>
      </c>
      <c r="SOW1" t="s">
        <v>13575</v>
      </c>
      <c r="SOX1" t="s">
        <v>13576</v>
      </c>
      <c r="SOY1" t="s">
        <v>13577</v>
      </c>
      <c r="SOZ1" t="s">
        <v>13578</v>
      </c>
      <c r="SPA1" t="s">
        <v>13579</v>
      </c>
      <c r="SPB1" t="s">
        <v>13580</v>
      </c>
      <c r="SPC1" t="s">
        <v>13581</v>
      </c>
      <c r="SPD1" t="s">
        <v>13582</v>
      </c>
      <c r="SPE1" t="s">
        <v>13583</v>
      </c>
      <c r="SPF1" t="s">
        <v>13584</v>
      </c>
      <c r="SPG1" t="s">
        <v>13585</v>
      </c>
      <c r="SPH1" t="s">
        <v>13586</v>
      </c>
      <c r="SPI1" t="s">
        <v>13587</v>
      </c>
      <c r="SPJ1" t="s">
        <v>13588</v>
      </c>
      <c r="SPK1" t="s">
        <v>13589</v>
      </c>
      <c r="SPL1" t="s">
        <v>13590</v>
      </c>
      <c r="SPM1" t="s">
        <v>13591</v>
      </c>
      <c r="SPN1" t="s">
        <v>13592</v>
      </c>
      <c r="SPO1" t="s">
        <v>13593</v>
      </c>
      <c r="SPP1" t="s">
        <v>13594</v>
      </c>
      <c r="SPQ1" t="s">
        <v>13595</v>
      </c>
      <c r="SPR1" t="s">
        <v>13596</v>
      </c>
      <c r="SPS1" t="s">
        <v>13597</v>
      </c>
      <c r="SPT1" t="s">
        <v>13598</v>
      </c>
      <c r="SPU1" t="s">
        <v>13599</v>
      </c>
      <c r="SPV1" t="s">
        <v>13600</v>
      </c>
      <c r="SPW1" t="s">
        <v>13601</v>
      </c>
      <c r="SPX1" t="s">
        <v>13602</v>
      </c>
      <c r="SPY1" t="s">
        <v>13603</v>
      </c>
      <c r="SPZ1" t="s">
        <v>13604</v>
      </c>
      <c r="SQA1" t="s">
        <v>13605</v>
      </c>
      <c r="SQB1" t="s">
        <v>13606</v>
      </c>
      <c r="SQC1" t="s">
        <v>13607</v>
      </c>
      <c r="SQD1" t="s">
        <v>13608</v>
      </c>
      <c r="SQE1" t="s">
        <v>13609</v>
      </c>
      <c r="SQF1" t="s">
        <v>13610</v>
      </c>
      <c r="SQG1" t="s">
        <v>13611</v>
      </c>
      <c r="SQH1" t="s">
        <v>13612</v>
      </c>
      <c r="SQI1" t="s">
        <v>13613</v>
      </c>
      <c r="SQJ1" t="s">
        <v>13614</v>
      </c>
      <c r="SQK1" t="s">
        <v>13615</v>
      </c>
      <c r="SQL1" t="s">
        <v>13616</v>
      </c>
      <c r="SQM1" t="s">
        <v>13617</v>
      </c>
      <c r="SQN1" t="s">
        <v>13618</v>
      </c>
      <c r="SQO1" t="s">
        <v>13619</v>
      </c>
      <c r="SQP1" t="s">
        <v>13620</v>
      </c>
      <c r="SQQ1" t="s">
        <v>13621</v>
      </c>
      <c r="SQR1" t="s">
        <v>13622</v>
      </c>
      <c r="SQS1" t="s">
        <v>13623</v>
      </c>
      <c r="SQT1" t="s">
        <v>13624</v>
      </c>
      <c r="SQU1" t="s">
        <v>13625</v>
      </c>
      <c r="SQV1" t="s">
        <v>13626</v>
      </c>
      <c r="SQW1" t="s">
        <v>13627</v>
      </c>
      <c r="SQX1" t="s">
        <v>13628</v>
      </c>
      <c r="SQY1" t="s">
        <v>13629</v>
      </c>
      <c r="SQZ1" t="s">
        <v>13630</v>
      </c>
      <c r="SRA1" t="s">
        <v>13631</v>
      </c>
      <c r="SRB1" t="s">
        <v>13632</v>
      </c>
      <c r="SRC1" t="s">
        <v>13633</v>
      </c>
      <c r="SRD1" t="s">
        <v>13634</v>
      </c>
      <c r="SRE1" t="s">
        <v>13635</v>
      </c>
      <c r="SRF1" t="s">
        <v>13636</v>
      </c>
      <c r="SRG1" t="s">
        <v>13637</v>
      </c>
      <c r="SRH1" t="s">
        <v>13638</v>
      </c>
      <c r="SRI1" t="s">
        <v>13639</v>
      </c>
      <c r="SRJ1" t="s">
        <v>13640</v>
      </c>
      <c r="SRK1" t="s">
        <v>13641</v>
      </c>
      <c r="SRL1" t="s">
        <v>13642</v>
      </c>
      <c r="SRM1" t="s">
        <v>13643</v>
      </c>
      <c r="SRN1" t="s">
        <v>13644</v>
      </c>
      <c r="SRO1" t="s">
        <v>13645</v>
      </c>
      <c r="SRP1" t="s">
        <v>13646</v>
      </c>
      <c r="SRQ1" t="s">
        <v>13647</v>
      </c>
      <c r="SRR1" t="s">
        <v>13648</v>
      </c>
      <c r="SRS1" t="s">
        <v>13649</v>
      </c>
      <c r="SRT1" t="s">
        <v>13650</v>
      </c>
      <c r="SRU1" t="s">
        <v>13651</v>
      </c>
      <c r="SRV1" t="s">
        <v>13652</v>
      </c>
      <c r="SRW1" t="s">
        <v>13653</v>
      </c>
      <c r="SRX1" t="s">
        <v>13654</v>
      </c>
      <c r="SRY1" t="s">
        <v>13655</v>
      </c>
      <c r="SRZ1" t="s">
        <v>13656</v>
      </c>
      <c r="SSA1" t="s">
        <v>13657</v>
      </c>
      <c r="SSB1" t="s">
        <v>13658</v>
      </c>
      <c r="SSC1" t="s">
        <v>13659</v>
      </c>
      <c r="SSD1" t="s">
        <v>13660</v>
      </c>
      <c r="SSE1" t="s">
        <v>13661</v>
      </c>
      <c r="SSF1" t="s">
        <v>13662</v>
      </c>
      <c r="SSG1" t="s">
        <v>13663</v>
      </c>
      <c r="SSH1" t="s">
        <v>13664</v>
      </c>
      <c r="SSI1" t="s">
        <v>13665</v>
      </c>
      <c r="SSJ1" t="s">
        <v>13666</v>
      </c>
      <c r="SSK1" t="s">
        <v>13667</v>
      </c>
      <c r="SSL1" t="s">
        <v>13668</v>
      </c>
      <c r="SSM1" t="s">
        <v>13669</v>
      </c>
      <c r="SSN1" t="s">
        <v>13670</v>
      </c>
      <c r="SSO1" t="s">
        <v>13671</v>
      </c>
      <c r="SSP1" t="s">
        <v>13672</v>
      </c>
      <c r="SSQ1" t="s">
        <v>13673</v>
      </c>
      <c r="SSR1" t="s">
        <v>13674</v>
      </c>
      <c r="SSS1" t="s">
        <v>13675</v>
      </c>
      <c r="SST1" t="s">
        <v>13676</v>
      </c>
      <c r="SSU1" t="s">
        <v>13677</v>
      </c>
      <c r="SSV1" t="s">
        <v>13678</v>
      </c>
      <c r="SSW1" t="s">
        <v>13679</v>
      </c>
      <c r="SSX1" t="s">
        <v>13680</v>
      </c>
      <c r="SSY1" t="s">
        <v>13681</v>
      </c>
      <c r="SSZ1" t="s">
        <v>13682</v>
      </c>
      <c r="STA1" t="s">
        <v>13683</v>
      </c>
      <c r="STB1" t="s">
        <v>13684</v>
      </c>
      <c r="STC1" t="s">
        <v>13685</v>
      </c>
      <c r="STD1" t="s">
        <v>13686</v>
      </c>
      <c r="STE1" t="s">
        <v>13687</v>
      </c>
      <c r="STF1" t="s">
        <v>13688</v>
      </c>
      <c r="STG1" t="s">
        <v>13689</v>
      </c>
      <c r="STH1" t="s">
        <v>13690</v>
      </c>
      <c r="STI1" t="s">
        <v>13691</v>
      </c>
      <c r="STJ1" t="s">
        <v>13692</v>
      </c>
      <c r="STK1" t="s">
        <v>13693</v>
      </c>
      <c r="STL1" t="s">
        <v>13694</v>
      </c>
      <c r="STM1" t="s">
        <v>13695</v>
      </c>
      <c r="STN1" t="s">
        <v>13696</v>
      </c>
      <c r="STO1" t="s">
        <v>13697</v>
      </c>
      <c r="STP1" t="s">
        <v>13698</v>
      </c>
      <c r="STQ1" t="s">
        <v>13699</v>
      </c>
      <c r="STR1" t="s">
        <v>13700</v>
      </c>
      <c r="STS1" t="s">
        <v>13701</v>
      </c>
      <c r="STT1" t="s">
        <v>13702</v>
      </c>
      <c r="STU1" t="s">
        <v>13703</v>
      </c>
      <c r="STV1" t="s">
        <v>13704</v>
      </c>
      <c r="STW1" t="s">
        <v>13705</v>
      </c>
      <c r="STX1" t="s">
        <v>13706</v>
      </c>
      <c r="STY1" t="s">
        <v>13707</v>
      </c>
      <c r="STZ1" t="s">
        <v>13708</v>
      </c>
      <c r="SUA1" t="s">
        <v>13709</v>
      </c>
      <c r="SUB1" t="s">
        <v>13710</v>
      </c>
      <c r="SUC1" t="s">
        <v>13711</v>
      </c>
      <c r="SUD1" t="s">
        <v>13712</v>
      </c>
      <c r="SUE1" t="s">
        <v>13713</v>
      </c>
      <c r="SUF1" t="s">
        <v>13714</v>
      </c>
      <c r="SUG1" t="s">
        <v>13715</v>
      </c>
      <c r="SUH1" t="s">
        <v>13716</v>
      </c>
      <c r="SUI1" t="s">
        <v>13717</v>
      </c>
      <c r="SUJ1" t="s">
        <v>13718</v>
      </c>
      <c r="SUK1" t="s">
        <v>13719</v>
      </c>
      <c r="SUL1" t="s">
        <v>13720</v>
      </c>
      <c r="SUM1" t="s">
        <v>13721</v>
      </c>
      <c r="SUN1" t="s">
        <v>13722</v>
      </c>
      <c r="SUO1" t="s">
        <v>13723</v>
      </c>
      <c r="SUP1" t="s">
        <v>13724</v>
      </c>
      <c r="SUQ1" t="s">
        <v>13725</v>
      </c>
      <c r="SUR1" t="s">
        <v>13726</v>
      </c>
      <c r="SUS1" t="s">
        <v>13727</v>
      </c>
      <c r="SUT1" t="s">
        <v>13728</v>
      </c>
      <c r="SUU1" t="s">
        <v>13729</v>
      </c>
      <c r="SUV1" t="s">
        <v>13730</v>
      </c>
      <c r="SUW1" t="s">
        <v>13731</v>
      </c>
      <c r="SUX1" t="s">
        <v>13732</v>
      </c>
      <c r="SUY1" t="s">
        <v>13733</v>
      </c>
      <c r="SUZ1" t="s">
        <v>13734</v>
      </c>
      <c r="SVA1" t="s">
        <v>13735</v>
      </c>
      <c r="SVB1" t="s">
        <v>13736</v>
      </c>
      <c r="SVC1" t="s">
        <v>13737</v>
      </c>
      <c r="SVD1" t="s">
        <v>13738</v>
      </c>
      <c r="SVE1" t="s">
        <v>13739</v>
      </c>
      <c r="SVF1" t="s">
        <v>13740</v>
      </c>
      <c r="SVG1" t="s">
        <v>13741</v>
      </c>
      <c r="SVH1" t="s">
        <v>13742</v>
      </c>
      <c r="SVI1" t="s">
        <v>13743</v>
      </c>
      <c r="SVJ1" t="s">
        <v>13744</v>
      </c>
      <c r="SVK1" t="s">
        <v>13745</v>
      </c>
      <c r="SVL1" t="s">
        <v>13746</v>
      </c>
      <c r="SVM1" t="s">
        <v>13747</v>
      </c>
      <c r="SVN1" t="s">
        <v>13748</v>
      </c>
      <c r="SVO1" t="s">
        <v>13749</v>
      </c>
      <c r="SVP1" t="s">
        <v>13750</v>
      </c>
      <c r="SVQ1" t="s">
        <v>13751</v>
      </c>
      <c r="SVR1" t="s">
        <v>13752</v>
      </c>
      <c r="SVS1" t="s">
        <v>13753</v>
      </c>
      <c r="SVT1" t="s">
        <v>13754</v>
      </c>
      <c r="SVU1" t="s">
        <v>13755</v>
      </c>
      <c r="SVV1" t="s">
        <v>13756</v>
      </c>
      <c r="SVW1" t="s">
        <v>13757</v>
      </c>
      <c r="SVX1" t="s">
        <v>13758</v>
      </c>
      <c r="SVY1" t="s">
        <v>13759</v>
      </c>
      <c r="SVZ1" t="s">
        <v>13760</v>
      </c>
      <c r="SWA1" t="s">
        <v>13761</v>
      </c>
      <c r="SWB1" t="s">
        <v>13762</v>
      </c>
      <c r="SWC1" t="s">
        <v>13763</v>
      </c>
      <c r="SWD1" t="s">
        <v>13764</v>
      </c>
      <c r="SWE1" t="s">
        <v>13765</v>
      </c>
      <c r="SWF1" t="s">
        <v>13766</v>
      </c>
      <c r="SWG1" t="s">
        <v>13767</v>
      </c>
      <c r="SWH1" t="s">
        <v>13768</v>
      </c>
      <c r="SWI1" t="s">
        <v>13769</v>
      </c>
      <c r="SWJ1" t="s">
        <v>13770</v>
      </c>
      <c r="SWK1" t="s">
        <v>13771</v>
      </c>
      <c r="SWL1" t="s">
        <v>13772</v>
      </c>
      <c r="SWM1" t="s">
        <v>13773</v>
      </c>
      <c r="SWN1" t="s">
        <v>13774</v>
      </c>
      <c r="SWO1" t="s">
        <v>13775</v>
      </c>
      <c r="SWP1" t="s">
        <v>13776</v>
      </c>
      <c r="SWQ1" t="s">
        <v>13777</v>
      </c>
      <c r="SWR1" t="s">
        <v>13778</v>
      </c>
      <c r="SWS1" t="s">
        <v>13779</v>
      </c>
      <c r="SWT1" t="s">
        <v>13780</v>
      </c>
      <c r="SWU1" t="s">
        <v>13781</v>
      </c>
      <c r="SWV1" t="s">
        <v>13782</v>
      </c>
      <c r="SWW1" t="s">
        <v>13783</v>
      </c>
      <c r="SWX1" t="s">
        <v>13784</v>
      </c>
      <c r="SWY1" t="s">
        <v>13785</v>
      </c>
      <c r="SWZ1" t="s">
        <v>13786</v>
      </c>
      <c r="SXA1" t="s">
        <v>13787</v>
      </c>
      <c r="SXB1" t="s">
        <v>13788</v>
      </c>
      <c r="SXC1" t="s">
        <v>13789</v>
      </c>
      <c r="SXD1" t="s">
        <v>13790</v>
      </c>
      <c r="SXE1" t="s">
        <v>13791</v>
      </c>
      <c r="SXF1" t="s">
        <v>13792</v>
      </c>
      <c r="SXG1" t="s">
        <v>13793</v>
      </c>
      <c r="SXH1" t="s">
        <v>13794</v>
      </c>
      <c r="SXI1" t="s">
        <v>13795</v>
      </c>
      <c r="SXJ1" t="s">
        <v>13796</v>
      </c>
      <c r="SXK1" t="s">
        <v>13797</v>
      </c>
      <c r="SXL1" t="s">
        <v>13798</v>
      </c>
      <c r="SXM1" t="s">
        <v>13799</v>
      </c>
      <c r="SXN1" t="s">
        <v>13800</v>
      </c>
      <c r="SXO1" t="s">
        <v>13801</v>
      </c>
      <c r="SXP1" t="s">
        <v>13802</v>
      </c>
      <c r="SXQ1" t="s">
        <v>13803</v>
      </c>
      <c r="SXR1" t="s">
        <v>13804</v>
      </c>
      <c r="SXS1" t="s">
        <v>13805</v>
      </c>
      <c r="SXT1" t="s">
        <v>13806</v>
      </c>
      <c r="SXU1" t="s">
        <v>13807</v>
      </c>
      <c r="SXV1" t="s">
        <v>13808</v>
      </c>
      <c r="SXW1" t="s">
        <v>13809</v>
      </c>
      <c r="SXX1" t="s">
        <v>13810</v>
      </c>
      <c r="SXY1" t="s">
        <v>13811</v>
      </c>
      <c r="SXZ1" t="s">
        <v>13812</v>
      </c>
      <c r="SYA1" t="s">
        <v>13813</v>
      </c>
      <c r="SYB1" t="s">
        <v>13814</v>
      </c>
      <c r="SYC1" t="s">
        <v>13815</v>
      </c>
      <c r="SYD1" t="s">
        <v>13816</v>
      </c>
      <c r="SYE1" t="s">
        <v>13817</v>
      </c>
      <c r="SYF1" t="s">
        <v>13818</v>
      </c>
      <c r="SYG1" t="s">
        <v>13819</v>
      </c>
      <c r="SYH1" t="s">
        <v>13820</v>
      </c>
      <c r="SYI1" t="s">
        <v>13821</v>
      </c>
      <c r="SYJ1" t="s">
        <v>13822</v>
      </c>
      <c r="SYK1" t="s">
        <v>13823</v>
      </c>
      <c r="SYL1" t="s">
        <v>13824</v>
      </c>
      <c r="SYM1" t="s">
        <v>13825</v>
      </c>
      <c r="SYN1" t="s">
        <v>13826</v>
      </c>
      <c r="SYO1" t="s">
        <v>13827</v>
      </c>
      <c r="SYP1" t="s">
        <v>13828</v>
      </c>
      <c r="SYQ1" t="s">
        <v>13829</v>
      </c>
      <c r="SYR1" t="s">
        <v>13830</v>
      </c>
      <c r="SYS1" t="s">
        <v>13831</v>
      </c>
      <c r="SYT1" t="s">
        <v>13832</v>
      </c>
      <c r="SYU1" t="s">
        <v>13833</v>
      </c>
      <c r="SYV1" t="s">
        <v>13834</v>
      </c>
      <c r="SYW1" t="s">
        <v>13835</v>
      </c>
      <c r="SYX1" t="s">
        <v>13836</v>
      </c>
      <c r="SYY1" t="s">
        <v>13837</v>
      </c>
      <c r="SYZ1" t="s">
        <v>13838</v>
      </c>
      <c r="SZA1" t="s">
        <v>13839</v>
      </c>
      <c r="SZB1" t="s">
        <v>13840</v>
      </c>
      <c r="SZC1" t="s">
        <v>13841</v>
      </c>
      <c r="SZD1" t="s">
        <v>13842</v>
      </c>
      <c r="SZE1" t="s">
        <v>13843</v>
      </c>
      <c r="SZF1" t="s">
        <v>13844</v>
      </c>
      <c r="SZG1" t="s">
        <v>13845</v>
      </c>
      <c r="SZH1" t="s">
        <v>13846</v>
      </c>
      <c r="SZI1" t="s">
        <v>13847</v>
      </c>
      <c r="SZJ1" t="s">
        <v>13848</v>
      </c>
      <c r="SZK1" t="s">
        <v>13849</v>
      </c>
      <c r="SZL1" t="s">
        <v>13850</v>
      </c>
      <c r="SZM1" t="s">
        <v>13851</v>
      </c>
      <c r="SZN1" t="s">
        <v>13852</v>
      </c>
      <c r="SZO1" t="s">
        <v>13853</v>
      </c>
      <c r="SZP1" t="s">
        <v>13854</v>
      </c>
      <c r="SZQ1" t="s">
        <v>13855</v>
      </c>
      <c r="SZR1" t="s">
        <v>13856</v>
      </c>
      <c r="SZS1" t="s">
        <v>13857</v>
      </c>
      <c r="SZT1" t="s">
        <v>13858</v>
      </c>
      <c r="SZU1" t="s">
        <v>13859</v>
      </c>
      <c r="SZV1" t="s">
        <v>13860</v>
      </c>
      <c r="SZW1" t="s">
        <v>13861</v>
      </c>
      <c r="SZX1" t="s">
        <v>13862</v>
      </c>
      <c r="SZY1" t="s">
        <v>13863</v>
      </c>
      <c r="SZZ1" t="s">
        <v>13864</v>
      </c>
      <c r="TAA1" t="s">
        <v>13865</v>
      </c>
      <c r="TAB1" t="s">
        <v>13866</v>
      </c>
      <c r="TAC1" t="s">
        <v>13867</v>
      </c>
      <c r="TAD1" t="s">
        <v>13868</v>
      </c>
      <c r="TAE1" t="s">
        <v>13869</v>
      </c>
      <c r="TAF1" t="s">
        <v>13870</v>
      </c>
      <c r="TAG1" t="s">
        <v>13871</v>
      </c>
      <c r="TAH1" t="s">
        <v>13872</v>
      </c>
      <c r="TAI1" t="s">
        <v>13873</v>
      </c>
      <c r="TAJ1" t="s">
        <v>13874</v>
      </c>
      <c r="TAK1" t="s">
        <v>13875</v>
      </c>
      <c r="TAL1" t="s">
        <v>13876</v>
      </c>
      <c r="TAM1" t="s">
        <v>13877</v>
      </c>
      <c r="TAN1" t="s">
        <v>13878</v>
      </c>
      <c r="TAO1" t="s">
        <v>13879</v>
      </c>
      <c r="TAP1" t="s">
        <v>13880</v>
      </c>
      <c r="TAQ1" t="s">
        <v>13881</v>
      </c>
      <c r="TAR1" t="s">
        <v>13882</v>
      </c>
      <c r="TAS1" t="s">
        <v>13883</v>
      </c>
      <c r="TAT1" t="s">
        <v>13884</v>
      </c>
      <c r="TAU1" t="s">
        <v>13885</v>
      </c>
      <c r="TAV1" t="s">
        <v>13886</v>
      </c>
      <c r="TAW1" t="s">
        <v>13887</v>
      </c>
      <c r="TAX1" t="s">
        <v>13888</v>
      </c>
      <c r="TAY1" t="s">
        <v>13889</v>
      </c>
      <c r="TAZ1" t="s">
        <v>13890</v>
      </c>
      <c r="TBA1" t="s">
        <v>13891</v>
      </c>
      <c r="TBB1" t="s">
        <v>13892</v>
      </c>
      <c r="TBC1" t="s">
        <v>13893</v>
      </c>
      <c r="TBD1" t="s">
        <v>13894</v>
      </c>
      <c r="TBE1" t="s">
        <v>13895</v>
      </c>
      <c r="TBF1" t="s">
        <v>13896</v>
      </c>
      <c r="TBG1" t="s">
        <v>13897</v>
      </c>
      <c r="TBH1" t="s">
        <v>13898</v>
      </c>
      <c r="TBI1" t="s">
        <v>13899</v>
      </c>
      <c r="TBJ1" t="s">
        <v>13900</v>
      </c>
      <c r="TBK1" t="s">
        <v>13901</v>
      </c>
      <c r="TBL1" t="s">
        <v>13902</v>
      </c>
      <c r="TBM1" t="s">
        <v>13903</v>
      </c>
      <c r="TBN1" t="s">
        <v>13904</v>
      </c>
      <c r="TBO1" t="s">
        <v>13905</v>
      </c>
      <c r="TBP1" t="s">
        <v>13906</v>
      </c>
      <c r="TBQ1" t="s">
        <v>13907</v>
      </c>
      <c r="TBR1" t="s">
        <v>13908</v>
      </c>
      <c r="TBS1" t="s">
        <v>13909</v>
      </c>
      <c r="TBT1" t="s">
        <v>13910</v>
      </c>
      <c r="TBU1" t="s">
        <v>13911</v>
      </c>
      <c r="TBV1" t="s">
        <v>13912</v>
      </c>
      <c r="TBW1" t="s">
        <v>13913</v>
      </c>
      <c r="TBX1" t="s">
        <v>13914</v>
      </c>
      <c r="TBY1" t="s">
        <v>13915</v>
      </c>
      <c r="TBZ1" t="s">
        <v>13916</v>
      </c>
      <c r="TCA1" t="s">
        <v>13917</v>
      </c>
      <c r="TCB1" t="s">
        <v>13918</v>
      </c>
      <c r="TCC1" t="s">
        <v>13919</v>
      </c>
      <c r="TCD1" t="s">
        <v>13920</v>
      </c>
      <c r="TCE1" t="s">
        <v>13921</v>
      </c>
      <c r="TCF1" t="s">
        <v>13922</v>
      </c>
      <c r="TCG1" t="s">
        <v>13923</v>
      </c>
      <c r="TCH1" t="s">
        <v>13924</v>
      </c>
      <c r="TCI1" t="s">
        <v>13925</v>
      </c>
      <c r="TCJ1" t="s">
        <v>13926</v>
      </c>
      <c r="TCK1" t="s">
        <v>13927</v>
      </c>
      <c r="TCL1" t="s">
        <v>13928</v>
      </c>
      <c r="TCM1" t="s">
        <v>13929</v>
      </c>
      <c r="TCN1" t="s">
        <v>13930</v>
      </c>
      <c r="TCO1" t="s">
        <v>13931</v>
      </c>
      <c r="TCP1" t="s">
        <v>13932</v>
      </c>
      <c r="TCQ1" t="s">
        <v>13933</v>
      </c>
      <c r="TCR1" t="s">
        <v>13934</v>
      </c>
      <c r="TCS1" t="s">
        <v>13935</v>
      </c>
      <c r="TCT1" t="s">
        <v>13936</v>
      </c>
      <c r="TCU1" t="s">
        <v>13937</v>
      </c>
      <c r="TCV1" t="s">
        <v>13938</v>
      </c>
      <c r="TCW1" t="s">
        <v>13939</v>
      </c>
      <c r="TCX1" t="s">
        <v>13940</v>
      </c>
      <c r="TCY1" t="s">
        <v>13941</v>
      </c>
      <c r="TCZ1" t="s">
        <v>13942</v>
      </c>
      <c r="TDA1" t="s">
        <v>13943</v>
      </c>
      <c r="TDB1" t="s">
        <v>13944</v>
      </c>
      <c r="TDC1" t="s">
        <v>13945</v>
      </c>
      <c r="TDD1" t="s">
        <v>13946</v>
      </c>
      <c r="TDE1" t="s">
        <v>13947</v>
      </c>
      <c r="TDF1" t="s">
        <v>13948</v>
      </c>
      <c r="TDG1" t="s">
        <v>13949</v>
      </c>
      <c r="TDH1" t="s">
        <v>13950</v>
      </c>
      <c r="TDI1" t="s">
        <v>13951</v>
      </c>
      <c r="TDJ1" t="s">
        <v>13952</v>
      </c>
      <c r="TDK1" t="s">
        <v>13953</v>
      </c>
      <c r="TDL1" t="s">
        <v>13954</v>
      </c>
      <c r="TDM1" t="s">
        <v>13955</v>
      </c>
      <c r="TDN1" t="s">
        <v>13956</v>
      </c>
      <c r="TDO1" t="s">
        <v>13957</v>
      </c>
      <c r="TDP1" t="s">
        <v>13958</v>
      </c>
      <c r="TDQ1" t="s">
        <v>13959</v>
      </c>
      <c r="TDR1" t="s">
        <v>13960</v>
      </c>
      <c r="TDS1" t="s">
        <v>13961</v>
      </c>
      <c r="TDT1" t="s">
        <v>13962</v>
      </c>
      <c r="TDU1" t="s">
        <v>13963</v>
      </c>
      <c r="TDV1" t="s">
        <v>13964</v>
      </c>
      <c r="TDW1" t="s">
        <v>13965</v>
      </c>
      <c r="TDX1" t="s">
        <v>13966</v>
      </c>
      <c r="TDY1" t="s">
        <v>13967</v>
      </c>
      <c r="TDZ1" t="s">
        <v>13968</v>
      </c>
      <c r="TEA1" t="s">
        <v>13969</v>
      </c>
      <c r="TEB1" t="s">
        <v>13970</v>
      </c>
      <c r="TEC1" t="s">
        <v>13971</v>
      </c>
      <c r="TED1" t="s">
        <v>13972</v>
      </c>
      <c r="TEE1" t="s">
        <v>13973</v>
      </c>
      <c r="TEF1" t="s">
        <v>13974</v>
      </c>
      <c r="TEG1" t="s">
        <v>13975</v>
      </c>
      <c r="TEH1" t="s">
        <v>13976</v>
      </c>
      <c r="TEI1" t="s">
        <v>13977</v>
      </c>
      <c r="TEJ1" t="s">
        <v>13978</v>
      </c>
      <c r="TEK1" t="s">
        <v>13979</v>
      </c>
      <c r="TEL1" t="s">
        <v>13980</v>
      </c>
      <c r="TEM1" t="s">
        <v>13981</v>
      </c>
      <c r="TEN1" t="s">
        <v>13982</v>
      </c>
      <c r="TEO1" t="s">
        <v>13983</v>
      </c>
      <c r="TEP1" t="s">
        <v>13984</v>
      </c>
      <c r="TEQ1" t="s">
        <v>13985</v>
      </c>
      <c r="TER1" t="s">
        <v>13986</v>
      </c>
      <c r="TES1" t="s">
        <v>13987</v>
      </c>
      <c r="TET1" t="s">
        <v>13988</v>
      </c>
      <c r="TEU1" t="s">
        <v>13989</v>
      </c>
      <c r="TEV1" t="s">
        <v>13990</v>
      </c>
      <c r="TEW1" t="s">
        <v>13991</v>
      </c>
      <c r="TEX1" t="s">
        <v>13992</v>
      </c>
      <c r="TEY1" t="s">
        <v>13993</v>
      </c>
      <c r="TEZ1" t="s">
        <v>13994</v>
      </c>
      <c r="TFA1" t="s">
        <v>13995</v>
      </c>
      <c r="TFB1" t="s">
        <v>13996</v>
      </c>
      <c r="TFC1" t="s">
        <v>13997</v>
      </c>
      <c r="TFD1" t="s">
        <v>13998</v>
      </c>
      <c r="TFE1" t="s">
        <v>13999</v>
      </c>
      <c r="TFF1" t="s">
        <v>14000</v>
      </c>
      <c r="TFG1" t="s">
        <v>14001</v>
      </c>
      <c r="TFH1" t="s">
        <v>14002</v>
      </c>
      <c r="TFI1" t="s">
        <v>14003</v>
      </c>
      <c r="TFJ1" t="s">
        <v>14004</v>
      </c>
      <c r="TFK1" t="s">
        <v>14005</v>
      </c>
      <c r="TFL1" t="s">
        <v>14006</v>
      </c>
      <c r="TFM1" t="s">
        <v>14007</v>
      </c>
      <c r="TFN1" t="s">
        <v>14008</v>
      </c>
      <c r="TFO1" t="s">
        <v>14009</v>
      </c>
      <c r="TFP1" t="s">
        <v>14010</v>
      </c>
      <c r="TFQ1" t="s">
        <v>14011</v>
      </c>
      <c r="TFR1" t="s">
        <v>14012</v>
      </c>
      <c r="TFS1" t="s">
        <v>14013</v>
      </c>
      <c r="TFT1" t="s">
        <v>14014</v>
      </c>
      <c r="TFU1" t="s">
        <v>14015</v>
      </c>
      <c r="TFV1" t="s">
        <v>14016</v>
      </c>
      <c r="TFW1" t="s">
        <v>14017</v>
      </c>
      <c r="TFX1" t="s">
        <v>14018</v>
      </c>
      <c r="TFY1" t="s">
        <v>14019</v>
      </c>
      <c r="TFZ1" t="s">
        <v>14020</v>
      </c>
      <c r="TGA1" t="s">
        <v>14021</v>
      </c>
      <c r="TGB1" t="s">
        <v>14022</v>
      </c>
      <c r="TGC1" t="s">
        <v>14023</v>
      </c>
      <c r="TGD1" t="s">
        <v>14024</v>
      </c>
      <c r="TGE1" t="s">
        <v>14025</v>
      </c>
      <c r="TGF1" t="s">
        <v>14026</v>
      </c>
      <c r="TGG1" t="s">
        <v>14027</v>
      </c>
      <c r="TGH1" t="s">
        <v>14028</v>
      </c>
      <c r="TGI1" t="s">
        <v>14029</v>
      </c>
      <c r="TGJ1" t="s">
        <v>14030</v>
      </c>
      <c r="TGK1" t="s">
        <v>14031</v>
      </c>
      <c r="TGL1" t="s">
        <v>14032</v>
      </c>
      <c r="TGM1" t="s">
        <v>14033</v>
      </c>
      <c r="TGN1" t="s">
        <v>14034</v>
      </c>
      <c r="TGO1" t="s">
        <v>14035</v>
      </c>
      <c r="TGP1" t="s">
        <v>14036</v>
      </c>
      <c r="TGQ1" t="s">
        <v>14037</v>
      </c>
      <c r="TGR1" t="s">
        <v>14038</v>
      </c>
      <c r="TGS1" t="s">
        <v>14039</v>
      </c>
      <c r="TGT1" t="s">
        <v>14040</v>
      </c>
      <c r="TGU1" t="s">
        <v>14041</v>
      </c>
      <c r="TGV1" t="s">
        <v>14042</v>
      </c>
      <c r="TGW1" t="s">
        <v>14043</v>
      </c>
      <c r="TGX1" t="s">
        <v>14044</v>
      </c>
      <c r="TGY1" t="s">
        <v>14045</v>
      </c>
      <c r="TGZ1" t="s">
        <v>14046</v>
      </c>
      <c r="THA1" t="s">
        <v>14047</v>
      </c>
      <c r="THB1" t="s">
        <v>14048</v>
      </c>
      <c r="THC1" t="s">
        <v>14049</v>
      </c>
      <c r="THD1" t="s">
        <v>14050</v>
      </c>
      <c r="THE1" t="s">
        <v>14051</v>
      </c>
      <c r="THF1" t="s">
        <v>14052</v>
      </c>
      <c r="THG1" t="s">
        <v>14053</v>
      </c>
      <c r="THH1" t="s">
        <v>14054</v>
      </c>
      <c r="THI1" t="s">
        <v>14055</v>
      </c>
      <c r="THJ1" t="s">
        <v>14056</v>
      </c>
      <c r="THK1" t="s">
        <v>14057</v>
      </c>
      <c r="THL1" t="s">
        <v>14058</v>
      </c>
      <c r="THM1" t="s">
        <v>14059</v>
      </c>
      <c r="THN1" t="s">
        <v>14060</v>
      </c>
      <c r="THO1" t="s">
        <v>14061</v>
      </c>
      <c r="THP1" t="s">
        <v>14062</v>
      </c>
      <c r="THQ1" t="s">
        <v>14063</v>
      </c>
      <c r="THR1" t="s">
        <v>14064</v>
      </c>
      <c r="THS1" t="s">
        <v>14065</v>
      </c>
      <c r="THT1" t="s">
        <v>14066</v>
      </c>
      <c r="THU1" t="s">
        <v>14067</v>
      </c>
      <c r="THV1" t="s">
        <v>14068</v>
      </c>
      <c r="THW1" t="s">
        <v>14069</v>
      </c>
      <c r="THX1" t="s">
        <v>14070</v>
      </c>
      <c r="THY1" t="s">
        <v>14071</v>
      </c>
      <c r="THZ1" t="s">
        <v>14072</v>
      </c>
      <c r="TIA1" t="s">
        <v>14073</v>
      </c>
      <c r="TIB1" t="s">
        <v>14074</v>
      </c>
      <c r="TIC1" t="s">
        <v>14075</v>
      </c>
      <c r="TID1" t="s">
        <v>14076</v>
      </c>
      <c r="TIE1" t="s">
        <v>14077</v>
      </c>
      <c r="TIF1" t="s">
        <v>14078</v>
      </c>
      <c r="TIG1" t="s">
        <v>14079</v>
      </c>
      <c r="TIH1" t="s">
        <v>14080</v>
      </c>
      <c r="TII1" t="s">
        <v>14081</v>
      </c>
      <c r="TIJ1" t="s">
        <v>14082</v>
      </c>
      <c r="TIK1" t="s">
        <v>14083</v>
      </c>
      <c r="TIL1" t="s">
        <v>14084</v>
      </c>
      <c r="TIM1" t="s">
        <v>14085</v>
      </c>
      <c r="TIN1" t="s">
        <v>14086</v>
      </c>
      <c r="TIO1" t="s">
        <v>14087</v>
      </c>
      <c r="TIP1" t="s">
        <v>14088</v>
      </c>
      <c r="TIQ1" t="s">
        <v>14089</v>
      </c>
      <c r="TIR1" t="s">
        <v>14090</v>
      </c>
      <c r="TIS1" t="s">
        <v>14091</v>
      </c>
      <c r="TIT1" t="s">
        <v>14092</v>
      </c>
      <c r="TIU1" t="s">
        <v>14093</v>
      </c>
      <c r="TIV1" t="s">
        <v>14094</v>
      </c>
      <c r="TIW1" t="s">
        <v>14095</v>
      </c>
      <c r="TIX1" t="s">
        <v>14096</v>
      </c>
      <c r="TIY1" t="s">
        <v>14097</v>
      </c>
      <c r="TIZ1" t="s">
        <v>14098</v>
      </c>
      <c r="TJA1" t="s">
        <v>14099</v>
      </c>
      <c r="TJB1" t="s">
        <v>14100</v>
      </c>
      <c r="TJC1" t="s">
        <v>14101</v>
      </c>
      <c r="TJD1" t="s">
        <v>14102</v>
      </c>
      <c r="TJE1" t="s">
        <v>14103</v>
      </c>
      <c r="TJF1" t="s">
        <v>14104</v>
      </c>
      <c r="TJG1" t="s">
        <v>14105</v>
      </c>
      <c r="TJH1" t="s">
        <v>14106</v>
      </c>
      <c r="TJI1" t="s">
        <v>14107</v>
      </c>
      <c r="TJJ1" t="s">
        <v>14108</v>
      </c>
      <c r="TJK1" t="s">
        <v>14109</v>
      </c>
      <c r="TJL1" t="s">
        <v>14110</v>
      </c>
      <c r="TJM1" t="s">
        <v>14111</v>
      </c>
      <c r="TJN1" t="s">
        <v>14112</v>
      </c>
      <c r="TJO1" t="s">
        <v>14113</v>
      </c>
      <c r="TJP1" t="s">
        <v>14114</v>
      </c>
      <c r="TJQ1" t="s">
        <v>14115</v>
      </c>
      <c r="TJR1" t="s">
        <v>14116</v>
      </c>
      <c r="TJS1" t="s">
        <v>14117</v>
      </c>
      <c r="TJT1" t="s">
        <v>14118</v>
      </c>
      <c r="TJU1" t="s">
        <v>14119</v>
      </c>
      <c r="TJV1" t="s">
        <v>14120</v>
      </c>
      <c r="TJW1" t="s">
        <v>14121</v>
      </c>
      <c r="TJX1" t="s">
        <v>14122</v>
      </c>
      <c r="TJY1" t="s">
        <v>14123</v>
      </c>
      <c r="TJZ1" t="s">
        <v>14124</v>
      </c>
      <c r="TKA1" t="s">
        <v>14125</v>
      </c>
      <c r="TKB1" t="s">
        <v>14126</v>
      </c>
      <c r="TKC1" t="s">
        <v>14127</v>
      </c>
      <c r="TKD1" t="s">
        <v>14128</v>
      </c>
      <c r="TKE1" t="s">
        <v>14129</v>
      </c>
      <c r="TKF1" t="s">
        <v>14130</v>
      </c>
      <c r="TKG1" t="s">
        <v>14131</v>
      </c>
      <c r="TKH1" t="s">
        <v>14132</v>
      </c>
      <c r="TKI1" t="s">
        <v>14133</v>
      </c>
      <c r="TKJ1" t="s">
        <v>14134</v>
      </c>
      <c r="TKK1" t="s">
        <v>14135</v>
      </c>
      <c r="TKL1" t="s">
        <v>14136</v>
      </c>
      <c r="TKM1" t="s">
        <v>14137</v>
      </c>
      <c r="TKN1" t="s">
        <v>14138</v>
      </c>
      <c r="TKO1" t="s">
        <v>14139</v>
      </c>
      <c r="TKP1" t="s">
        <v>14140</v>
      </c>
      <c r="TKQ1" t="s">
        <v>14141</v>
      </c>
      <c r="TKR1" t="s">
        <v>14142</v>
      </c>
      <c r="TKS1" t="s">
        <v>14143</v>
      </c>
      <c r="TKT1" t="s">
        <v>14144</v>
      </c>
      <c r="TKU1" t="s">
        <v>14145</v>
      </c>
      <c r="TKV1" t="s">
        <v>14146</v>
      </c>
      <c r="TKW1" t="s">
        <v>14147</v>
      </c>
      <c r="TKX1" t="s">
        <v>14148</v>
      </c>
      <c r="TKY1" t="s">
        <v>14149</v>
      </c>
      <c r="TKZ1" t="s">
        <v>14150</v>
      </c>
      <c r="TLA1" t="s">
        <v>14151</v>
      </c>
      <c r="TLB1" t="s">
        <v>14152</v>
      </c>
      <c r="TLC1" t="s">
        <v>14153</v>
      </c>
      <c r="TLD1" t="s">
        <v>14154</v>
      </c>
      <c r="TLE1" t="s">
        <v>14155</v>
      </c>
      <c r="TLF1" t="s">
        <v>14156</v>
      </c>
      <c r="TLG1" t="s">
        <v>14157</v>
      </c>
      <c r="TLH1" t="s">
        <v>14158</v>
      </c>
      <c r="TLI1" t="s">
        <v>14159</v>
      </c>
      <c r="TLJ1" t="s">
        <v>14160</v>
      </c>
      <c r="TLK1" t="s">
        <v>14161</v>
      </c>
      <c r="TLL1" t="s">
        <v>14162</v>
      </c>
      <c r="TLM1" t="s">
        <v>14163</v>
      </c>
      <c r="TLN1" t="s">
        <v>14164</v>
      </c>
      <c r="TLO1" t="s">
        <v>14165</v>
      </c>
      <c r="TLP1" t="s">
        <v>14166</v>
      </c>
      <c r="TLQ1" t="s">
        <v>14167</v>
      </c>
      <c r="TLR1" t="s">
        <v>14168</v>
      </c>
      <c r="TLS1" t="s">
        <v>14169</v>
      </c>
      <c r="TLT1" t="s">
        <v>14170</v>
      </c>
      <c r="TLU1" t="s">
        <v>14171</v>
      </c>
      <c r="TLV1" t="s">
        <v>14172</v>
      </c>
      <c r="TLW1" t="s">
        <v>14173</v>
      </c>
      <c r="TLX1" t="s">
        <v>14174</v>
      </c>
      <c r="TLY1" t="s">
        <v>14175</v>
      </c>
      <c r="TLZ1" t="s">
        <v>14176</v>
      </c>
      <c r="TMA1" t="s">
        <v>14177</v>
      </c>
      <c r="TMB1" t="s">
        <v>14178</v>
      </c>
      <c r="TMC1" t="s">
        <v>14179</v>
      </c>
      <c r="TMD1" t="s">
        <v>14180</v>
      </c>
      <c r="TME1" t="s">
        <v>14181</v>
      </c>
      <c r="TMF1" t="s">
        <v>14182</v>
      </c>
      <c r="TMG1" t="s">
        <v>14183</v>
      </c>
      <c r="TMH1" t="s">
        <v>14184</v>
      </c>
      <c r="TMI1" t="s">
        <v>14185</v>
      </c>
      <c r="TMJ1" t="s">
        <v>14186</v>
      </c>
      <c r="TMK1" t="s">
        <v>14187</v>
      </c>
      <c r="TML1" t="s">
        <v>14188</v>
      </c>
      <c r="TMM1" t="s">
        <v>14189</v>
      </c>
      <c r="TMN1" t="s">
        <v>14190</v>
      </c>
      <c r="TMO1" t="s">
        <v>14191</v>
      </c>
      <c r="TMP1" t="s">
        <v>14192</v>
      </c>
      <c r="TMQ1" t="s">
        <v>14193</v>
      </c>
      <c r="TMR1" t="s">
        <v>14194</v>
      </c>
      <c r="TMS1" t="s">
        <v>14195</v>
      </c>
      <c r="TMT1" t="s">
        <v>14196</v>
      </c>
      <c r="TMU1" t="s">
        <v>14197</v>
      </c>
      <c r="TMV1" t="s">
        <v>14198</v>
      </c>
      <c r="TMW1" t="s">
        <v>14199</v>
      </c>
      <c r="TMX1" t="s">
        <v>14200</v>
      </c>
      <c r="TMY1" t="s">
        <v>14201</v>
      </c>
      <c r="TMZ1" t="s">
        <v>14202</v>
      </c>
      <c r="TNA1" t="s">
        <v>14203</v>
      </c>
      <c r="TNB1" t="s">
        <v>14204</v>
      </c>
      <c r="TNC1" t="s">
        <v>14205</v>
      </c>
      <c r="TND1" t="s">
        <v>14206</v>
      </c>
      <c r="TNE1" t="s">
        <v>14207</v>
      </c>
      <c r="TNF1" t="s">
        <v>14208</v>
      </c>
      <c r="TNG1" t="s">
        <v>14209</v>
      </c>
      <c r="TNH1" t="s">
        <v>14210</v>
      </c>
      <c r="TNI1" t="s">
        <v>14211</v>
      </c>
      <c r="TNJ1" t="s">
        <v>14212</v>
      </c>
      <c r="TNK1" t="s">
        <v>14213</v>
      </c>
      <c r="TNL1" t="s">
        <v>14214</v>
      </c>
      <c r="TNM1" t="s">
        <v>14215</v>
      </c>
      <c r="TNN1" t="s">
        <v>14216</v>
      </c>
      <c r="TNO1" t="s">
        <v>14217</v>
      </c>
      <c r="TNP1" t="s">
        <v>14218</v>
      </c>
      <c r="TNQ1" t="s">
        <v>14219</v>
      </c>
      <c r="TNR1" t="s">
        <v>14220</v>
      </c>
      <c r="TNS1" t="s">
        <v>14221</v>
      </c>
      <c r="TNT1" t="s">
        <v>14222</v>
      </c>
      <c r="TNU1" t="s">
        <v>14223</v>
      </c>
      <c r="TNV1" t="s">
        <v>14224</v>
      </c>
      <c r="TNW1" t="s">
        <v>14225</v>
      </c>
      <c r="TNX1" t="s">
        <v>14226</v>
      </c>
      <c r="TNY1" t="s">
        <v>14227</v>
      </c>
      <c r="TNZ1" t="s">
        <v>14228</v>
      </c>
      <c r="TOA1" t="s">
        <v>14229</v>
      </c>
      <c r="TOB1" t="s">
        <v>14230</v>
      </c>
      <c r="TOC1" t="s">
        <v>14231</v>
      </c>
      <c r="TOD1" t="s">
        <v>14232</v>
      </c>
      <c r="TOE1" t="s">
        <v>14233</v>
      </c>
      <c r="TOF1" t="s">
        <v>14234</v>
      </c>
      <c r="TOG1" t="s">
        <v>14235</v>
      </c>
      <c r="TOH1" t="s">
        <v>14236</v>
      </c>
      <c r="TOI1" t="s">
        <v>14237</v>
      </c>
      <c r="TOJ1" t="s">
        <v>14238</v>
      </c>
      <c r="TOK1" t="s">
        <v>14239</v>
      </c>
      <c r="TOL1" t="s">
        <v>14240</v>
      </c>
      <c r="TOM1" t="s">
        <v>14241</v>
      </c>
      <c r="TON1" t="s">
        <v>14242</v>
      </c>
      <c r="TOO1" t="s">
        <v>14243</v>
      </c>
      <c r="TOP1" t="s">
        <v>14244</v>
      </c>
      <c r="TOQ1" t="s">
        <v>14245</v>
      </c>
      <c r="TOR1" t="s">
        <v>14246</v>
      </c>
      <c r="TOS1" t="s">
        <v>14247</v>
      </c>
      <c r="TOT1" t="s">
        <v>14248</v>
      </c>
      <c r="TOU1" t="s">
        <v>14249</v>
      </c>
      <c r="TOV1" t="s">
        <v>14250</v>
      </c>
      <c r="TOW1" t="s">
        <v>14251</v>
      </c>
      <c r="TOX1" t="s">
        <v>14252</v>
      </c>
      <c r="TOY1" t="s">
        <v>14253</v>
      </c>
      <c r="TOZ1" t="s">
        <v>14254</v>
      </c>
      <c r="TPA1" t="s">
        <v>14255</v>
      </c>
      <c r="TPB1" t="s">
        <v>14256</v>
      </c>
      <c r="TPC1" t="s">
        <v>14257</v>
      </c>
      <c r="TPD1" t="s">
        <v>14258</v>
      </c>
      <c r="TPE1" t="s">
        <v>14259</v>
      </c>
      <c r="TPF1" t="s">
        <v>14260</v>
      </c>
      <c r="TPG1" t="s">
        <v>14261</v>
      </c>
      <c r="TPH1" t="s">
        <v>14262</v>
      </c>
      <c r="TPI1" t="s">
        <v>14263</v>
      </c>
      <c r="TPJ1" t="s">
        <v>14264</v>
      </c>
      <c r="TPK1" t="s">
        <v>14265</v>
      </c>
      <c r="TPL1" t="s">
        <v>14266</v>
      </c>
      <c r="TPM1" t="s">
        <v>14267</v>
      </c>
      <c r="TPN1" t="s">
        <v>14268</v>
      </c>
      <c r="TPO1" t="s">
        <v>14269</v>
      </c>
      <c r="TPP1" t="s">
        <v>14270</v>
      </c>
      <c r="TPQ1" t="s">
        <v>14271</v>
      </c>
      <c r="TPR1" t="s">
        <v>14272</v>
      </c>
      <c r="TPS1" t="s">
        <v>14273</v>
      </c>
      <c r="TPT1" t="s">
        <v>14274</v>
      </c>
      <c r="TPU1" t="s">
        <v>14275</v>
      </c>
      <c r="TPV1" t="s">
        <v>14276</v>
      </c>
      <c r="TPW1" t="s">
        <v>14277</v>
      </c>
      <c r="TPX1" t="s">
        <v>14278</v>
      </c>
      <c r="TPY1" t="s">
        <v>14279</v>
      </c>
      <c r="TPZ1" t="s">
        <v>14280</v>
      </c>
      <c r="TQA1" t="s">
        <v>14281</v>
      </c>
      <c r="TQB1" t="s">
        <v>14282</v>
      </c>
      <c r="TQC1" t="s">
        <v>14283</v>
      </c>
      <c r="TQD1" t="s">
        <v>14284</v>
      </c>
      <c r="TQE1" t="s">
        <v>14285</v>
      </c>
      <c r="TQF1" t="s">
        <v>14286</v>
      </c>
      <c r="TQG1" t="s">
        <v>14287</v>
      </c>
      <c r="TQH1" t="s">
        <v>14288</v>
      </c>
      <c r="TQI1" t="s">
        <v>14289</v>
      </c>
      <c r="TQJ1" t="s">
        <v>14290</v>
      </c>
      <c r="TQK1" t="s">
        <v>14291</v>
      </c>
      <c r="TQL1" t="s">
        <v>14292</v>
      </c>
      <c r="TQM1" t="s">
        <v>14293</v>
      </c>
      <c r="TQN1" t="s">
        <v>14294</v>
      </c>
      <c r="TQO1" t="s">
        <v>14295</v>
      </c>
      <c r="TQP1" t="s">
        <v>14296</v>
      </c>
      <c r="TQQ1" t="s">
        <v>14297</v>
      </c>
      <c r="TQR1" t="s">
        <v>14298</v>
      </c>
      <c r="TQS1" t="s">
        <v>14299</v>
      </c>
      <c r="TQT1" t="s">
        <v>14300</v>
      </c>
      <c r="TQU1" t="s">
        <v>14301</v>
      </c>
      <c r="TQV1" t="s">
        <v>14302</v>
      </c>
      <c r="TQW1" t="s">
        <v>14303</v>
      </c>
      <c r="TQX1" t="s">
        <v>14304</v>
      </c>
      <c r="TQY1" t="s">
        <v>14305</v>
      </c>
      <c r="TQZ1" t="s">
        <v>14306</v>
      </c>
      <c r="TRA1" t="s">
        <v>14307</v>
      </c>
      <c r="TRB1" t="s">
        <v>14308</v>
      </c>
      <c r="TRC1" t="s">
        <v>14309</v>
      </c>
      <c r="TRD1" t="s">
        <v>14310</v>
      </c>
      <c r="TRE1" t="s">
        <v>14311</v>
      </c>
      <c r="TRF1" t="s">
        <v>14312</v>
      </c>
      <c r="TRG1" t="s">
        <v>14313</v>
      </c>
      <c r="TRH1" t="s">
        <v>14314</v>
      </c>
      <c r="TRI1" t="s">
        <v>14315</v>
      </c>
      <c r="TRJ1" t="s">
        <v>14316</v>
      </c>
      <c r="TRK1" t="s">
        <v>14317</v>
      </c>
      <c r="TRL1" t="s">
        <v>14318</v>
      </c>
      <c r="TRM1" t="s">
        <v>14319</v>
      </c>
      <c r="TRN1" t="s">
        <v>14320</v>
      </c>
      <c r="TRO1" t="s">
        <v>14321</v>
      </c>
      <c r="TRP1" t="s">
        <v>14322</v>
      </c>
      <c r="TRQ1" t="s">
        <v>14323</v>
      </c>
      <c r="TRR1" t="s">
        <v>14324</v>
      </c>
      <c r="TRS1" t="s">
        <v>14325</v>
      </c>
      <c r="TRT1" t="s">
        <v>14326</v>
      </c>
      <c r="TRU1" t="s">
        <v>14327</v>
      </c>
      <c r="TRV1" t="s">
        <v>14328</v>
      </c>
      <c r="TRW1" t="s">
        <v>14329</v>
      </c>
      <c r="TRX1" t="s">
        <v>14330</v>
      </c>
      <c r="TRY1" t="s">
        <v>14331</v>
      </c>
      <c r="TRZ1" t="s">
        <v>14332</v>
      </c>
      <c r="TSA1" t="s">
        <v>14333</v>
      </c>
      <c r="TSB1" t="s">
        <v>14334</v>
      </c>
      <c r="TSC1" t="s">
        <v>14335</v>
      </c>
      <c r="TSD1" t="s">
        <v>14336</v>
      </c>
      <c r="TSE1" t="s">
        <v>14337</v>
      </c>
      <c r="TSF1" t="s">
        <v>14338</v>
      </c>
      <c r="TSG1" t="s">
        <v>14339</v>
      </c>
      <c r="TSH1" t="s">
        <v>14340</v>
      </c>
      <c r="TSI1" t="s">
        <v>14341</v>
      </c>
      <c r="TSJ1" t="s">
        <v>14342</v>
      </c>
      <c r="TSK1" t="s">
        <v>14343</v>
      </c>
      <c r="TSL1" t="s">
        <v>14344</v>
      </c>
      <c r="TSM1" t="s">
        <v>14345</v>
      </c>
      <c r="TSN1" t="s">
        <v>14346</v>
      </c>
      <c r="TSO1" t="s">
        <v>14347</v>
      </c>
      <c r="TSP1" t="s">
        <v>14348</v>
      </c>
      <c r="TSQ1" t="s">
        <v>14349</v>
      </c>
      <c r="TSR1" t="s">
        <v>14350</v>
      </c>
      <c r="TSS1" t="s">
        <v>14351</v>
      </c>
      <c r="TST1" t="s">
        <v>14352</v>
      </c>
      <c r="TSU1" t="s">
        <v>14353</v>
      </c>
      <c r="TSV1" t="s">
        <v>14354</v>
      </c>
      <c r="TSW1" t="s">
        <v>14355</v>
      </c>
      <c r="TSX1" t="s">
        <v>14356</v>
      </c>
      <c r="TSY1" t="s">
        <v>14357</v>
      </c>
      <c r="TSZ1" t="s">
        <v>14358</v>
      </c>
      <c r="TTA1" t="s">
        <v>14359</v>
      </c>
      <c r="TTB1" t="s">
        <v>14360</v>
      </c>
      <c r="TTC1" t="s">
        <v>14361</v>
      </c>
      <c r="TTD1" t="s">
        <v>14362</v>
      </c>
      <c r="TTE1" t="s">
        <v>14363</v>
      </c>
      <c r="TTF1" t="s">
        <v>14364</v>
      </c>
      <c r="TTG1" t="s">
        <v>14365</v>
      </c>
      <c r="TTH1" t="s">
        <v>14366</v>
      </c>
      <c r="TTI1" t="s">
        <v>14367</v>
      </c>
      <c r="TTJ1" t="s">
        <v>14368</v>
      </c>
      <c r="TTK1" t="s">
        <v>14369</v>
      </c>
      <c r="TTL1" t="s">
        <v>14370</v>
      </c>
      <c r="TTM1" t="s">
        <v>14371</v>
      </c>
      <c r="TTN1" t="s">
        <v>14372</v>
      </c>
      <c r="TTO1" t="s">
        <v>14373</v>
      </c>
      <c r="TTP1" t="s">
        <v>14374</v>
      </c>
      <c r="TTQ1" t="s">
        <v>14375</v>
      </c>
      <c r="TTR1" t="s">
        <v>14376</v>
      </c>
      <c r="TTS1" t="s">
        <v>14377</v>
      </c>
      <c r="TTT1" t="s">
        <v>14378</v>
      </c>
      <c r="TTU1" t="s">
        <v>14379</v>
      </c>
      <c r="TTV1" t="s">
        <v>14380</v>
      </c>
      <c r="TTW1" t="s">
        <v>14381</v>
      </c>
      <c r="TTX1" t="s">
        <v>14382</v>
      </c>
      <c r="TTY1" t="s">
        <v>14383</v>
      </c>
      <c r="TTZ1" t="s">
        <v>14384</v>
      </c>
      <c r="TUA1" t="s">
        <v>14385</v>
      </c>
      <c r="TUB1" t="s">
        <v>14386</v>
      </c>
      <c r="TUC1" t="s">
        <v>14387</v>
      </c>
      <c r="TUD1" t="s">
        <v>14388</v>
      </c>
      <c r="TUE1" t="s">
        <v>14389</v>
      </c>
      <c r="TUF1" t="s">
        <v>14390</v>
      </c>
      <c r="TUG1" t="s">
        <v>14391</v>
      </c>
      <c r="TUH1" t="s">
        <v>14392</v>
      </c>
      <c r="TUI1" t="s">
        <v>14393</v>
      </c>
      <c r="TUJ1" t="s">
        <v>14394</v>
      </c>
      <c r="TUK1" t="s">
        <v>14395</v>
      </c>
      <c r="TUL1" t="s">
        <v>14396</v>
      </c>
      <c r="TUM1" t="s">
        <v>14397</v>
      </c>
      <c r="TUN1" t="s">
        <v>14398</v>
      </c>
      <c r="TUO1" t="s">
        <v>14399</v>
      </c>
      <c r="TUP1" t="s">
        <v>14400</v>
      </c>
      <c r="TUQ1" t="s">
        <v>14401</v>
      </c>
      <c r="TUR1" t="s">
        <v>14402</v>
      </c>
      <c r="TUS1" t="s">
        <v>14403</v>
      </c>
      <c r="TUT1" t="s">
        <v>14404</v>
      </c>
      <c r="TUU1" t="s">
        <v>14405</v>
      </c>
      <c r="TUV1" t="s">
        <v>14406</v>
      </c>
      <c r="TUW1" t="s">
        <v>14407</v>
      </c>
      <c r="TUX1" t="s">
        <v>14408</v>
      </c>
      <c r="TUY1" t="s">
        <v>14409</v>
      </c>
      <c r="TUZ1" t="s">
        <v>14410</v>
      </c>
      <c r="TVA1" t="s">
        <v>14411</v>
      </c>
      <c r="TVB1" t="s">
        <v>14412</v>
      </c>
      <c r="TVC1" t="s">
        <v>14413</v>
      </c>
      <c r="TVD1" t="s">
        <v>14414</v>
      </c>
      <c r="TVE1" t="s">
        <v>14415</v>
      </c>
      <c r="TVF1" t="s">
        <v>14416</v>
      </c>
      <c r="TVG1" t="s">
        <v>14417</v>
      </c>
      <c r="TVH1" t="s">
        <v>14418</v>
      </c>
      <c r="TVI1" t="s">
        <v>14419</v>
      </c>
      <c r="TVJ1" t="s">
        <v>14420</v>
      </c>
      <c r="TVK1" t="s">
        <v>14421</v>
      </c>
      <c r="TVL1" t="s">
        <v>14422</v>
      </c>
      <c r="TVM1" t="s">
        <v>14423</v>
      </c>
      <c r="TVN1" t="s">
        <v>14424</v>
      </c>
      <c r="TVO1" t="s">
        <v>14425</v>
      </c>
      <c r="TVP1" t="s">
        <v>14426</v>
      </c>
      <c r="TVQ1" t="s">
        <v>14427</v>
      </c>
      <c r="TVR1" t="s">
        <v>14428</v>
      </c>
      <c r="TVS1" t="s">
        <v>14429</v>
      </c>
      <c r="TVT1" t="s">
        <v>14430</v>
      </c>
      <c r="TVU1" t="s">
        <v>14431</v>
      </c>
      <c r="TVV1" t="s">
        <v>14432</v>
      </c>
      <c r="TVW1" t="s">
        <v>14433</v>
      </c>
      <c r="TVX1" t="s">
        <v>14434</v>
      </c>
      <c r="TVY1" t="s">
        <v>14435</v>
      </c>
      <c r="TVZ1" t="s">
        <v>14436</v>
      </c>
      <c r="TWA1" t="s">
        <v>14437</v>
      </c>
      <c r="TWB1" t="s">
        <v>14438</v>
      </c>
      <c r="TWC1" t="s">
        <v>14439</v>
      </c>
      <c r="TWD1" t="s">
        <v>14440</v>
      </c>
      <c r="TWE1" t="s">
        <v>14441</v>
      </c>
      <c r="TWF1" t="s">
        <v>14442</v>
      </c>
      <c r="TWG1" t="s">
        <v>14443</v>
      </c>
      <c r="TWH1" t="s">
        <v>14444</v>
      </c>
      <c r="TWI1" t="s">
        <v>14445</v>
      </c>
      <c r="TWJ1" t="s">
        <v>14446</v>
      </c>
      <c r="TWK1" t="s">
        <v>14447</v>
      </c>
      <c r="TWL1" t="s">
        <v>14448</v>
      </c>
      <c r="TWM1" t="s">
        <v>14449</v>
      </c>
      <c r="TWN1" t="s">
        <v>14450</v>
      </c>
      <c r="TWO1" t="s">
        <v>14451</v>
      </c>
      <c r="TWP1" t="s">
        <v>14452</v>
      </c>
      <c r="TWQ1" t="s">
        <v>14453</v>
      </c>
      <c r="TWR1" t="s">
        <v>14454</v>
      </c>
      <c r="TWS1" t="s">
        <v>14455</v>
      </c>
      <c r="TWT1" t="s">
        <v>14456</v>
      </c>
      <c r="TWU1" t="s">
        <v>14457</v>
      </c>
      <c r="TWV1" t="s">
        <v>14458</v>
      </c>
      <c r="TWW1" t="s">
        <v>14459</v>
      </c>
      <c r="TWX1" t="s">
        <v>14460</v>
      </c>
      <c r="TWY1" t="s">
        <v>14461</v>
      </c>
      <c r="TWZ1" t="s">
        <v>14462</v>
      </c>
      <c r="TXA1" t="s">
        <v>14463</v>
      </c>
      <c r="TXB1" t="s">
        <v>14464</v>
      </c>
      <c r="TXC1" t="s">
        <v>14465</v>
      </c>
      <c r="TXD1" t="s">
        <v>14466</v>
      </c>
      <c r="TXE1" t="s">
        <v>14467</v>
      </c>
      <c r="TXF1" t="s">
        <v>14468</v>
      </c>
      <c r="TXG1" t="s">
        <v>14469</v>
      </c>
      <c r="TXH1" t="s">
        <v>14470</v>
      </c>
      <c r="TXI1" t="s">
        <v>14471</v>
      </c>
      <c r="TXJ1" t="s">
        <v>14472</v>
      </c>
      <c r="TXK1" t="s">
        <v>14473</v>
      </c>
      <c r="TXL1" t="s">
        <v>14474</v>
      </c>
      <c r="TXM1" t="s">
        <v>14475</v>
      </c>
      <c r="TXN1" t="s">
        <v>14476</v>
      </c>
      <c r="TXO1" t="s">
        <v>14477</v>
      </c>
      <c r="TXP1" t="s">
        <v>14478</v>
      </c>
      <c r="TXQ1" t="s">
        <v>14479</v>
      </c>
      <c r="TXR1" t="s">
        <v>14480</v>
      </c>
      <c r="TXS1" t="s">
        <v>14481</v>
      </c>
      <c r="TXT1" t="s">
        <v>14482</v>
      </c>
      <c r="TXU1" t="s">
        <v>14483</v>
      </c>
      <c r="TXV1" t="s">
        <v>14484</v>
      </c>
      <c r="TXW1" t="s">
        <v>14485</v>
      </c>
      <c r="TXX1" t="s">
        <v>14486</v>
      </c>
      <c r="TXY1" t="s">
        <v>14487</v>
      </c>
      <c r="TXZ1" t="s">
        <v>14488</v>
      </c>
      <c r="TYA1" t="s">
        <v>14489</v>
      </c>
      <c r="TYB1" t="s">
        <v>14490</v>
      </c>
      <c r="TYC1" t="s">
        <v>14491</v>
      </c>
      <c r="TYD1" t="s">
        <v>14492</v>
      </c>
      <c r="TYE1" t="s">
        <v>14493</v>
      </c>
      <c r="TYF1" t="s">
        <v>14494</v>
      </c>
      <c r="TYG1" t="s">
        <v>14495</v>
      </c>
      <c r="TYH1" t="s">
        <v>14496</v>
      </c>
      <c r="TYI1" t="s">
        <v>14497</v>
      </c>
      <c r="TYJ1" t="s">
        <v>14498</v>
      </c>
      <c r="TYK1" t="s">
        <v>14499</v>
      </c>
      <c r="TYL1" t="s">
        <v>14500</v>
      </c>
      <c r="TYM1" t="s">
        <v>14501</v>
      </c>
      <c r="TYN1" t="s">
        <v>14502</v>
      </c>
      <c r="TYO1" t="s">
        <v>14503</v>
      </c>
      <c r="TYP1" t="s">
        <v>14504</v>
      </c>
      <c r="TYQ1" t="s">
        <v>14505</v>
      </c>
      <c r="TYR1" t="s">
        <v>14506</v>
      </c>
      <c r="TYS1" t="s">
        <v>14507</v>
      </c>
      <c r="TYT1" t="s">
        <v>14508</v>
      </c>
      <c r="TYU1" t="s">
        <v>14509</v>
      </c>
      <c r="TYV1" t="s">
        <v>14510</v>
      </c>
      <c r="TYW1" t="s">
        <v>14511</v>
      </c>
      <c r="TYX1" t="s">
        <v>14512</v>
      </c>
      <c r="TYY1" t="s">
        <v>14513</v>
      </c>
      <c r="TYZ1" t="s">
        <v>14514</v>
      </c>
      <c r="TZA1" t="s">
        <v>14515</v>
      </c>
      <c r="TZB1" t="s">
        <v>14516</v>
      </c>
      <c r="TZC1" t="s">
        <v>14517</v>
      </c>
      <c r="TZD1" t="s">
        <v>14518</v>
      </c>
      <c r="TZE1" t="s">
        <v>14519</v>
      </c>
      <c r="TZF1" t="s">
        <v>14520</v>
      </c>
      <c r="TZG1" t="s">
        <v>14521</v>
      </c>
      <c r="TZH1" t="s">
        <v>14522</v>
      </c>
      <c r="TZI1" t="s">
        <v>14523</v>
      </c>
      <c r="TZJ1" t="s">
        <v>14524</v>
      </c>
      <c r="TZK1" t="s">
        <v>14525</v>
      </c>
      <c r="TZL1" t="s">
        <v>14526</v>
      </c>
      <c r="TZM1" t="s">
        <v>14527</v>
      </c>
      <c r="TZN1" t="s">
        <v>14528</v>
      </c>
      <c r="TZO1" t="s">
        <v>14529</v>
      </c>
      <c r="TZP1" t="s">
        <v>14530</v>
      </c>
      <c r="TZQ1" t="s">
        <v>14531</v>
      </c>
      <c r="TZR1" t="s">
        <v>14532</v>
      </c>
      <c r="TZS1" t="s">
        <v>14533</v>
      </c>
      <c r="TZT1" t="s">
        <v>14534</v>
      </c>
      <c r="TZU1" t="s">
        <v>14535</v>
      </c>
      <c r="TZV1" t="s">
        <v>14536</v>
      </c>
      <c r="TZW1" t="s">
        <v>14537</v>
      </c>
      <c r="TZX1" t="s">
        <v>14538</v>
      </c>
      <c r="TZY1" t="s">
        <v>14539</v>
      </c>
      <c r="TZZ1" t="s">
        <v>14540</v>
      </c>
      <c r="UAA1" t="s">
        <v>14541</v>
      </c>
      <c r="UAB1" t="s">
        <v>14542</v>
      </c>
      <c r="UAC1" t="s">
        <v>14543</v>
      </c>
      <c r="UAD1" t="s">
        <v>14544</v>
      </c>
      <c r="UAE1" t="s">
        <v>14545</v>
      </c>
      <c r="UAF1" t="s">
        <v>14546</v>
      </c>
      <c r="UAG1" t="s">
        <v>14547</v>
      </c>
      <c r="UAH1" t="s">
        <v>14548</v>
      </c>
      <c r="UAI1" t="s">
        <v>14549</v>
      </c>
      <c r="UAJ1" t="s">
        <v>14550</v>
      </c>
      <c r="UAK1" t="s">
        <v>14551</v>
      </c>
      <c r="UAL1" t="s">
        <v>14552</v>
      </c>
      <c r="UAM1" t="s">
        <v>14553</v>
      </c>
      <c r="UAN1" t="s">
        <v>14554</v>
      </c>
      <c r="UAO1" t="s">
        <v>14555</v>
      </c>
      <c r="UAP1" t="s">
        <v>14556</v>
      </c>
      <c r="UAQ1" t="s">
        <v>14557</v>
      </c>
      <c r="UAR1" t="s">
        <v>14558</v>
      </c>
      <c r="UAS1" t="s">
        <v>14559</v>
      </c>
      <c r="UAT1" t="s">
        <v>14560</v>
      </c>
      <c r="UAU1" t="s">
        <v>14561</v>
      </c>
      <c r="UAV1" t="s">
        <v>14562</v>
      </c>
      <c r="UAW1" t="s">
        <v>14563</v>
      </c>
      <c r="UAX1" t="s">
        <v>14564</v>
      </c>
      <c r="UAY1" t="s">
        <v>14565</v>
      </c>
      <c r="UAZ1" t="s">
        <v>14566</v>
      </c>
      <c r="UBA1" t="s">
        <v>14567</v>
      </c>
      <c r="UBB1" t="s">
        <v>14568</v>
      </c>
      <c r="UBC1" t="s">
        <v>14569</v>
      </c>
      <c r="UBD1" t="s">
        <v>14570</v>
      </c>
      <c r="UBE1" t="s">
        <v>14571</v>
      </c>
      <c r="UBF1" t="s">
        <v>14572</v>
      </c>
      <c r="UBG1" t="s">
        <v>14573</v>
      </c>
      <c r="UBH1" t="s">
        <v>14574</v>
      </c>
      <c r="UBI1" t="s">
        <v>14575</v>
      </c>
      <c r="UBJ1" t="s">
        <v>14576</v>
      </c>
      <c r="UBK1" t="s">
        <v>14577</v>
      </c>
      <c r="UBL1" t="s">
        <v>14578</v>
      </c>
      <c r="UBM1" t="s">
        <v>14579</v>
      </c>
      <c r="UBN1" t="s">
        <v>14580</v>
      </c>
      <c r="UBO1" t="s">
        <v>14581</v>
      </c>
      <c r="UBP1" t="s">
        <v>14582</v>
      </c>
      <c r="UBQ1" t="s">
        <v>14583</v>
      </c>
      <c r="UBR1" t="s">
        <v>14584</v>
      </c>
      <c r="UBS1" t="s">
        <v>14585</v>
      </c>
      <c r="UBT1" t="s">
        <v>14586</v>
      </c>
      <c r="UBU1" t="s">
        <v>14587</v>
      </c>
      <c r="UBV1" t="s">
        <v>14588</v>
      </c>
      <c r="UBW1" t="s">
        <v>14589</v>
      </c>
      <c r="UBX1" t="s">
        <v>14590</v>
      </c>
      <c r="UBY1" t="s">
        <v>14591</v>
      </c>
      <c r="UBZ1" t="s">
        <v>14592</v>
      </c>
      <c r="UCA1" t="s">
        <v>14593</v>
      </c>
      <c r="UCB1" t="s">
        <v>14594</v>
      </c>
      <c r="UCC1" t="s">
        <v>14595</v>
      </c>
      <c r="UCD1" t="s">
        <v>14596</v>
      </c>
      <c r="UCE1" t="s">
        <v>14597</v>
      </c>
      <c r="UCF1" t="s">
        <v>14598</v>
      </c>
      <c r="UCG1" t="s">
        <v>14599</v>
      </c>
      <c r="UCH1" t="s">
        <v>14600</v>
      </c>
      <c r="UCI1" t="s">
        <v>14601</v>
      </c>
      <c r="UCJ1" t="s">
        <v>14602</v>
      </c>
      <c r="UCK1" t="s">
        <v>14603</v>
      </c>
      <c r="UCL1" t="s">
        <v>14604</v>
      </c>
      <c r="UCM1" t="s">
        <v>14605</v>
      </c>
      <c r="UCN1" t="s">
        <v>14606</v>
      </c>
      <c r="UCO1" t="s">
        <v>14607</v>
      </c>
      <c r="UCP1" t="s">
        <v>14608</v>
      </c>
      <c r="UCQ1" t="s">
        <v>14609</v>
      </c>
      <c r="UCR1" t="s">
        <v>14610</v>
      </c>
      <c r="UCS1" t="s">
        <v>14611</v>
      </c>
      <c r="UCT1" t="s">
        <v>14612</v>
      </c>
      <c r="UCU1" t="s">
        <v>14613</v>
      </c>
      <c r="UCV1" t="s">
        <v>14614</v>
      </c>
      <c r="UCW1" t="s">
        <v>14615</v>
      </c>
      <c r="UCX1" t="s">
        <v>14616</v>
      </c>
      <c r="UCY1" t="s">
        <v>14617</v>
      </c>
      <c r="UCZ1" t="s">
        <v>14618</v>
      </c>
      <c r="UDA1" t="s">
        <v>14619</v>
      </c>
      <c r="UDB1" t="s">
        <v>14620</v>
      </c>
      <c r="UDC1" t="s">
        <v>14621</v>
      </c>
      <c r="UDD1" t="s">
        <v>14622</v>
      </c>
      <c r="UDE1" t="s">
        <v>14623</v>
      </c>
      <c r="UDF1" t="s">
        <v>14624</v>
      </c>
      <c r="UDG1" t="s">
        <v>14625</v>
      </c>
      <c r="UDH1" t="s">
        <v>14626</v>
      </c>
      <c r="UDI1" t="s">
        <v>14627</v>
      </c>
      <c r="UDJ1" t="s">
        <v>14628</v>
      </c>
      <c r="UDK1" t="s">
        <v>14629</v>
      </c>
      <c r="UDL1" t="s">
        <v>14630</v>
      </c>
      <c r="UDM1" t="s">
        <v>14631</v>
      </c>
      <c r="UDN1" t="s">
        <v>14632</v>
      </c>
      <c r="UDO1" t="s">
        <v>14633</v>
      </c>
      <c r="UDP1" t="s">
        <v>14634</v>
      </c>
      <c r="UDQ1" t="s">
        <v>14635</v>
      </c>
      <c r="UDR1" t="s">
        <v>14636</v>
      </c>
      <c r="UDS1" t="s">
        <v>14637</v>
      </c>
      <c r="UDT1" t="s">
        <v>14638</v>
      </c>
      <c r="UDU1" t="s">
        <v>14639</v>
      </c>
      <c r="UDV1" t="s">
        <v>14640</v>
      </c>
      <c r="UDW1" t="s">
        <v>14641</v>
      </c>
      <c r="UDX1" t="s">
        <v>14642</v>
      </c>
      <c r="UDY1" t="s">
        <v>14643</v>
      </c>
      <c r="UDZ1" t="s">
        <v>14644</v>
      </c>
      <c r="UEA1" t="s">
        <v>14645</v>
      </c>
      <c r="UEB1" t="s">
        <v>14646</v>
      </c>
      <c r="UEC1" t="s">
        <v>14647</v>
      </c>
      <c r="UED1" t="s">
        <v>14648</v>
      </c>
      <c r="UEE1" t="s">
        <v>14649</v>
      </c>
      <c r="UEF1" t="s">
        <v>14650</v>
      </c>
      <c r="UEG1" t="s">
        <v>14651</v>
      </c>
      <c r="UEH1" t="s">
        <v>14652</v>
      </c>
      <c r="UEI1" t="s">
        <v>14653</v>
      </c>
      <c r="UEJ1" t="s">
        <v>14654</v>
      </c>
      <c r="UEK1" t="s">
        <v>14655</v>
      </c>
      <c r="UEL1" t="s">
        <v>14656</v>
      </c>
      <c r="UEM1" t="s">
        <v>14657</v>
      </c>
      <c r="UEN1" t="s">
        <v>14658</v>
      </c>
      <c r="UEO1" t="s">
        <v>14659</v>
      </c>
      <c r="UEP1" t="s">
        <v>14660</v>
      </c>
      <c r="UEQ1" t="s">
        <v>14661</v>
      </c>
      <c r="UER1" t="s">
        <v>14662</v>
      </c>
      <c r="UES1" t="s">
        <v>14663</v>
      </c>
      <c r="UET1" t="s">
        <v>14664</v>
      </c>
      <c r="UEU1" t="s">
        <v>14665</v>
      </c>
      <c r="UEV1" t="s">
        <v>14666</v>
      </c>
      <c r="UEW1" t="s">
        <v>14667</v>
      </c>
      <c r="UEX1" t="s">
        <v>14668</v>
      </c>
      <c r="UEY1" t="s">
        <v>14669</v>
      </c>
      <c r="UEZ1" t="s">
        <v>14670</v>
      </c>
      <c r="UFA1" t="s">
        <v>14671</v>
      </c>
      <c r="UFB1" t="s">
        <v>14672</v>
      </c>
      <c r="UFC1" t="s">
        <v>14673</v>
      </c>
      <c r="UFD1" t="s">
        <v>14674</v>
      </c>
      <c r="UFE1" t="s">
        <v>14675</v>
      </c>
      <c r="UFF1" t="s">
        <v>14676</v>
      </c>
      <c r="UFG1" t="s">
        <v>14677</v>
      </c>
      <c r="UFH1" t="s">
        <v>14678</v>
      </c>
      <c r="UFI1" t="s">
        <v>14679</v>
      </c>
      <c r="UFJ1" t="s">
        <v>14680</v>
      </c>
      <c r="UFK1" t="s">
        <v>14681</v>
      </c>
      <c r="UFL1" t="s">
        <v>14682</v>
      </c>
      <c r="UFM1" t="s">
        <v>14683</v>
      </c>
      <c r="UFN1" t="s">
        <v>14684</v>
      </c>
      <c r="UFO1" t="s">
        <v>14685</v>
      </c>
      <c r="UFP1" t="s">
        <v>14686</v>
      </c>
      <c r="UFQ1" t="s">
        <v>14687</v>
      </c>
      <c r="UFR1" t="s">
        <v>14688</v>
      </c>
      <c r="UFS1" t="s">
        <v>14689</v>
      </c>
      <c r="UFT1" t="s">
        <v>14690</v>
      </c>
      <c r="UFU1" t="s">
        <v>14691</v>
      </c>
      <c r="UFV1" t="s">
        <v>14692</v>
      </c>
      <c r="UFW1" t="s">
        <v>14693</v>
      </c>
      <c r="UFX1" t="s">
        <v>14694</v>
      </c>
      <c r="UFY1" t="s">
        <v>14695</v>
      </c>
      <c r="UFZ1" t="s">
        <v>14696</v>
      </c>
      <c r="UGA1" t="s">
        <v>14697</v>
      </c>
      <c r="UGB1" t="s">
        <v>14698</v>
      </c>
      <c r="UGC1" t="s">
        <v>14699</v>
      </c>
      <c r="UGD1" t="s">
        <v>14700</v>
      </c>
      <c r="UGE1" t="s">
        <v>14701</v>
      </c>
      <c r="UGF1" t="s">
        <v>14702</v>
      </c>
      <c r="UGG1" t="s">
        <v>14703</v>
      </c>
      <c r="UGH1" t="s">
        <v>14704</v>
      </c>
      <c r="UGI1" t="s">
        <v>14705</v>
      </c>
      <c r="UGJ1" t="s">
        <v>14706</v>
      </c>
      <c r="UGK1" t="s">
        <v>14707</v>
      </c>
      <c r="UGL1" t="s">
        <v>14708</v>
      </c>
      <c r="UGM1" t="s">
        <v>14709</v>
      </c>
      <c r="UGN1" t="s">
        <v>14710</v>
      </c>
      <c r="UGO1" t="s">
        <v>14711</v>
      </c>
      <c r="UGP1" t="s">
        <v>14712</v>
      </c>
      <c r="UGQ1" t="s">
        <v>14713</v>
      </c>
      <c r="UGR1" t="s">
        <v>14714</v>
      </c>
      <c r="UGS1" t="s">
        <v>14715</v>
      </c>
      <c r="UGT1" t="s">
        <v>14716</v>
      </c>
      <c r="UGU1" t="s">
        <v>14717</v>
      </c>
      <c r="UGV1" t="s">
        <v>14718</v>
      </c>
      <c r="UGW1" t="s">
        <v>14719</v>
      </c>
      <c r="UGX1" t="s">
        <v>14720</v>
      </c>
      <c r="UGY1" t="s">
        <v>14721</v>
      </c>
      <c r="UGZ1" t="s">
        <v>14722</v>
      </c>
      <c r="UHA1" t="s">
        <v>14723</v>
      </c>
      <c r="UHB1" t="s">
        <v>14724</v>
      </c>
      <c r="UHC1" t="s">
        <v>14725</v>
      </c>
      <c r="UHD1" t="s">
        <v>14726</v>
      </c>
      <c r="UHE1" t="s">
        <v>14727</v>
      </c>
      <c r="UHF1" t="s">
        <v>14728</v>
      </c>
      <c r="UHG1" t="s">
        <v>14729</v>
      </c>
      <c r="UHH1" t="s">
        <v>14730</v>
      </c>
      <c r="UHI1" t="s">
        <v>14731</v>
      </c>
      <c r="UHJ1" t="s">
        <v>14732</v>
      </c>
      <c r="UHK1" t="s">
        <v>14733</v>
      </c>
      <c r="UHL1" t="s">
        <v>14734</v>
      </c>
      <c r="UHM1" t="s">
        <v>14735</v>
      </c>
      <c r="UHN1" t="s">
        <v>14736</v>
      </c>
      <c r="UHO1" t="s">
        <v>14737</v>
      </c>
      <c r="UHP1" t="s">
        <v>14738</v>
      </c>
      <c r="UHQ1" t="s">
        <v>14739</v>
      </c>
      <c r="UHR1" t="s">
        <v>14740</v>
      </c>
      <c r="UHS1" t="s">
        <v>14741</v>
      </c>
      <c r="UHT1" t="s">
        <v>14742</v>
      </c>
      <c r="UHU1" t="s">
        <v>14743</v>
      </c>
      <c r="UHV1" t="s">
        <v>14744</v>
      </c>
      <c r="UHW1" t="s">
        <v>14745</v>
      </c>
      <c r="UHX1" t="s">
        <v>14746</v>
      </c>
      <c r="UHY1" t="s">
        <v>14747</v>
      </c>
      <c r="UHZ1" t="s">
        <v>14748</v>
      </c>
      <c r="UIA1" t="s">
        <v>14749</v>
      </c>
      <c r="UIB1" t="s">
        <v>14750</v>
      </c>
      <c r="UIC1" t="s">
        <v>14751</v>
      </c>
      <c r="UID1" t="s">
        <v>14752</v>
      </c>
      <c r="UIE1" t="s">
        <v>14753</v>
      </c>
      <c r="UIF1" t="s">
        <v>14754</v>
      </c>
      <c r="UIG1" t="s">
        <v>14755</v>
      </c>
      <c r="UIH1" t="s">
        <v>14756</v>
      </c>
      <c r="UII1" t="s">
        <v>14757</v>
      </c>
      <c r="UIJ1" t="s">
        <v>14758</v>
      </c>
      <c r="UIK1" t="s">
        <v>14759</v>
      </c>
      <c r="UIL1" t="s">
        <v>14760</v>
      </c>
      <c r="UIM1" t="s">
        <v>14761</v>
      </c>
      <c r="UIN1" t="s">
        <v>14762</v>
      </c>
      <c r="UIO1" t="s">
        <v>14763</v>
      </c>
      <c r="UIP1" t="s">
        <v>14764</v>
      </c>
      <c r="UIQ1" t="s">
        <v>14765</v>
      </c>
      <c r="UIR1" t="s">
        <v>14766</v>
      </c>
      <c r="UIS1" t="s">
        <v>14767</v>
      </c>
      <c r="UIT1" t="s">
        <v>14768</v>
      </c>
      <c r="UIU1" t="s">
        <v>14769</v>
      </c>
      <c r="UIV1" t="s">
        <v>14770</v>
      </c>
      <c r="UIW1" t="s">
        <v>14771</v>
      </c>
      <c r="UIX1" t="s">
        <v>14772</v>
      </c>
      <c r="UIY1" t="s">
        <v>14773</v>
      </c>
      <c r="UIZ1" t="s">
        <v>14774</v>
      </c>
      <c r="UJA1" t="s">
        <v>14775</v>
      </c>
      <c r="UJB1" t="s">
        <v>14776</v>
      </c>
      <c r="UJC1" t="s">
        <v>14777</v>
      </c>
      <c r="UJD1" t="s">
        <v>14778</v>
      </c>
      <c r="UJE1" t="s">
        <v>14779</v>
      </c>
      <c r="UJF1" t="s">
        <v>14780</v>
      </c>
      <c r="UJG1" t="s">
        <v>14781</v>
      </c>
      <c r="UJH1" t="s">
        <v>14782</v>
      </c>
      <c r="UJI1" t="s">
        <v>14783</v>
      </c>
      <c r="UJJ1" t="s">
        <v>14784</v>
      </c>
      <c r="UJK1" t="s">
        <v>14785</v>
      </c>
      <c r="UJL1" t="s">
        <v>14786</v>
      </c>
      <c r="UJM1" t="s">
        <v>14787</v>
      </c>
      <c r="UJN1" t="s">
        <v>14788</v>
      </c>
      <c r="UJO1" t="s">
        <v>14789</v>
      </c>
      <c r="UJP1" t="s">
        <v>14790</v>
      </c>
      <c r="UJQ1" t="s">
        <v>14791</v>
      </c>
      <c r="UJR1" t="s">
        <v>14792</v>
      </c>
      <c r="UJS1" t="s">
        <v>14793</v>
      </c>
      <c r="UJT1" t="s">
        <v>14794</v>
      </c>
      <c r="UJU1" t="s">
        <v>14795</v>
      </c>
      <c r="UJV1" t="s">
        <v>14796</v>
      </c>
      <c r="UJW1" t="s">
        <v>14797</v>
      </c>
      <c r="UJX1" t="s">
        <v>14798</v>
      </c>
      <c r="UJY1" t="s">
        <v>14799</v>
      </c>
      <c r="UJZ1" t="s">
        <v>14800</v>
      </c>
      <c r="UKA1" t="s">
        <v>14801</v>
      </c>
      <c r="UKB1" t="s">
        <v>14802</v>
      </c>
      <c r="UKC1" t="s">
        <v>14803</v>
      </c>
      <c r="UKD1" t="s">
        <v>14804</v>
      </c>
      <c r="UKE1" t="s">
        <v>14805</v>
      </c>
      <c r="UKF1" t="s">
        <v>14806</v>
      </c>
      <c r="UKG1" t="s">
        <v>14807</v>
      </c>
      <c r="UKH1" t="s">
        <v>14808</v>
      </c>
      <c r="UKI1" t="s">
        <v>14809</v>
      </c>
      <c r="UKJ1" t="s">
        <v>14810</v>
      </c>
      <c r="UKK1" t="s">
        <v>14811</v>
      </c>
      <c r="UKL1" t="s">
        <v>14812</v>
      </c>
      <c r="UKM1" t="s">
        <v>14813</v>
      </c>
      <c r="UKN1" t="s">
        <v>14814</v>
      </c>
      <c r="UKO1" t="s">
        <v>14815</v>
      </c>
      <c r="UKP1" t="s">
        <v>14816</v>
      </c>
      <c r="UKQ1" t="s">
        <v>14817</v>
      </c>
      <c r="UKR1" t="s">
        <v>14818</v>
      </c>
      <c r="UKS1" t="s">
        <v>14819</v>
      </c>
      <c r="UKT1" t="s">
        <v>14820</v>
      </c>
      <c r="UKU1" t="s">
        <v>14821</v>
      </c>
      <c r="UKV1" t="s">
        <v>14822</v>
      </c>
      <c r="UKW1" t="s">
        <v>14823</v>
      </c>
      <c r="UKX1" t="s">
        <v>14824</v>
      </c>
      <c r="UKY1" t="s">
        <v>14825</v>
      </c>
      <c r="UKZ1" t="s">
        <v>14826</v>
      </c>
      <c r="ULA1" t="s">
        <v>14827</v>
      </c>
      <c r="ULB1" t="s">
        <v>14828</v>
      </c>
      <c r="ULC1" t="s">
        <v>14829</v>
      </c>
      <c r="ULD1" t="s">
        <v>14830</v>
      </c>
      <c r="ULE1" t="s">
        <v>14831</v>
      </c>
      <c r="ULF1" t="s">
        <v>14832</v>
      </c>
      <c r="ULG1" t="s">
        <v>14833</v>
      </c>
      <c r="ULH1" t="s">
        <v>14834</v>
      </c>
      <c r="ULI1" t="s">
        <v>14835</v>
      </c>
      <c r="ULJ1" t="s">
        <v>14836</v>
      </c>
      <c r="ULK1" t="s">
        <v>14837</v>
      </c>
      <c r="ULL1" t="s">
        <v>14838</v>
      </c>
      <c r="ULM1" t="s">
        <v>14839</v>
      </c>
      <c r="ULN1" t="s">
        <v>14840</v>
      </c>
      <c r="ULO1" t="s">
        <v>14841</v>
      </c>
      <c r="ULP1" t="s">
        <v>14842</v>
      </c>
      <c r="ULQ1" t="s">
        <v>14843</v>
      </c>
      <c r="ULR1" t="s">
        <v>14844</v>
      </c>
      <c r="ULS1" t="s">
        <v>14845</v>
      </c>
      <c r="ULT1" t="s">
        <v>14846</v>
      </c>
      <c r="ULU1" t="s">
        <v>14847</v>
      </c>
      <c r="ULV1" t="s">
        <v>14848</v>
      </c>
      <c r="ULW1" t="s">
        <v>14849</v>
      </c>
      <c r="ULX1" t="s">
        <v>14850</v>
      </c>
      <c r="ULY1" t="s">
        <v>14851</v>
      </c>
      <c r="ULZ1" t="s">
        <v>14852</v>
      </c>
      <c r="UMA1" t="s">
        <v>14853</v>
      </c>
      <c r="UMB1" t="s">
        <v>14854</v>
      </c>
      <c r="UMC1" t="s">
        <v>14855</v>
      </c>
      <c r="UMD1" t="s">
        <v>14856</v>
      </c>
      <c r="UME1" t="s">
        <v>14857</v>
      </c>
      <c r="UMF1" t="s">
        <v>14858</v>
      </c>
      <c r="UMG1" t="s">
        <v>14859</v>
      </c>
      <c r="UMH1" t="s">
        <v>14860</v>
      </c>
      <c r="UMI1" t="s">
        <v>14861</v>
      </c>
      <c r="UMJ1" t="s">
        <v>14862</v>
      </c>
      <c r="UMK1" t="s">
        <v>14863</v>
      </c>
      <c r="UML1" t="s">
        <v>14864</v>
      </c>
      <c r="UMM1" t="s">
        <v>14865</v>
      </c>
      <c r="UMN1" t="s">
        <v>14866</v>
      </c>
      <c r="UMO1" t="s">
        <v>14867</v>
      </c>
      <c r="UMP1" t="s">
        <v>14868</v>
      </c>
      <c r="UMQ1" t="s">
        <v>14869</v>
      </c>
      <c r="UMR1" t="s">
        <v>14870</v>
      </c>
      <c r="UMS1" t="s">
        <v>14871</v>
      </c>
      <c r="UMT1" t="s">
        <v>14872</v>
      </c>
      <c r="UMU1" t="s">
        <v>14873</v>
      </c>
      <c r="UMV1" t="s">
        <v>14874</v>
      </c>
      <c r="UMW1" t="s">
        <v>14875</v>
      </c>
      <c r="UMX1" t="s">
        <v>14876</v>
      </c>
      <c r="UMY1" t="s">
        <v>14877</v>
      </c>
      <c r="UMZ1" t="s">
        <v>14878</v>
      </c>
      <c r="UNA1" t="s">
        <v>14879</v>
      </c>
      <c r="UNB1" t="s">
        <v>14880</v>
      </c>
      <c r="UNC1" t="s">
        <v>14881</v>
      </c>
      <c r="UND1" t="s">
        <v>14882</v>
      </c>
      <c r="UNE1" t="s">
        <v>14883</v>
      </c>
      <c r="UNF1" t="s">
        <v>14884</v>
      </c>
      <c r="UNG1" t="s">
        <v>14885</v>
      </c>
      <c r="UNH1" t="s">
        <v>14886</v>
      </c>
      <c r="UNI1" t="s">
        <v>14887</v>
      </c>
      <c r="UNJ1" t="s">
        <v>14888</v>
      </c>
      <c r="UNK1" t="s">
        <v>14889</v>
      </c>
      <c r="UNL1" t="s">
        <v>14890</v>
      </c>
      <c r="UNM1" t="s">
        <v>14891</v>
      </c>
      <c r="UNN1" t="s">
        <v>14892</v>
      </c>
      <c r="UNO1" t="s">
        <v>14893</v>
      </c>
      <c r="UNP1" t="s">
        <v>14894</v>
      </c>
      <c r="UNQ1" t="s">
        <v>14895</v>
      </c>
      <c r="UNR1" t="s">
        <v>14896</v>
      </c>
      <c r="UNS1" t="s">
        <v>14897</v>
      </c>
      <c r="UNT1" t="s">
        <v>14898</v>
      </c>
      <c r="UNU1" t="s">
        <v>14899</v>
      </c>
      <c r="UNV1" t="s">
        <v>14900</v>
      </c>
      <c r="UNW1" t="s">
        <v>14901</v>
      </c>
      <c r="UNX1" t="s">
        <v>14902</v>
      </c>
      <c r="UNY1" t="s">
        <v>14903</v>
      </c>
      <c r="UNZ1" t="s">
        <v>14904</v>
      </c>
      <c r="UOA1" t="s">
        <v>14905</v>
      </c>
      <c r="UOB1" t="s">
        <v>14906</v>
      </c>
      <c r="UOC1" t="s">
        <v>14907</v>
      </c>
      <c r="UOD1" t="s">
        <v>14908</v>
      </c>
      <c r="UOE1" t="s">
        <v>14909</v>
      </c>
      <c r="UOF1" t="s">
        <v>14910</v>
      </c>
      <c r="UOG1" t="s">
        <v>14911</v>
      </c>
      <c r="UOH1" t="s">
        <v>14912</v>
      </c>
      <c r="UOI1" t="s">
        <v>14913</v>
      </c>
      <c r="UOJ1" t="s">
        <v>14914</v>
      </c>
      <c r="UOK1" t="s">
        <v>14915</v>
      </c>
      <c r="UOL1" t="s">
        <v>14916</v>
      </c>
      <c r="UOM1" t="s">
        <v>14917</v>
      </c>
      <c r="UON1" t="s">
        <v>14918</v>
      </c>
      <c r="UOO1" t="s">
        <v>14919</v>
      </c>
      <c r="UOP1" t="s">
        <v>14920</v>
      </c>
      <c r="UOQ1" t="s">
        <v>14921</v>
      </c>
      <c r="UOR1" t="s">
        <v>14922</v>
      </c>
      <c r="UOS1" t="s">
        <v>14923</v>
      </c>
      <c r="UOT1" t="s">
        <v>14924</v>
      </c>
      <c r="UOU1" t="s">
        <v>14925</v>
      </c>
      <c r="UOV1" t="s">
        <v>14926</v>
      </c>
      <c r="UOW1" t="s">
        <v>14927</v>
      </c>
      <c r="UOX1" t="s">
        <v>14928</v>
      </c>
      <c r="UOY1" t="s">
        <v>14929</v>
      </c>
      <c r="UOZ1" t="s">
        <v>14930</v>
      </c>
      <c r="UPA1" t="s">
        <v>14931</v>
      </c>
      <c r="UPB1" t="s">
        <v>14932</v>
      </c>
      <c r="UPC1" t="s">
        <v>14933</v>
      </c>
      <c r="UPD1" t="s">
        <v>14934</v>
      </c>
      <c r="UPE1" t="s">
        <v>14935</v>
      </c>
      <c r="UPF1" t="s">
        <v>14936</v>
      </c>
      <c r="UPG1" t="s">
        <v>14937</v>
      </c>
      <c r="UPH1" t="s">
        <v>14938</v>
      </c>
      <c r="UPI1" t="s">
        <v>14939</v>
      </c>
      <c r="UPJ1" t="s">
        <v>14940</v>
      </c>
      <c r="UPK1" t="s">
        <v>14941</v>
      </c>
      <c r="UPL1" t="s">
        <v>14942</v>
      </c>
      <c r="UPM1" t="s">
        <v>14943</v>
      </c>
      <c r="UPN1" t="s">
        <v>14944</v>
      </c>
      <c r="UPO1" t="s">
        <v>14945</v>
      </c>
      <c r="UPP1" t="s">
        <v>14946</v>
      </c>
      <c r="UPQ1" t="s">
        <v>14947</v>
      </c>
      <c r="UPR1" t="s">
        <v>14948</v>
      </c>
      <c r="UPS1" t="s">
        <v>14949</v>
      </c>
      <c r="UPT1" t="s">
        <v>14950</v>
      </c>
      <c r="UPU1" t="s">
        <v>14951</v>
      </c>
      <c r="UPV1" t="s">
        <v>14952</v>
      </c>
      <c r="UPW1" t="s">
        <v>14953</v>
      </c>
      <c r="UPX1" t="s">
        <v>14954</v>
      </c>
      <c r="UPY1" t="s">
        <v>14955</v>
      </c>
      <c r="UPZ1" t="s">
        <v>14956</v>
      </c>
      <c r="UQA1" t="s">
        <v>14957</v>
      </c>
      <c r="UQB1" t="s">
        <v>14958</v>
      </c>
      <c r="UQC1" t="s">
        <v>14959</v>
      </c>
      <c r="UQD1" t="s">
        <v>14960</v>
      </c>
      <c r="UQE1" t="s">
        <v>14961</v>
      </c>
      <c r="UQF1" t="s">
        <v>14962</v>
      </c>
      <c r="UQG1" t="s">
        <v>14963</v>
      </c>
      <c r="UQH1" t="s">
        <v>14964</v>
      </c>
      <c r="UQI1" t="s">
        <v>14965</v>
      </c>
      <c r="UQJ1" t="s">
        <v>14966</v>
      </c>
      <c r="UQK1" t="s">
        <v>14967</v>
      </c>
      <c r="UQL1" t="s">
        <v>14968</v>
      </c>
      <c r="UQM1" t="s">
        <v>14969</v>
      </c>
      <c r="UQN1" t="s">
        <v>14970</v>
      </c>
      <c r="UQO1" t="s">
        <v>14971</v>
      </c>
      <c r="UQP1" t="s">
        <v>14972</v>
      </c>
      <c r="UQQ1" t="s">
        <v>14973</v>
      </c>
      <c r="UQR1" t="s">
        <v>14974</v>
      </c>
      <c r="UQS1" t="s">
        <v>14975</v>
      </c>
      <c r="UQT1" t="s">
        <v>14976</v>
      </c>
      <c r="UQU1" t="s">
        <v>14977</v>
      </c>
      <c r="UQV1" t="s">
        <v>14978</v>
      </c>
      <c r="UQW1" t="s">
        <v>14979</v>
      </c>
      <c r="UQX1" t="s">
        <v>14980</v>
      </c>
      <c r="UQY1" t="s">
        <v>14981</v>
      </c>
      <c r="UQZ1" t="s">
        <v>14982</v>
      </c>
      <c r="URA1" t="s">
        <v>14983</v>
      </c>
      <c r="URB1" t="s">
        <v>14984</v>
      </c>
      <c r="URC1" t="s">
        <v>14985</v>
      </c>
      <c r="URD1" t="s">
        <v>14986</v>
      </c>
      <c r="URE1" t="s">
        <v>14987</v>
      </c>
      <c r="URF1" t="s">
        <v>14988</v>
      </c>
      <c r="URG1" t="s">
        <v>14989</v>
      </c>
      <c r="URH1" t="s">
        <v>14990</v>
      </c>
      <c r="URI1" t="s">
        <v>14991</v>
      </c>
      <c r="URJ1" t="s">
        <v>14992</v>
      </c>
      <c r="URK1" t="s">
        <v>14993</v>
      </c>
      <c r="URL1" t="s">
        <v>14994</v>
      </c>
      <c r="URM1" t="s">
        <v>14995</v>
      </c>
      <c r="URN1" t="s">
        <v>14996</v>
      </c>
      <c r="URO1" t="s">
        <v>14997</v>
      </c>
      <c r="URP1" t="s">
        <v>14998</v>
      </c>
      <c r="URQ1" t="s">
        <v>14999</v>
      </c>
      <c r="URR1" t="s">
        <v>15000</v>
      </c>
      <c r="URS1" t="s">
        <v>15001</v>
      </c>
      <c r="URT1" t="s">
        <v>15002</v>
      </c>
      <c r="URU1" t="s">
        <v>15003</v>
      </c>
      <c r="URV1" t="s">
        <v>15004</v>
      </c>
      <c r="URW1" t="s">
        <v>15005</v>
      </c>
      <c r="URX1" t="s">
        <v>15006</v>
      </c>
      <c r="URY1" t="s">
        <v>15007</v>
      </c>
      <c r="URZ1" t="s">
        <v>15008</v>
      </c>
      <c r="USA1" t="s">
        <v>15009</v>
      </c>
      <c r="USB1" t="s">
        <v>15010</v>
      </c>
      <c r="USC1" t="s">
        <v>15011</v>
      </c>
      <c r="USD1" t="s">
        <v>15012</v>
      </c>
      <c r="USE1" t="s">
        <v>15013</v>
      </c>
      <c r="USF1" t="s">
        <v>15014</v>
      </c>
      <c r="USG1" t="s">
        <v>15015</v>
      </c>
      <c r="USH1" t="s">
        <v>15016</v>
      </c>
      <c r="USI1" t="s">
        <v>15017</v>
      </c>
      <c r="USJ1" t="s">
        <v>15018</v>
      </c>
      <c r="USK1" t="s">
        <v>15019</v>
      </c>
      <c r="USL1" t="s">
        <v>15020</v>
      </c>
      <c r="USM1" t="s">
        <v>15021</v>
      </c>
      <c r="USN1" t="s">
        <v>15022</v>
      </c>
      <c r="USO1" t="s">
        <v>15023</v>
      </c>
      <c r="USP1" t="s">
        <v>15024</v>
      </c>
      <c r="USQ1" t="s">
        <v>15025</v>
      </c>
      <c r="USR1" t="s">
        <v>15026</v>
      </c>
      <c r="USS1" t="s">
        <v>15027</v>
      </c>
      <c r="UST1" t="s">
        <v>15028</v>
      </c>
      <c r="USU1" t="s">
        <v>15029</v>
      </c>
      <c r="USV1" t="s">
        <v>15030</v>
      </c>
      <c r="USW1" t="s">
        <v>15031</v>
      </c>
      <c r="USX1" t="s">
        <v>15032</v>
      </c>
      <c r="USY1" t="s">
        <v>15033</v>
      </c>
      <c r="USZ1" t="s">
        <v>15034</v>
      </c>
      <c r="UTA1" t="s">
        <v>15035</v>
      </c>
      <c r="UTB1" t="s">
        <v>15036</v>
      </c>
      <c r="UTC1" t="s">
        <v>15037</v>
      </c>
      <c r="UTD1" t="s">
        <v>15038</v>
      </c>
      <c r="UTE1" t="s">
        <v>15039</v>
      </c>
      <c r="UTF1" t="s">
        <v>15040</v>
      </c>
      <c r="UTG1" t="s">
        <v>15041</v>
      </c>
      <c r="UTH1" t="s">
        <v>15042</v>
      </c>
      <c r="UTI1" t="s">
        <v>15043</v>
      </c>
      <c r="UTJ1" t="s">
        <v>15044</v>
      </c>
      <c r="UTK1" t="s">
        <v>15045</v>
      </c>
      <c r="UTL1" t="s">
        <v>15046</v>
      </c>
      <c r="UTM1" t="s">
        <v>15047</v>
      </c>
      <c r="UTN1" t="s">
        <v>15048</v>
      </c>
      <c r="UTO1" t="s">
        <v>15049</v>
      </c>
      <c r="UTP1" t="s">
        <v>15050</v>
      </c>
      <c r="UTQ1" t="s">
        <v>15051</v>
      </c>
      <c r="UTR1" t="s">
        <v>15052</v>
      </c>
      <c r="UTS1" t="s">
        <v>15053</v>
      </c>
      <c r="UTT1" t="s">
        <v>15054</v>
      </c>
      <c r="UTU1" t="s">
        <v>15055</v>
      </c>
      <c r="UTV1" t="s">
        <v>15056</v>
      </c>
      <c r="UTW1" t="s">
        <v>15057</v>
      </c>
      <c r="UTX1" t="s">
        <v>15058</v>
      </c>
      <c r="UTY1" t="s">
        <v>15059</v>
      </c>
      <c r="UTZ1" t="s">
        <v>15060</v>
      </c>
      <c r="UUA1" t="s">
        <v>15061</v>
      </c>
      <c r="UUB1" t="s">
        <v>15062</v>
      </c>
      <c r="UUC1" t="s">
        <v>15063</v>
      </c>
      <c r="UUD1" t="s">
        <v>15064</v>
      </c>
      <c r="UUE1" t="s">
        <v>15065</v>
      </c>
      <c r="UUF1" t="s">
        <v>15066</v>
      </c>
      <c r="UUG1" t="s">
        <v>15067</v>
      </c>
      <c r="UUH1" t="s">
        <v>15068</v>
      </c>
      <c r="UUI1" t="s">
        <v>15069</v>
      </c>
      <c r="UUJ1" t="s">
        <v>15070</v>
      </c>
      <c r="UUK1" t="s">
        <v>15071</v>
      </c>
      <c r="UUL1" t="s">
        <v>15072</v>
      </c>
      <c r="UUM1" t="s">
        <v>15073</v>
      </c>
      <c r="UUN1" t="s">
        <v>15074</v>
      </c>
      <c r="UUO1" t="s">
        <v>15075</v>
      </c>
      <c r="UUP1" t="s">
        <v>15076</v>
      </c>
      <c r="UUQ1" t="s">
        <v>15077</v>
      </c>
      <c r="UUR1" t="s">
        <v>15078</v>
      </c>
      <c r="UUS1" t="s">
        <v>15079</v>
      </c>
      <c r="UUT1" t="s">
        <v>15080</v>
      </c>
      <c r="UUU1" t="s">
        <v>15081</v>
      </c>
      <c r="UUV1" t="s">
        <v>15082</v>
      </c>
      <c r="UUW1" t="s">
        <v>15083</v>
      </c>
      <c r="UUX1" t="s">
        <v>15084</v>
      </c>
      <c r="UUY1" t="s">
        <v>15085</v>
      </c>
      <c r="UUZ1" t="s">
        <v>15086</v>
      </c>
      <c r="UVA1" t="s">
        <v>15087</v>
      </c>
      <c r="UVB1" t="s">
        <v>15088</v>
      </c>
      <c r="UVC1" t="s">
        <v>15089</v>
      </c>
      <c r="UVD1" t="s">
        <v>15090</v>
      </c>
      <c r="UVE1" t="s">
        <v>15091</v>
      </c>
      <c r="UVF1" t="s">
        <v>15092</v>
      </c>
      <c r="UVG1" t="s">
        <v>15093</v>
      </c>
      <c r="UVH1" t="s">
        <v>15094</v>
      </c>
      <c r="UVI1" t="s">
        <v>15095</v>
      </c>
      <c r="UVJ1" t="s">
        <v>15096</v>
      </c>
      <c r="UVK1" t="s">
        <v>15097</v>
      </c>
      <c r="UVL1" t="s">
        <v>15098</v>
      </c>
      <c r="UVM1" t="s">
        <v>15099</v>
      </c>
      <c r="UVN1" t="s">
        <v>15100</v>
      </c>
      <c r="UVO1" t="s">
        <v>15101</v>
      </c>
      <c r="UVP1" t="s">
        <v>15102</v>
      </c>
      <c r="UVQ1" t="s">
        <v>15103</v>
      </c>
      <c r="UVR1" t="s">
        <v>15104</v>
      </c>
      <c r="UVS1" t="s">
        <v>15105</v>
      </c>
      <c r="UVT1" t="s">
        <v>15106</v>
      </c>
      <c r="UVU1" t="s">
        <v>15107</v>
      </c>
      <c r="UVV1" t="s">
        <v>15108</v>
      </c>
      <c r="UVW1" t="s">
        <v>15109</v>
      </c>
      <c r="UVX1" t="s">
        <v>15110</v>
      </c>
      <c r="UVY1" t="s">
        <v>15111</v>
      </c>
      <c r="UVZ1" t="s">
        <v>15112</v>
      </c>
      <c r="UWA1" t="s">
        <v>15113</v>
      </c>
      <c r="UWB1" t="s">
        <v>15114</v>
      </c>
      <c r="UWC1" t="s">
        <v>15115</v>
      </c>
      <c r="UWD1" t="s">
        <v>15116</v>
      </c>
      <c r="UWE1" t="s">
        <v>15117</v>
      </c>
      <c r="UWF1" t="s">
        <v>15118</v>
      </c>
      <c r="UWG1" t="s">
        <v>15119</v>
      </c>
      <c r="UWH1" t="s">
        <v>15120</v>
      </c>
      <c r="UWI1" t="s">
        <v>15121</v>
      </c>
      <c r="UWJ1" t="s">
        <v>15122</v>
      </c>
      <c r="UWK1" t="s">
        <v>15123</v>
      </c>
      <c r="UWL1" t="s">
        <v>15124</v>
      </c>
      <c r="UWM1" t="s">
        <v>15125</v>
      </c>
      <c r="UWN1" t="s">
        <v>15126</v>
      </c>
      <c r="UWO1" t="s">
        <v>15127</v>
      </c>
      <c r="UWP1" t="s">
        <v>15128</v>
      </c>
      <c r="UWQ1" t="s">
        <v>15129</v>
      </c>
      <c r="UWR1" t="s">
        <v>15130</v>
      </c>
      <c r="UWS1" t="s">
        <v>15131</v>
      </c>
      <c r="UWT1" t="s">
        <v>15132</v>
      </c>
      <c r="UWU1" t="s">
        <v>15133</v>
      </c>
      <c r="UWV1" t="s">
        <v>15134</v>
      </c>
      <c r="UWW1" t="s">
        <v>15135</v>
      </c>
      <c r="UWX1" t="s">
        <v>15136</v>
      </c>
      <c r="UWY1" t="s">
        <v>15137</v>
      </c>
      <c r="UWZ1" t="s">
        <v>15138</v>
      </c>
      <c r="UXA1" t="s">
        <v>15139</v>
      </c>
      <c r="UXB1" t="s">
        <v>15140</v>
      </c>
      <c r="UXC1" t="s">
        <v>15141</v>
      </c>
      <c r="UXD1" t="s">
        <v>15142</v>
      </c>
      <c r="UXE1" t="s">
        <v>15143</v>
      </c>
      <c r="UXF1" t="s">
        <v>15144</v>
      </c>
      <c r="UXG1" t="s">
        <v>15145</v>
      </c>
      <c r="UXH1" t="s">
        <v>15146</v>
      </c>
      <c r="UXI1" t="s">
        <v>15147</v>
      </c>
      <c r="UXJ1" t="s">
        <v>15148</v>
      </c>
      <c r="UXK1" t="s">
        <v>15149</v>
      </c>
      <c r="UXL1" t="s">
        <v>15150</v>
      </c>
      <c r="UXM1" t="s">
        <v>15151</v>
      </c>
      <c r="UXN1" t="s">
        <v>15152</v>
      </c>
      <c r="UXO1" t="s">
        <v>15153</v>
      </c>
      <c r="UXP1" t="s">
        <v>15154</v>
      </c>
      <c r="UXQ1" t="s">
        <v>15155</v>
      </c>
      <c r="UXR1" t="s">
        <v>15156</v>
      </c>
      <c r="UXS1" t="s">
        <v>15157</v>
      </c>
      <c r="UXT1" t="s">
        <v>15158</v>
      </c>
      <c r="UXU1" t="s">
        <v>15159</v>
      </c>
      <c r="UXV1" t="s">
        <v>15160</v>
      </c>
      <c r="UXW1" t="s">
        <v>15161</v>
      </c>
      <c r="UXX1" t="s">
        <v>15162</v>
      </c>
      <c r="UXY1" t="s">
        <v>15163</v>
      </c>
      <c r="UXZ1" t="s">
        <v>15164</v>
      </c>
      <c r="UYA1" t="s">
        <v>15165</v>
      </c>
      <c r="UYB1" t="s">
        <v>15166</v>
      </c>
      <c r="UYC1" t="s">
        <v>15167</v>
      </c>
      <c r="UYD1" t="s">
        <v>15168</v>
      </c>
      <c r="UYE1" t="s">
        <v>15169</v>
      </c>
      <c r="UYF1" t="s">
        <v>15170</v>
      </c>
      <c r="UYG1" t="s">
        <v>15171</v>
      </c>
      <c r="UYH1" t="s">
        <v>15172</v>
      </c>
      <c r="UYI1" t="s">
        <v>15173</v>
      </c>
      <c r="UYJ1" t="s">
        <v>15174</v>
      </c>
      <c r="UYK1" t="s">
        <v>15175</v>
      </c>
      <c r="UYL1" t="s">
        <v>15176</v>
      </c>
      <c r="UYM1" t="s">
        <v>15177</v>
      </c>
      <c r="UYN1" t="s">
        <v>15178</v>
      </c>
      <c r="UYO1" t="s">
        <v>15179</v>
      </c>
      <c r="UYP1" t="s">
        <v>15180</v>
      </c>
      <c r="UYQ1" t="s">
        <v>15181</v>
      </c>
      <c r="UYR1" t="s">
        <v>15182</v>
      </c>
      <c r="UYS1" t="s">
        <v>15183</v>
      </c>
      <c r="UYT1" t="s">
        <v>15184</v>
      </c>
      <c r="UYU1" t="s">
        <v>15185</v>
      </c>
      <c r="UYV1" t="s">
        <v>15186</v>
      </c>
      <c r="UYW1" t="s">
        <v>15187</v>
      </c>
      <c r="UYX1" t="s">
        <v>15188</v>
      </c>
      <c r="UYY1" t="s">
        <v>15189</v>
      </c>
      <c r="UYZ1" t="s">
        <v>15190</v>
      </c>
      <c r="UZA1" t="s">
        <v>15191</v>
      </c>
      <c r="UZB1" t="s">
        <v>15192</v>
      </c>
      <c r="UZC1" t="s">
        <v>15193</v>
      </c>
      <c r="UZD1" t="s">
        <v>15194</v>
      </c>
      <c r="UZE1" t="s">
        <v>15195</v>
      </c>
      <c r="UZF1" t="s">
        <v>15196</v>
      </c>
      <c r="UZG1" t="s">
        <v>15197</v>
      </c>
      <c r="UZH1" t="s">
        <v>15198</v>
      </c>
      <c r="UZI1" t="s">
        <v>15199</v>
      </c>
      <c r="UZJ1" t="s">
        <v>15200</v>
      </c>
      <c r="UZK1" t="s">
        <v>15201</v>
      </c>
      <c r="UZL1" t="s">
        <v>15202</v>
      </c>
      <c r="UZM1" t="s">
        <v>15203</v>
      </c>
      <c r="UZN1" t="s">
        <v>15204</v>
      </c>
      <c r="UZO1" t="s">
        <v>15205</v>
      </c>
      <c r="UZP1" t="s">
        <v>15206</v>
      </c>
      <c r="UZQ1" t="s">
        <v>15207</v>
      </c>
      <c r="UZR1" t="s">
        <v>15208</v>
      </c>
      <c r="UZS1" t="s">
        <v>15209</v>
      </c>
      <c r="UZT1" t="s">
        <v>15210</v>
      </c>
      <c r="UZU1" t="s">
        <v>15211</v>
      </c>
      <c r="UZV1" t="s">
        <v>15212</v>
      </c>
      <c r="UZW1" t="s">
        <v>15213</v>
      </c>
      <c r="UZX1" t="s">
        <v>15214</v>
      </c>
      <c r="UZY1" t="s">
        <v>15215</v>
      </c>
      <c r="UZZ1" t="s">
        <v>15216</v>
      </c>
      <c r="VAA1" t="s">
        <v>15217</v>
      </c>
      <c r="VAB1" t="s">
        <v>15218</v>
      </c>
      <c r="VAC1" t="s">
        <v>15219</v>
      </c>
      <c r="VAD1" t="s">
        <v>15220</v>
      </c>
      <c r="VAE1" t="s">
        <v>15221</v>
      </c>
      <c r="VAF1" t="s">
        <v>15222</v>
      </c>
      <c r="VAG1" t="s">
        <v>15223</v>
      </c>
      <c r="VAH1" t="s">
        <v>15224</v>
      </c>
      <c r="VAI1" t="s">
        <v>15225</v>
      </c>
      <c r="VAJ1" t="s">
        <v>15226</v>
      </c>
      <c r="VAK1" t="s">
        <v>15227</v>
      </c>
      <c r="VAL1" t="s">
        <v>15228</v>
      </c>
      <c r="VAM1" t="s">
        <v>15229</v>
      </c>
      <c r="VAN1" t="s">
        <v>15230</v>
      </c>
      <c r="VAO1" t="s">
        <v>15231</v>
      </c>
      <c r="VAP1" t="s">
        <v>15232</v>
      </c>
      <c r="VAQ1" t="s">
        <v>15233</v>
      </c>
      <c r="VAR1" t="s">
        <v>15234</v>
      </c>
      <c r="VAS1" t="s">
        <v>15235</v>
      </c>
      <c r="VAT1" t="s">
        <v>15236</v>
      </c>
      <c r="VAU1" t="s">
        <v>15237</v>
      </c>
      <c r="VAV1" t="s">
        <v>15238</v>
      </c>
      <c r="VAW1" t="s">
        <v>15239</v>
      </c>
      <c r="VAX1" t="s">
        <v>15240</v>
      </c>
      <c r="VAY1" t="s">
        <v>15241</v>
      </c>
      <c r="VAZ1" t="s">
        <v>15242</v>
      </c>
      <c r="VBA1" t="s">
        <v>15243</v>
      </c>
      <c r="VBB1" t="s">
        <v>15244</v>
      </c>
      <c r="VBC1" t="s">
        <v>15245</v>
      </c>
      <c r="VBD1" t="s">
        <v>15246</v>
      </c>
      <c r="VBE1" t="s">
        <v>15247</v>
      </c>
      <c r="VBF1" t="s">
        <v>15248</v>
      </c>
      <c r="VBG1" t="s">
        <v>15249</v>
      </c>
      <c r="VBH1" t="s">
        <v>15250</v>
      </c>
      <c r="VBI1" t="s">
        <v>15251</v>
      </c>
      <c r="VBJ1" t="s">
        <v>15252</v>
      </c>
      <c r="VBK1" t="s">
        <v>15253</v>
      </c>
      <c r="VBL1" t="s">
        <v>15254</v>
      </c>
      <c r="VBM1" t="s">
        <v>15255</v>
      </c>
      <c r="VBN1" t="s">
        <v>15256</v>
      </c>
      <c r="VBO1" t="s">
        <v>15257</v>
      </c>
      <c r="VBP1" t="s">
        <v>15258</v>
      </c>
      <c r="VBQ1" t="s">
        <v>15259</v>
      </c>
      <c r="VBR1" t="s">
        <v>15260</v>
      </c>
      <c r="VBS1" t="s">
        <v>15261</v>
      </c>
      <c r="VBT1" t="s">
        <v>15262</v>
      </c>
      <c r="VBU1" t="s">
        <v>15263</v>
      </c>
      <c r="VBV1" t="s">
        <v>15264</v>
      </c>
      <c r="VBW1" t="s">
        <v>15265</v>
      </c>
      <c r="VBX1" t="s">
        <v>15266</v>
      </c>
      <c r="VBY1" t="s">
        <v>15267</v>
      </c>
      <c r="VBZ1" t="s">
        <v>15268</v>
      </c>
      <c r="VCA1" t="s">
        <v>15269</v>
      </c>
      <c r="VCB1" t="s">
        <v>15270</v>
      </c>
      <c r="VCC1" t="s">
        <v>15271</v>
      </c>
      <c r="VCD1" t="s">
        <v>15272</v>
      </c>
      <c r="VCE1" t="s">
        <v>15273</v>
      </c>
      <c r="VCF1" t="s">
        <v>15274</v>
      </c>
      <c r="VCG1" t="s">
        <v>15275</v>
      </c>
      <c r="VCH1" t="s">
        <v>15276</v>
      </c>
      <c r="VCI1" t="s">
        <v>15277</v>
      </c>
      <c r="VCJ1" t="s">
        <v>15278</v>
      </c>
      <c r="VCK1" t="s">
        <v>15279</v>
      </c>
      <c r="VCL1" t="s">
        <v>15280</v>
      </c>
      <c r="VCM1" t="s">
        <v>15281</v>
      </c>
      <c r="VCN1" t="s">
        <v>15282</v>
      </c>
      <c r="VCO1" t="s">
        <v>15283</v>
      </c>
      <c r="VCP1" t="s">
        <v>15284</v>
      </c>
      <c r="VCQ1" t="s">
        <v>15285</v>
      </c>
      <c r="VCR1" t="s">
        <v>15286</v>
      </c>
      <c r="VCS1" t="s">
        <v>15287</v>
      </c>
      <c r="VCT1" t="s">
        <v>15288</v>
      </c>
      <c r="VCU1" t="s">
        <v>15289</v>
      </c>
      <c r="VCV1" t="s">
        <v>15290</v>
      </c>
      <c r="VCW1" t="s">
        <v>15291</v>
      </c>
      <c r="VCX1" t="s">
        <v>15292</v>
      </c>
      <c r="VCY1" t="s">
        <v>15293</v>
      </c>
      <c r="VCZ1" t="s">
        <v>15294</v>
      </c>
      <c r="VDA1" t="s">
        <v>15295</v>
      </c>
      <c r="VDB1" t="s">
        <v>15296</v>
      </c>
      <c r="VDC1" t="s">
        <v>15297</v>
      </c>
      <c r="VDD1" t="s">
        <v>15298</v>
      </c>
      <c r="VDE1" t="s">
        <v>15299</v>
      </c>
      <c r="VDF1" t="s">
        <v>15300</v>
      </c>
      <c r="VDG1" t="s">
        <v>15301</v>
      </c>
      <c r="VDH1" t="s">
        <v>15302</v>
      </c>
      <c r="VDI1" t="s">
        <v>15303</v>
      </c>
      <c r="VDJ1" t="s">
        <v>15304</v>
      </c>
      <c r="VDK1" t="s">
        <v>15305</v>
      </c>
      <c r="VDL1" t="s">
        <v>15306</v>
      </c>
      <c r="VDM1" t="s">
        <v>15307</v>
      </c>
      <c r="VDN1" t="s">
        <v>15308</v>
      </c>
      <c r="VDO1" t="s">
        <v>15309</v>
      </c>
      <c r="VDP1" t="s">
        <v>15310</v>
      </c>
      <c r="VDQ1" t="s">
        <v>15311</v>
      </c>
      <c r="VDR1" t="s">
        <v>15312</v>
      </c>
      <c r="VDS1" t="s">
        <v>15313</v>
      </c>
      <c r="VDT1" t="s">
        <v>15314</v>
      </c>
      <c r="VDU1" t="s">
        <v>15315</v>
      </c>
      <c r="VDV1" t="s">
        <v>15316</v>
      </c>
      <c r="VDW1" t="s">
        <v>15317</v>
      </c>
      <c r="VDX1" t="s">
        <v>15318</v>
      </c>
      <c r="VDY1" t="s">
        <v>15319</v>
      </c>
      <c r="VDZ1" t="s">
        <v>15320</v>
      </c>
      <c r="VEA1" t="s">
        <v>15321</v>
      </c>
      <c r="VEB1" t="s">
        <v>15322</v>
      </c>
      <c r="VEC1" t="s">
        <v>15323</v>
      </c>
      <c r="VED1" t="s">
        <v>15324</v>
      </c>
      <c r="VEE1" t="s">
        <v>15325</v>
      </c>
      <c r="VEF1" t="s">
        <v>15326</v>
      </c>
      <c r="VEG1" t="s">
        <v>15327</v>
      </c>
      <c r="VEH1" t="s">
        <v>15328</v>
      </c>
      <c r="VEI1" t="s">
        <v>15329</v>
      </c>
      <c r="VEJ1" t="s">
        <v>15330</v>
      </c>
      <c r="VEK1" t="s">
        <v>15331</v>
      </c>
      <c r="VEL1" t="s">
        <v>15332</v>
      </c>
      <c r="VEM1" t="s">
        <v>15333</v>
      </c>
      <c r="VEN1" t="s">
        <v>15334</v>
      </c>
      <c r="VEO1" t="s">
        <v>15335</v>
      </c>
      <c r="VEP1" t="s">
        <v>15336</v>
      </c>
      <c r="VEQ1" t="s">
        <v>15337</v>
      </c>
      <c r="VER1" t="s">
        <v>15338</v>
      </c>
      <c r="VES1" t="s">
        <v>15339</v>
      </c>
      <c r="VET1" t="s">
        <v>15340</v>
      </c>
      <c r="VEU1" t="s">
        <v>15341</v>
      </c>
      <c r="VEV1" t="s">
        <v>15342</v>
      </c>
      <c r="VEW1" t="s">
        <v>15343</v>
      </c>
      <c r="VEX1" t="s">
        <v>15344</v>
      </c>
      <c r="VEY1" t="s">
        <v>15345</v>
      </c>
      <c r="VEZ1" t="s">
        <v>15346</v>
      </c>
      <c r="VFA1" t="s">
        <v>15347</v>
      </c>
      <c r="VFB1" t="s">
        <v>15348</v>
      </c>
      <c r="VFC1" t="s">
        <v>15349</v>
      </c>
      <c r="VFD1" t="s">
        <v>15350</v>
      </c>
      <c r="VFE1" t="s">
        <v>15351</v>
      </c>
      <c r="VFF1" t="s">
        <v>15352</v>
      </c>
      <c r="VFG1" t="s">
        <v>15353</v>
      </c>
      <c r="VFH1" t="s">
        <v>15354</v>
      </c>
      <c r="VFI1" t="s">
        <v>15355</v>
      </c>
      <c r="VFJ1" t="s">
        <v>15356</v>
      </c>
      <c r="VFK1" t="s">
        <v>15357</v>
      </c>
      <c r="VFL1" t="s">
        <v>15358</v>
      </c>
      <c r="VFM1" t="s">
        <v>15359</v>
      </c>
      <c r="VFN1" t="s">
        <v>15360</v>
      </c>
      <c r="VFO1" t="s">
        <v>15361</v>
      </c>
      <c r="VFP1" t="s">
        <v>15362</v>
      </c>
      <c r="VFQ1" t="s">
        <v>15363</v>
      </c>
      <c r="VFR1" t="s">
        <v>15364</v>
      </c>
      <c r="VFS1" t="s">
        <v>15365</v>
      </c>
      <c r="VFT1" t="s">
        <v>15366</v>
      </c>
      <c r="VFU1" t="s">
        <v>15367</v>
      </c>
      <c r="VFV1" t="s">
        <v>15368</v>
      </c>
      <c r="VFW1" t="s">
        <v>15369</v>
      </c>
      <c r="VFX1" t="s">
        <v>15370</v>
      </c>
      <c r="VFY1" t="s">
        <v>15371</v>
      </c>
      <c r="VFZ1" t="s">
        <v>15372</v>
      </c>
      <c r="VGA1" t="s">
        <v>15373</v>
      </c>
      <c r="VGB1" t="s">
        <v>15374</v>
      </c>
      <c r="VGC1" t="s">
        <v>15375</v>
      </c>
      <c r="VGD1" t="s">
        <v>15376</v>
      </c>
      <c r="VGE1" t="s">
        <v>15377</v>
      </c>
      <c r="VGF1" t="s">
        <v>15378</v>
      </c>
      <c r="VGG1" t="s">
        <v>15379</v>
      </c>
      <c r="VGH1" t="s">
        <v>15380</v>
      </c>
      <c r="VGI1" t="s">
        <v>15381</v>
      </c>
      <c r="VGJ1" t="s">
        <v>15382</v>
      </c>
      <c r="VGK1" t="s">
        <v>15383</v>
      </c>
      <c r="VGL1" t="s">
        <v>15384</v>
      </c>
      <c r="VGM1" t="s">
        <v>15385</v>
      </c>
      <c r="VGN1" t="s">
        <v>15386</v>
      </c>
      <c r="VGO1" t="s">
        <v>15387</v>
      </c>
      <c r="VGP1" t="s">
        <v>15388</v>
      </c>
      <c r="VGQ1" t="s">
        <v>15389</v>
      </c>
      <c r="VGR1" t="s">
        <v>15390</v>
      </c>
      <c r="VGS1" t="s">
        <v>15391</v>
      </c>
      <c r="VGT1" t="s">
        <v>15392</v>
      </c>
      <c r="VGU1" t="s">
        <v>15393</v>
      </c>
      <c r="VGV1" t="s">
        <v>15394</v>
      </c>
      <c r="VGW1" t="s">
        <v>15395</v>
      </c>
      <c r="VGX1" t="s">
        <v>15396</v>
      </c>
      <c r="VGY1" t="s">
        <v>15397</v>
      </c>
      <c r="VGZ1" t="s">
        <v>15398</v>
      </c>
      <c r="VHA1" t="s">
        <v>15399</v>
      </c>
      <c r="VHB1" t="s">
        <v>15400</v>
      </c>
      <c r="VHC1" t="s">
        <v>15401</v>
      </c>
      <c r="VHD1" t="s">
        <v>15402</v>
      </c>
      <c r="VHE1" t="s">
        <v>15403</v>
      </c>
      <c r="VHF1" t="s">
        <v>15404</v>
      </c>
      <c r="VHG1" t="s">
        <v>15405</v>
      </c>
      <c r="VHH1" t="s">
        <v>15406</v>
      </c>
      <c r="VHI1" t="s">
        <v>15407</v>
      </c>
      <c r="VHJ1" t="s">
        <v>15408</v>
      </c>
      <c r="VHK1" t="s">
        <v>15409</v>
      </c>
      <c r="VHL1" t="s">
        <v>15410</v>
      </c>
      <c r="VHM1" t="s">
        <v>15411</v>
      </c>
      <c r="VHN1" t="s">
        <v>15412</v>
      </c>
      <c r="VHO1" t="s">
        <v>15413</v>
      </c>
      <c r="VHP1" t="s">
        <v>15414</v>
      </c>
      <c r="VHQ1" t="s">
        <v>15415</v>
      </c>
      <c r="VHR1" t="s">
        <v>15416</v>
      </c>
      <c r="VHS1" t="s">
        <v>15417</v>
      </c>
      <c r="VHT1" t="s">
        <v>15418</v>
      </c>
      <c r="VHU1" t="s">
        <v>15419</v>
      </c>
      <c r="VHV1" t="s">
        <v>15420</v>
      </c>
      <c r="VHW1" t="s">
        <v>15421</v>
      </c>
      <c r="VHX1" t="s">
        <v>15422</v>
      </c>
      <c r="VHY1" t="s">
        <v>15423</v>
      </c>
      <c r="VHZ1" t="s">
        <v>15424</v>
      </c>
      <c r="VIA1" t="s">
        <v>15425</v>
      </c>
      <c r="VIB1" t="s">
        <v>15426</v>
      </c>
      <c r="VIC1" t="s">
        <v>15427</v>
      </c>
      <c r="VID1" t="s">
        <v>15428</v>
      </c>
      <c r="VIE1" t="s">
        <v>15429</v>
      </c>
      <c r="VIF1" t="s">
        <v>15430</v>
      </c>
      <c r="VIG1" t="s">
        <v>15431</v>
      </c>
      <c r="VIH1" t="s">
        <v>15432</v>
      </c>
      <c r="VII1" t="s">
        <v>15433</v>
      </c>
      <c r="VIJ1" t="s">
        <v>15434</v>
      </c>
      <c r="VIK1" t="s">
        <v>15435</v>
      </c>
      <c r="VIL1" t="s">
        <v>15436</v>
      </c>
      <c r="VIM1" t="s">
        <v>15437</v>
      </c>
      <c r="VIN1" t="s">
        <v>15438</v>
      </c>
      <c r="VIO1" t="s">
        <v>15439</v>
      </c>
      <c r="VIP1" t="s">
        <v>15440</v>
      </c>
      <c r="VIQ1" t="s">
        <v>15441</v>
      </c>
      <c r="VIR1" t="s">
        <v>15442</v>
      </c>
      <c r="VIS1" t="s">
        <v>15443</v>
      </c>
      <c r="VIT1" t="s">
        <v>15444</v>
      </c>
      <c r="VIU1" t="s">
        <v>15445</v>
      </c>
      <c r="VIV1" t="s">
        <v>15446</v>
      </c>
      <c r="VIW1" t="s">
        <v>15447</v>
      </c>
      <c r="VIX1" t="s">
        <v>15448</v>
      </c>
      <c r="VIY1" t="s">
        <v>15449</v>
      </c>
      <c r="VIZ1" t="s">
        <v>15450</v>
      </c>
      <c r="VJA1" t="s">
        <v>15451</v>
      </c>
      <c r="VJB1" t="s">
        <v>15452</v>
      </c>
      <c r="VJC1" t="s">
        <v>15453</v>
      </c>
      <c r="VJD1" t="s">
        <v>15454</v>
      </c>
      <c r="VJE1" t="s">
        <v>15455</v>
      </c>
      <c r="VJF1" t="s">
        <v>15456</v>
      </c>
      <c r="VJG1" t="s">
        <v>15457</v>
      </c>
      <c r="VJH1" t="s">
        <v>15458</v>
      </c>
      <c r="VJI1" t="s">
        <v>15459</v>
      </c>
      <c r="VJJ1" t="s">
        <v>15460</v>
      </c>
      <c r="VJK1" t="s">
        <v>15461</v>
      </c>
      <c r="VJL1" t="s">
        <v>15462</v>
      </c>
      <c r="VJM1" t="s">
        <v>15463</v>
      </c>
      <c r="VJN1" t="s">
        <v>15464</v>
      </c>
      <c r="VJO1" t="s">
        <v>15465</v>
      </c>
      <c r="VJP1" t="s">
        <v>15466</v>
      </c>
      <c r="VJQ1" t="s">
        <v>15467</v>
      </c>
      <c r="VJR1" t="s">
        <v>15468</v>
      </c>
      <c r="VJS1" t="s">
        <v>15469</v>
      </c>
      <c r="VJT1" t="s">
        <v>15470</v>
      </c>
      <c r="VJU1" t="s">
        <v>15471</v>
      </c>
      <c r="VJV1" t="s">
        <v>15472</v>
      </c>
      <c r="VJW1" t="s">
        <v>15473</v>
      </c>
      <c r="VJX1" t="s">
        <v>15474</v>
      </c>
      <c r="VJY1" t="s">
        <v>15475</v>
      </c>
      <c r="VJZ1" t="s">
        <v>15476</v>
      </c>
      <c r="VKA1" t="s">
        <v>15477</v>
      </c>
      <c r="VKB1" t="s">
        <v>15478</v>
      </c>
      <c r="VKC1" t="s">
        <v>15479</v>
      </c>
      <c r="VKD1" t="s">
        <v>15480</v>
      </c>
      <c r="VKE1" t="s">
        <v>15481</v>
      </c>
      <c r="VKF1" t="s">
        <v>15482</v>
      </c>
      <c r="VKG1" t="s">
        <v>15483</v>
      </c>
      <c r="VKH1" t="s">
        <v>15484</v>
      </c>
      <c r="VKI1" t="s">
        <v>15485</v>
      </c>
      <c r="VKJ1" t="s">
        <v>15486</v>
      </c>
      <c r="VKK1" t="s">
        <v>15487</v>
      </c>
      <c r="VKL1" t="s">
        <v>15488</v>
      </c>
      <c r="VKM1" t="s">
        <v>15489</v>
      </c>
      <c r="VKN1" t="s">
        <v>15490</v>
      </c>
      <c r="VKO1" t="s">
        <v>15491</v>
      </c>
      <c r="VKP1" t="s">
        <v>15492</v>
      </c>
      <c r="VKQ1" t="s">
        <v>15493</v>
      </c>
      <c r="VKR1" t="s">
        <v>15494</v>
      </c>
      <c r="VKS1" t="s">
        <v>15495</v>
      </c>
      <c r="VKT1" t="s">
        <v>15496</v>
      </c>
      <c r="VKU1" t="s">
        <v>15497</v>
      </c>
      <c r="VKV1" t="s">
        <v>15498</v>
      </c>
      <c r="VKW1" t="s">
        <v>15499</v>
      </c>
      <c r="VKX1" t="s">
        <v>15500</v>
      </c>
      <c r="VKY1" t="s">
        <v>15501</v>
      </c>
      <c r="VKZ1" t="s">
        <v>15502</v>
      </c>
      <c r="VLA1" t="s">
        <v>15503</v>
      </c>
      <c r="VLB1" t="s">
        <v>15504</v>
      </c>
      <c r="VLC1" t="s">
        <v>15505</v>
      </c>
      <c r="VLD1" t="s">
        <v>15506</v>
      </c>
      <c r="VLE1" t="s">
        <v>15507</v>
      </c>
      <c r="VLF1" t="s">
        <v>15508</v>
      </c>
      <c r="VLG1" t="s">
        <v>15509</v>
      </c>
      <c r="VLH1" t="s">
        <v>15510</v>
      </c>
      <c r="VLI1" t="s">
        <v>15511</v>
      </c>
      <c r="VLJ1" t="s">
        <v>15512</v>
      </c>
      <c r="VLK1" t="s">
        <v>15513</v>
      </c>
      <c r="VLL1" t="s">
        <v>15514</v>
      </c>
      <c r="VLM1" t="s">
        <v>15515</v>
      </c>
      <c r="VLN1" t="s">
        <v>15516</v>
      </c>
      <c r="VLO1" t="s">
        <v>15517</v>
      </c>
      <c r="VLP1" t="s">
        <v>15518</v>
      </c>
      <c r="VLQ1" t="s">
        <v>15519</v>
      </c>
      <c r="VLR1" t="s">
        <v>15520</v>
      </c>
      <c r="VLS1" t="s">
        <v>15521</v>
      </c>
      <c r="VLT1" t="s">
        <v>15522</v>
      </c>
      <c r="VLU1" t="s">
        <v>15523</v>
      </c>
      <c r="VLV1" t="s">
        <v>15524</v>
      </c>
      <c r="VLW1" t="s">
        <v>15525</v>
      </c>
      <c r="VLX1" t="s">
        <v>15526</v>
      </c>
      <c r="VLY1" t="s">
        <v>15527</v>
      </c>
      <c r="VLZ1" t="s">
        <v>15528</v>
      </c>
      <c r="VMA1" t="s">
        <v>15529</v>
      </c>
      <c r="VMB1" t="s">
        <v>15530</v>
      </c>
      <c r="VMC1" t="s">
        <v>15531</v>
      </c>
      <c r="VMD1" t="s">
        <v>15532</v>
      </c>
      <c r="VME1" t="s">
        <v>15533</v>
      </c>
      <c r="VMF1" t="s">
        <v>15534</v>
      </c>
      <c r="VMG1" t="s">
        <v>15535</v>
      </c>
      <c r="VMH1" t="s">
        <v>15536</v>
      </c>
      <c r="VMI1" t="s">
        <v>15537</v>
      </c>
      <c r="VMJ1" t="s">
        <v>15538</v>
      </c>
      <c r="VMK1" t="s">
        <v>15539</v>
      </c>
      <c r="VML1" t="s">
        <v>15540</v>
      </c>
      <c r="VMM1" t="s">
        <v>15541</v>
      </c>
      <c r="VMN1" t="s">
        <v>15542</v>
      </c>
      <c r="VMO1" t="s">
        <v>15543</v>
      </c>
      <c r="VMP1" t="s">
        <v>15544</v>
      </c>
      <c r="VMQ1" t="s">
        <v>15545</v>
      </c>
      <c r="VMR1" t="s">
        <v>15546</v>
      </c>
      <c r="VMS1" t="s">
        <v>15547</v>
      </c>
      <c r="VMT1" t="s">
        <v>15548</v>
      </c>
      <c r="VMU1" t="s">
        <v>15549</v>
      </c>
      <c r="VMV1" t="s">
        <v>15550</v>
      </c>
      <c r="VMW1" t="s">
        <v>15551</v>
      </c>
      <c r="VMX1" t="s">
        <v>15552</v>
      </c>
      <c r="VMY1" t="s">
        <v>15553</v>
      </c>
      <c r="VMZ1" t="s">
        <v>15554</v>
      </c>
      <c r="VNA1" t="s">
        <v>15555</v>
      </c>
      <c r="VNB1" t="s">
        <v>15556</v>
      </c>
      <c r="VNC1" t="s">
        <v>15557</v>
      </c>
      <c r="VND1" t="s">
        <v>15558</v>
      </c>
      <c r="VNE1" t="s">
        <v>15559</v>
      </c>
      <c r="VNF1" t="s">
        <v>15560</v>
      </c>
      <c r="VNG1" t="s">
        <v>15561</v>
      </c>
      <c r="VNH1" t="s">
        <v>15562</v>
      </c>
      <c r="VNI1" t="s">
        <v>15563</v>
      </c>
      <c r="VNJ1" t="s">
        <v>15564</v>
      </c>
      <c r="VNK1" t="s">
        <v>15565</v>
      </c>
      <c r="VNL1" t="s">
        <v>15566</v>
      </c>
      <c r="VNM1" t="s">
        <v>15567</v>
      </c>
      <c r="VNN1" t="s">
        <v>15568</v>
      </c>
      <c r="VNO1" t="s">
        <v>15569</v>
      </c>
      <c r="VNP1" t="s">
        <v>15570</v>
      </c>
      <c r="VNQ1" t="s">
        <v>15571</v>
      </c>
      <c r="VNR1" t="s">
        <v>15572</v>
      </c>
      <c r="VNS1" t="s">
        <v>15573</v>
      </c>
      <c r="VNT1" t="s">
        <v>15574</v>
      </c>
      <c r="VNU1" t="s">
        <v>15575</v>
      </c>
      <c r="VNV1" t="s">
        <v>15576</v>
      </c>
      <c r="VNW1" t="s">
        <v>15577</v>
      </c>
      <c r="VNX1" t="s">
        <v>15578</v>
      </c>
      <c r="VNY1" t="s">
        <v>15579</v>
      </c>
      <c r="VNZ1" t="s">
        <v>15580</v>
      </c>
      <c r="VOA1" t="s">
        <v>15581</v>
      </c>
      <c r="VOB1" t="s">
        <v>15582</v>
      </c>
      <c r="VOC1" t="s">
        <v>15583</v>
      </c>
      <c r="VOD1" t="s">
        <v>15584</v>
      </c>
      <c r="VOE1" t="s">
        <v>15585</v>
      </c>
      <c r="VOF1" t="s">
        <v>15586</v>
      </c>
      <c r="VOG1" t="s">
        <v>15587</v>
      </c>
      <c r="VOH1" t="s">
        <v>15588</v>
      </c>
      <c r="VOI1" t="s">
        <v>15589</v>
      </c>
      <c r="VOJ1" t="s">
        <v>15590</v>
      </c>
      <c r="VOK1" t="s">
        <v>15591</v>
      </c>
      <c r="VOL1" t="s">
        <v>15592</v>
      </c>
      <c r="VOM1" t="s">
        <v>15593</v>
      </c>
      <c r="VON1" t="s">
        <v>15594</v>
      </c>
      <c r="VOO1" t="s">
        <v>15595</v>
      </c>
      <c r="VOP1" t="s">
        <v>15596</v>
      </c>
      <c r="VOQ1" t="s">
        <v>15597</v>
      </c>
      <c r="VOR1" t="s">
        <v>15598</v>
      </c>
      <c r="VOS1" t="s">
        <v>15599</v>
      </c>
      <c r="VOT1" t="s">
        <v>15600</v>
      </c>
      <c r="VOU1" t="s">
        <v>15601</v>
      </c>
      <c r="VOV1" t="s">
        <v>15602</v>
      </c>
      <c r="VOW1" t="s">
        <v>15603</v>
      </c>
      <c r="VOX1" t="s">
        <v>15604</v>
      </c>
      <c r="VOY1" t="s">
        <v>15605</v>
      </c>
      <c r="VOZ1" t="s">
        <v>15606</v>
      </c>
      <c r="VPA1" t="s">
        <v>15607</v>
      </c>
      <c r="VPB1" t="s">
        <v>15608</v>
      </c>
      <c r="VPC1" t="s">
        <v>15609</v>
      </c>
      <c r="VPD1" t="s">
        <v>15610</v>
      </c>
      <c r="VPE1" t="s">
        <v>15611</v>
      </c>
      <c r="VPF1" t="s">
        <v>15612</v>
      </c>
      <c r="VPG1" t="s">
        <v>15613</v>
      </c>
      <c r="VPH1" t="s">
        <v>15614</v>
      </c>
      <c r="VPI1" t="s">
        <v>15615</v>
      </c>
      <c r="VPJ1" t="s">
        <v>15616</v>
      </c>
      <c r="VPK1" t="s">
        <v>15617</v>
      </c>
      <c r="VPL1" t="s">
        <v>15618</v>
      </c>
      <c r="VPM1" t="s">
        <v>15619</v>
      </c>
      <c r="VPN1" t="s">
        <v>15620</v>
      </c>
      <c r="VPO1" t="s">
        <v>15621</v>
      </c>
      <c r="VPP1" t="s">
        <v>15622</v>
      </c>
      <c r="VPQ1" t="s">
        <v>15623</v>
      </c>
      <c r="VPR1" t="s">
        <v>15624</v>
      </c>
      <c r="VPS1" t="s">
        <v>15625</v>
      </c>
      <c r="VPT1" t="s">
        <v>15626</v>
      </c>
      <c r="VPU1" t="s">
        <v>15627</v>
      </c>
      <c r="VPV1" t="s">
        <v>15628</v>
      </c>
      <c r="VPW1" t="s">
        <v>15629</v>
      </c>
      <c r="VPX1" t="s">
        <v>15630</v>
      </c>
      <c r="VPY1" t="s">
        <v>15631</v>
      </c>
      <c r="VPZ1" t="s">
        <v>15632</v>
      </c>
      <c r="VQA1" t="s">
        <v>15633</v>
      </c>
      <c r="VQB1" t="s">
        <v>15634</v>
      </c>
      <c r="VQC1" t="s">
        <v>15635</v>
      </c>
      <c r="VQD1" t="s">
        <v>15636</v>
      </c>
      <c r="VQE1" t="s">
        <v>15637</v>
      </c>
      <c r="VQF1" t="s">
        <v>15638</v>
      </c>
      <c r="VQG1" t="s">
        <v>15639</v>
      </c>
      <c r="VQH1" t="s">
        <v>15640</v>
      </c>
      <c r="VQI1" t="s">
        <v>15641</v>
      </c>
      <c r="VQJ1" t="s">
        <v>15642</v>
      </c>
      <c r="VQK1" t="s">
        <v>15643</v>
      </c>
      <c r="VQL1" t="s">
        <v>15644</v>
      </c>
      <c r="VQM1" t="s">
        <v>15645</v>
      </c>
      <c r="VQN1" t="s">
        <v>15646</v>
      </c>
      <c r="VQO1" t="s">
        <v>15647</v>
      </c>
      <c r="VQP1" t="s">
        <v>15648</v>
      </c>
      <c r="VQQ1" t="s">
        <v>15649</v>
      </c>
      <c r="VQR1" t="s">
        <v>15650</v>
      </c>
      <c r="VQS1" t="s">
        <v>15651</v>
      </c>
      <c r="VQT1" t="s">
        <v>15652</v>
      </c>
      <c r="VQU1" t="s">
        <v>15653</v>
      </c>
      <c r="VQV1" t="s">
        <v>15654</v>
      </c>
      <c r="VQW1" t="s">
        <v>15655</v>
      </c>
      <c r="VQX1" t="s">
        <v>15656</v>
      </c>
      <c r="VQY1" t="s">
        <v>15657</v>
      </c>
      <c r="VQZ1" t="s">
        <v>15658</v>
      </c>
      <c r="VRA1" t="s">
        <v>15659</v>
      </c>
      <c r="VRB1" t="s">
        <v>15660</v>
      </c>
      <c r="VRC1" t="s">
        <v>15661</v>
      </c>
      <c r="VRD1" t="s">
        <v>15662</v>
      </c>
      <c r="VRE1" t="s">
        <v>15663</v>
      </c>
      <c r="VRF1" t="s">
        <v>15664</v>
      </c>
      <c r="VRG1" t="s">
        <v>15665</v>
      </c>
      <c r="VRH1" t="s">
        <v>15666</v>
      </c>
      <c r="VRI1" t="s">
        <v>15667</v>
      </c>
      <c r="VRJ1" t="s">
        <v>15668</v>
      </c>
      <c r="VRK1" t="s">
        <v>15669</v>
      </c>
      <c r="VRL1" t="s">
        <v>15670</v>
      </c>
      <c r="VRM1" t="s">
        <v>15671</v>
      </c>
      <c r="VRN1" t="s">
        <v>15672</v>
      </c>
      <c r="VRO1" t="s">
        <v>15673</v>
      </c>
      <c r="VRP1" t="s">
        <v>15674</v>
      </c>
      <c r="VRQ1" t="s">
        <v>15675</v>
      </c>
      <c r="VRR1" t="s">
        <v>15676</v>
      </c>
      <c r="VRS1" t="s">
        <v>15677</v>
      </c>
      <c r="VRT1" t="s">
        <v>15678</v>
      </c>
      <c r="VRU1" t="s">
        <v>15679</v>
      </c>
      <c r="VRV1" t="s">
        <v>15680</v>
      </c>
      <c r="VRW1" t="s">
        <v>15681</v>
      </c>
      <c r="VRX1" t="s">
        <v>15682</v>
      </c>
      <c r="VRY1" t="s">
        <v>15683</v>
      </c>
      <c r="VRZ1" t="s">
        <v>15684</v>
      </c>
      <c r="VSA1" t="s">
        <v>15685</v>
      </c>
      <c r="VSB1" t="s">
        <v>15686</v>
      </c>
      <c r="VSC1" t="s">
        <v>15687</v>
      </c>
      <c r="VSD1" t="s">
        <v>15688</v>
      </c>
      <c r="VSE1" t="s">
        <v>15689</v>
      </c>
      <c r="VSF1" t="s">
        <v>15690</v>
      </c>
      <c r="VSG1" t="s">
        <v>15691</v>
      </c>
      <c r="VSH1" t="s">
        <v>15692</v>
      </c>
      <c r="VSI1" t="s">
        <v>15693</v>
      </c>
      <c r="VSJ1" t="s">
        <v>15694</v>
      </c>
      <c r="VSK1" t="s">
        <v>15695</v>
      </c>
      <c r="VSL1" t="s">
        <v>15696</v>
      </c>
      <c r="VSM1" t="s">
        <v>15697</v>
      </c>
      <c r="VSN1" t="s">
        <v>15698</v>
      </c>
      <c r="VSO1" t="s">
        <v>15699</v>
      </c>
      <c r="VSP1" t="s">
        <v>15700</v>
      </c>
      <c r="VSQ1" t="s">
        <v>15701</v>
      </c>
      <c r="VSR1" t="s">
        <v>15702</v>
      </c>
      <c r="VSS1" t="s">
        <v>15703</v>
      </c>
      <c r="VST1" t="s">
        <v>15704</v>
      </c>
      <c r="VSU1" t="s">
        <v>15705</v>
      </c>
      <c r="VSV1" t="s">
        <v>15706</v>
      </c>
      <c r="VSW1" t="s">
        <v>15707</v>
      </c>
      <c r="VSX1" t="s">
        <v>15708</v>
      </c>
      <c r="VSY1" t="s">
        <v>15709</v>
      </c>
      <c r="VSZ1" t="s">
        <v>15710</v>
      </c>
      <c r="VTA1" t="s">
        <v>15711</v>
      </c>
      <c r="VTB1" t="s">
        <v>15712</v>
      </c>
      <c r="VTC1" t="s">
        <v>15713</v>
      </c>
      <c r="VTD1" t="s">
        <v>15714</v>
      </c>
      <c r="VTE1" t="s">
        <v>15715</v>
      </c>
      <c r="VTF1" t="s">
        <v>15716</v>
      </c>
      <c r="VTG1" t="s">
        <v>15717</v>
      </c>
      <c r="VTH1" t="s">
        <v>15718</v>
      </c>
      <c r="VTI1" t="s">
        <v>15719</v>
      </c>
      <c r="VTJ1" t="s">
        <v>15720</v>
      </c>
      <c r="VTK1" t="s">
        <v>15721</v>
      </c>
      <c r="VTL1" t="s">
        <v>15722</v>
      </c>
      <c r="VTM1" t="s">
        <v>15723</v>
      </c>
      <c r="VTN1" t="s">
        <v>15724</v>
      </c>
      <c r="VTO1" t="s">
        <v>15725</v>
      </c>
      <c r="VTP1" t="s">
        <v>15726</v>
      </c>
      <c r="VTQ1" t="s">
        <v>15727</v>
      </c>
      <c r="VTR1" t="s">
        <v>15728</v>
      </c>
      <c r="VTS1" t="s">
        <v>15729</v>
      </c>
      <c r="VTT1" t="s">
        <v>15730</v>
      </c>
      <c r="VTU1" t="s">
        <v>15731</v>
      </c>
      <c r="VTV1" t="s">
        <v>15732</v>
      </c>
      <c r="VTW1" t="s">
        <v>15733</v>
      </c>
      <c r="VTX1" t="s">
        <v>15734</v>
      </c>
      <c r="VTY1" t="s">
        <v>15735</v>
      </c>
      <c r="VTZ1" t="s">
        <v>15736</v>
      </c>
      <c r="VUA1" t="s">
        <v>15737</v>
      </c>
      <c r="VUB1" t="s">
        <v>15738</v>
      </c>
      <c r="VUC1" t="s">
        <v>15739</v>
      </c>
      <c r="VUD1" t="s">
        <v>15740</v>
      </c>
      <c r="VUE1" t="s">
        <v>15741</v>
      </c>
      <c r="VUF1" t="s">
        <v>15742</v>
      </c>
      <c r="VUG1" t="s">
        <v>15743</v>
      </c>
      <c r="VUH1" t="s">
        <v>15744</v>
      </c>
      <c r="VUI1" t="s">
        <v>15745</v>
      </c>
      <c r="VUJ1" t="s">
        <v>15746</v>
      </c>
      <c r="VUK1" t="s">
        <v>15747</v>
      </c>
      <c r="VUL1" t="s">
        <v>15748</v>
      </c>
      <c r="VUM1" t="s">
        <v>15749</v>
      </c>
      <c r="VUN1" t="s">
        <v>15750</v>
      </c>
      <c r="VUO1" t="s">
        <v>15751</v>
      </c>
      <c r="VUP1" t="s">
        <v>15752</v>
      </c>
      <c r="VUQ1" t="s">
        <v>15753</v>
      </c>
      <c r="VUR1" t="s">
        <v>15754</v>
      </c>
      <c r="VUS1" t="s">
        <v>15755</v>
      </c>
      <c r="VUT1" t="s">
        <v>15756</v>
      </c>
      <c r="VUU1" t="s">
        <v>15757</v>
      </c>
      <c r="VUV1" t="s">
        <v>15758</v>
      </c>
      <c r="VUW1" t="s">
        <v>15759</v>
      </c>
      <c r="VUX1" t="s">
        <v>15760</v>
      </c>
      <c r="VUY1" t="s">
        <v>15761</v>
      </c>
      <c r="VUZ1" t="s">
        <v>15762</v>
      </c>
      <c r="VVA1" t="s">
        <v>15763</v>
      </c>
      <c r="VVB1" t="s">
        <v>15764</v>
      </c>
      <c r="VVC1" t="s">
        <v>15765</v>
      </c>
      <c r="VVD1" t="s">
        <v>15766</v>
      </c>
      <c r="VVE1" t="s">
        <v>15767</v>
      </c>
      <c r="VVF1" t="s">
        <v>15768</v>
      </c>
      <c r="VVG1" t="s">
        <v>15769</v>
      </c>
      <c r="VVH1" t="s">
        <v>15770</v>
      </c>
      <c r="VVI1" t="s">
        <v>15771</v>
      </c>
      <c r="VVJ1" t="s">
        <v>15772</v>
      </c>
      <c r="VVK1" t="s">
        <v>15773</v>
      </c>
      <c r="VVL1" t="s">
        <v>15774</v>
      </c>
      <c r="VVM1" t="s">
        <v>15775</v>
      </c>
      <c r="VVN1" t="s">
        <v>15776</v>
      </c>
      <c r="VVO1" t="s">
        <v>15777</v>
      </c>
      <c r="VVP1" t="s">
        <v>15778</v>
      </c>
      <c r="VVQ1" t="s">
        <v>15779</v>
      </c>
      <c r="VVR1" t="s">
        <v>15780</v>
      </c>
      <c r="VVS1" t="s">
        <v>15781</v>
      </c>
      <c r="VVT1" t="s">
        <v>15782</v>
      </c>
      <c r="VVU1" t="s">
        <v>15783</v>
      </c>
      <c r="VVV1" t="s">
        <v>15784</v>
      </c>
      <c r="VVW1" t="s">
        <v>15785</v>
      </c>
      <c r="VVX1" t="s">
        <v>15786</v>
      </c>
      <c r="VVY1" t="s">
        <v>15787</v>
      </c>
      <c r="VVZ1" t="s">
        <v>15788</v>
      </c>
      <c r="VWA1" t="s">
        <v>15789</v>
      </c>
      <c r="VWB1" t="s">
        <v>15790</v>
      </c>
      <c r="VWC1" t="s">
        <v>15791</v>
      </c>
      <c r="VWD1" t="s">
        <v>15792</v>
      </c>
      <c r="VWE1" t="s">
        <v>15793</v>
      </c>
      <c r="VWF1" t="s">
        <v>15794</v>
      </c>
      <c r="VWG1" t="s">
        <v>15795</v>
      </c>
      <c r="VWH1" t="s">
        <v>15796</v>
      </c>
      <c r="VWI1" t="s">
        <v>15797</v>
      </c>
      <c r="VWJ1" t="s">
        <v>15798</v>
      </c>
      <c r="VWK1" t="s">
        <v>15799</v>
      </c>
      <c r="VWL1" t="s">
        <v>15800</v>
      </c>
      <c r="VWM1" t="s">
        <v>15801</v>
      </c>
      <c r="VWN1" t="s">
        <v>15802</v>
      </c>
      <c r="VWO1" t="s">
        <v>15803</v>
      </c>
      <c r="VWP1" t="s">
        <v>15804</v>
      </c>
      <c r="VWQ1" t="s">
        <v>15805</v>
      </c>
      <c r="VWR1" t="s">
        <v>15806</v>
      </c>
      <c r="VWS1" t="s">
        <v>15807</v>
      </c>
      <c r="VWT1" t="s">
        <v>15808</v>
      </c>
      <c r="VWU1" t="s">
        <v>15809</v>
      </c>
      <c r="VWV1" t="s">
        <v>15810</v>
      </c>
      <c r="VWW1" t="s">
        <v>15811</v>
      </c>
      <c r="VWX1" t="s">
        <v>15812</v>
      </c>
      <c r="VWY1" t="s">
        <v>15813</v>
      </c>
      <c r="VWZ1" t="s">
        <v>15814</v>
      </c>
      <c r="VXA1" t="s">
        <v>15815</v>
      </c>
      <c r="VXB1" t="s">
        <v>15816</v>
      </c>
      <c r="VXC1" t="s">
        <v>15817</v>
      </c>
      <c r="VXD1" t="s">
        <v>15818</v>
      </c>
      <c r="VXE1" t="s">
        <v>15819</v>
      </c>
      <c r="VXF1" t="s">
        <v>15820</v>
      </c>
      <c r="VXG1" t="s">
        <v>15821</v>
      </c>
      <c r="VXH1" t="s">
        <v>15822</v>
      </c>
      <c r="VXI1" t="s">
        <v>15823</v>
      </c>
      <c r="VXJ1" t="s">
        <v>15824</v>
      </c>
      <c r="VXK1" t="s">
        <v>15825</v>
      </c>
      <c r="VXL1" t="s">
        <v>15826</v>
      </c>
      <c r="VXM1" t="s">
        <v>15827</v>
      </c>
      <c r="VXN1" t="s">
        <v>15828</v>
      </c>
      <c r="VXO1" t="s">
        <v>15829</v>
      </c>
      <c r="VXP1" t="s">
        <v>15830</v>
      </c>
      <c r="VXQ1" t="s">
        <v>15831</v>
      </c>
      <c r="VXR1" t="s">
        <v>15832</v>
      </c>
      <c r="VXS1" t="s">
        <v>15833</v>
      </c>
      <c r="VXT1" t="s">
        <v>15834</v>
      </c>
      <c r="VXU1" t="s">
        <v>15835</v>
      </c>
      <c r="VXV1" t="s">
        <v>15836</v>
      </c>
      <c r="VXW1" t="s">
        <v>15837</v>
      </c>
      <c r="VXX1" t="s">
        <v>15838</v>
      </c>
      <c r="VXY1" t="s">
        <v>15839</v>
      </c>
      <c r="VXZ1" t="s">
        <v>15840</v>
      </c>
      <c r="VYA1" t="s">
        <v>15841</v>
      </c>
      <c r="VYB1" t="s">
        <v>15842</v>
      </c>
      <c r="VYC1" t="s">
        <v>15843</v>
      </c>
      <c r="VYD1" t="s">
        <v>15844</v>
      </c>
      <c r="VYE1" t="s">
        <v>15845</v>
      </c>
      <c r="VYF1" t="s">
        <v>15846</v>
      </c>
      <c r="VYG1" t="s">
        <v>15847</v>
      </c>
      <c r="VYH1" t="s">
        <v>15848</v>
      </c>
      <c r="VYI1" t="s">
        <v>15849</v>
      </c>
      <c r="VYJ1" t="s">
        <v>15850</v>
      </c>
      <c r="VYK1" t="s">
        <v>15851</v>
      </c>
      <c r="VYL1" t="s">
        <v>15852</v>
      </c>
      <c r="VYM1" t="s">
        <v>15853</v>
      </c>
      <c r="VYN1" t="s">
        <v>15854</v>
      </c>
      <c r="VYO1" t="s">
        <v>15855</v>
      </c>
      <c r="VYP1" t="s">
        <v>15856</v>
      </c>
      <c r="VYQ1" t="s">
        <v>15857</v>
      </c>
      <c r="VYR1" t="s">
        <v>15858</v>
      </c>
      <c r="VYS1" t="s">
        <v>15859</v>
      </c>
      <c r="VYT1" t="s">
        <v>15860</v>
      </c>
      <c r="VYU1" t="s">
        <v>15861</v>
      </c>
      <c r="VYV1" t="s">
        <v>15862</v>
      </c>
      <c r="VYW1" t="s">
        <v>15863</v>
      </c>
      <c r="VYX1" t="s">
        <v>15864</v>
      </c>
      <c r="VYY1" t="s">
        <v>15865</v>
      </c>
      <c r="VYZ1" t="s">
        <v>15866</v>
      </c>
      <c r="VZA1" t="s">
        <v>15867</v>
      </c>
      <c r="VZB1" t="s">
        <v>15868</v>
      </c>
      <c r="VZC1" t="s">
        <v>15869</v>
      </c>
      <c r="VZD1" t="s">
        <v>15870</v>
      </c>
      <c r="VZE1" t="s">
        <v>15871</v>
      </c>
      <c r="VZF1" t="s">
        <v>15872</v>
      </c>
      <c r="VZG1" t="s">
        <v>15873</v>
      </c>
      <c r="VZH1" t="s">
        <v>15874</v>
      </c>
      <c r="VZI1" t="s">
        <v>15875</v>
      </c>
      <c r="VZJ1" t="s">
        <v>15876</v>
      </c>
      <c r="VZK1" t="s">
        <v>15877</v>
      </c>
      <c r="VZL1" t="s">
        <v>15878</v>
      </c>
      <c r="VZM1" t="s">
        <v>15879</v>
      </c>
      <c r="VZN1" t="s">
        <v>15880</v>
      </c>
      <c r="VZO1" t="s">
        <v>15881</v>
      </c>
      <c r="VZP1" t="s">
        <v>15882</v>
      </c>
      <c r="VZQ1" t="s">
        <v>15883</v>
      </c>
      <c r="VZR1" t="s">
        <v>15884</v>
      </c>
      <c r="VZS1" t="s">
        <v>15885</v>
      </c>
      <c r="VZT1" t="s">
        <v>15886</v>
      </c>
      <c r="VZU1" t="s">
        <v>15887</v>
      </c>
      <c r="VZV1" t="s">
        <v>15888</v>
      </c>
      <c r="VZW1" t="s">
        <v>15889</v>
      </c>
      <c r="VZX1" t="s">
        <v>15890</v>
      </c>
      <c r="VZY1" t="s">
        <v>15891</v>
      </c>
      <c r="VZZ1" t="s">
        <v>15892</v>
      </c>
      <c r="WAA1" t="s">
        <v>15893</v>
      </c>
      <c r="WAB1" t="s">
        <v>15894</v>
      </c>
      <c r="WAC1" t="s">
        <v>15895</v>
      </c>
      <c r="WAD1" t="s">
        <v>15896</v>
      </c>
      <c r="WAE1" t="s">
        <v>15897</v>
      </c>
      <c r="WAF1" t="s">
        <v>15898</v>
      </c>
      <c r="WAG1" t="s">
        <v>15899</v>
      </c>
      <c r="WAH1" t="s">
        <v>15900</v>
      </c>
      <c r="WAI1" t="s">
        <v>15901</v>
      </c>
      <c r="WAJ1" t="s">
        <v>15902</v>
      </c>
      <c r="WAK1" t="s">
        <v>15903</v>
      </c>
      <c r="WAL1" t="s">
        <v>15904</v>
      </c>
      <c r="WAM1" t="s">
        <v>15905</v>
      </c>
      <c r="WAN1" t="s">
        <v>15906</v>
      </c>
      <c r="WAO1" t="s">
        <v>15907</v>
      </c>
      <c r="WAP1" t="s">
        <v>15908</v>
      </c>
      <c r="WAQ1" t="s">
        <v>15909</v>
      </c>
      <c r="WAR1" t="s">
        <v>15910</v>
      </c>
      <c r="WAS1" t="s">
        <v>15911</v>
      </c>
      <c r="WAT1" t="s">
        <v>15912</v>
      </c>
      <c r="WAU1" t="s">
        <v>15913</v>
      </c>
      <c r="WAV1" t="s">
        <v>15914</v>
      </c>
      <c r="WAW1" t="s">
        <v>15915</v>
      </c>
      <c r="WAX1" t="s">
        <v>15916</v>
      </c>
      <c r="WAY1" t="s">
        <v>15917</v>
      </c>
      <c r="WAZ1" t="s">
        <v>15918</v>
      </c>
      <c r="WBA1" t="s">
        <v>15919</v>
      </c>
      <c r="WBB1" t="s">
        <v>15920</v>
      </c>
      <c r="WBC1" t="s">
        <v>15921</v>
      </c>
      <c r="WBD1" t="s">
        <v>15922</v>
      </c>
      <c r="WBE1" t="s">
        <v>15923</v>
      </c>
      <c r="WBF1" t="s">
        <v>15924</v>
      </c>
      <c r="WBG1" t="s">
        <v>15925</v>
      </c>
      <c r="WBH1" t="s">
        <v>15926</v>
      </c>
      <c r="WBI1" t="s">
        <v>15927</v>
      </c>
      <c r="WBJ1" t="s">
        <v>15928</v>
      </c>
      <c r="WBK1" t="s">
        <v>15929</v>
      </c>
      <c r="WBL1" t="s">
        <v>15930</v>
      </c>
      <c r="WBM1" t="s">
        <v>15931</v>
      </c>
      <c r="WBN1" t="s">
        <v>15932</v>
      </c>
      <c r="WBO1" t="s">
        <v>15933</v>
      </c>
      <c r="WBP1" t="s">
        <v>15934</v>
      </c>
      <c r="WBQ1" t="s">
        <v>15935</v>
      </c>
      <c r="WBR1" t="s">
        <v>15936</v>
      </c>
      <c r="WBS1" t="s">
        <v>15937</v>
      </c>
      <c r="WBT1" t="s">
        <v>15938</v>
      </c>
      <c r="WBU1" t="s">
        <v>15939</v>
      </c>
      <c r="WBV1" t="s">
        <v>15940</v>
      </c>
      <c r="WBW1" t="s">
        <v>15941</v>
      </c>
      <c r="WBX1" t="s">
        <v>15942</v>
      </c>
      <c r="WBY1" t="s">
        <v>15943</v>
      </c>
      <c r="WBZ1" t="s">
        <v>15944</v>
      </c>
      <c r="WCA1" t="s">
        <v>15945</v>
      </c>
      <c r="WCB1" t="s">
        <v>15946</v>
      </c>
      <c r="WCC1" t="s">
        <v>15947</v>
      </c>
      <c r="WCD1" t="s">
        <v>15948</v>
      </c>
      <c r="WCE1" t="s">
        <v>15949</v>
      </c>
      <c r="WCF1" t="s">
        <v>15950</v>
      </c>
      <c r="WCG1" t="s">
        <v>15951</v>
      </c>
      <c r="WCH1" t="s">
        <v>15952</v>
      </c>
      <c r="WCI1" t="s">
        <v>15953</v>
      </c>
      <c r="WCJ1" t="s">
        <v>15954</v>
      </c>
      <c r="WCK1" t="s">
        <v>15955</v>
      </c>
      <c r="WCL1" t="s">
        <v>15956</v>
      </c>
      <c r="WCM1" t="s">
        <v>15957</v>
      </c>
      <c r="WCN1" t="s">
        <v>15958</v>
      </c>
      <c r="WCO1" t="s">
        <v>15959</v>
      </c>
      <c r="WCP1" t="s">
        <v>15960</v>
      </c>
      <c r="WCQ1" t="s">
        <v>15961</v>
      </c>
      <c r="WCR1" t="s">
        <v>15962</v>
      </c>
      <c r="WCS1" t="s">
        <v>15963</v>
      </c>
      <c r="WCT1" t="s">
        <v>15964</v>
      </c>
      <c r="WCU1" t="s">
        <v>15965</v>
      </c>
      <c r="WCV1" t="s">
        <v>15966</v>
      </c>
      <c r="WCW1" t="s">
        <v>15967</v>
      </c>
      <c r="WCX1" t="s">
        <v>15968</v>
      </c>
      <c r="WCY1" t="s">
        <v>15969</v>
      </c>
      <c r="WCZ1" t="s">
        <v>15970</v>
      </c>
      <c r="WDA1" t="s">
        <v>15971</v>
      </c>
      <c r="WDB1" t="s">
        <v>15972</v>
      </c>
      <c r="WDC1" t="s">
        <v>15973</v>
      </c>
      <c r="WDD1" t="s">
        <v>15974</v>
      </c>
      <c r="WDE1" t="s">
        <v>15975</v>
      </c>
      <c r="WDF1" t="s">
        <v>15976</v>
      </c>
      <c r="WDG1" t="s">
        <v>15977</v>
      </c>
      <c r="WDH1" t="s">
        <v>15978</v>
      </c>
      <c r="WDI1" t="s">
        <v>15979</v>
      </c>
      <c r="WDJ1" t="s">
        <v>15980</v>
      </c>
      <c r="WDK1" t="s">
        <v>15981</v>
      </c>
      <c r="WDL1" t="s">
        <v>15982</v>
      </c>
      <c r="WDM1" t="s">
        <v>15983</v>
      </c>
      <c r="WDN1" t="s">
        <v>15984</v>
      </c>
      <c r="WDO1" t="s">
        <v>15985</v>
      </c>
      <c r="WDP1" t="s">
        <v>15986</v>
      </c>
      <c r="WDQ1" t="s">
        <v>15987</v>
      </c>
      <c r="WDR1" t="s">
        <v>15988</v>
      </c>
      <c r="WDS1" t="s">
        <v>15989</v>
      </c>
      <c r="WDT1" t="s">
        <v>15990</v>
      </c>
      <c r="WDU1" t="s">
        <v>15991</v>
      </c>
      <c r="WDV1" t="s">
        <v>15992</v>
      </c>
      <c r="WDW1" t="s">
        <v>15993</v>
      </c>
      <c r="WDX1" t="s">
        <v>15994</v>
      </c>
      <c r="WDY1" t="s">
        <v>15995</v>
      </c>
      <c r="WDZ1" t="s">
        <v>15996</v>
      </c>
      <c r="WEA1" t="s">
        <v>15997</v>
      </c>
      <c r="WEB1" t="s">
        <v>15998</v>
      </c>
      <c r="WEC1" t="s">
        <v>15999</v>
      </c>
      <c r="WED1" t="s">
        <v>16000</v>
      </c>
      <c r="WEE1" t="s">
        <v>16001</v>
      </c>
      <c r="WEF1" t="s">
        <v>16002</v>
      </c>
      <c r="WEG1" t="s">
        <v>16003</v>
      </c>
      <c r="WEH1" t="s">
        <v>16004</v>
      </c>
      <c r="WEI1" t="s">
        <v>16005</v>
      </c>
      <c r="WEJ1" t="s">
        <v>16006</v>
      </c>
      <c r="WEK1" t="s">
        <v>16007</v>
      </c>
      <c r="WEL1" t="s">
        <v>16008</v>
      </c>
      <c r="WEM1" t="s">
        <v>16009</v>
      </c>
      <c r="WEN1" t="s">
        <v>16010</v>
      </c>
      <c r="WEO1" t="s">
        <v>16011</v>
      </c>
      <c r="WEP1" t="s">
        <v>16012</v>
      </c>
      <c r="WEQ1" t="s">
        <v>16013</v>
      </c>
      <c r="WER1" t="s">
        <v>16014</v>
      </c>
      <c r="WES1" t="s">
        <v>16015</v>
      </c>
      <c r="WET1" t="s">
        <v>16016</v>
      </c>
      <c r="WEU1" t="s">
        <v>16017</v>
      </c>
      <c r="WEV1" t="s">
        <v>16018</v>
      </c>
      <c r="WEW1" t="s">
        <v>16019</v>
      </c>
      <c r="WEX1" t="s">
        <v>16020</v>
      </c>
      <c r="WEY1" t="s">
        <v>16021</v>
      </c>
      <c r="WEZ1" t="s">
        <v>16022</v>
      </c>
      <c r="WFA1" t="s">
        <v>16023</v>
      </c>
      <c r="WFB1" t="s">
        <v>16024</v>
      </c>
      <c r="WFC1" t="s">
        <v>16025</v>
      </c>
      <c r="WFD1" t="s">
        <v>16026</v>
      </c>
      <c r="WFE1" t="s">
        <v>16027</v>
      </c>
      <c r="WFF1" t="s">
        <v>16028</v>
      </c>
      <c r="WFG1" t="s">
        <v>16029</v>
      </c>
      <c r="WFH1" t="s">
        <v>16030</v>
      </c>
      <c r="WFI1" t="s">
        <v>16031</v>
      </c>
      <c r="WFJ1" t="s">
        <v>16032</v>
      </c>
      <c r="WFK1" t="s">
        <v>16033</v>
      </c>
      <c r="WFL1" t="s">
        <v>16034</v>
      </c>
      <c r="WFM1" t="s">
        <v>16035</v>
      </c>
      <c r="WFN1" t="s">
        <v>16036</v>
      </c>
      <c r="WFO1" t="s">
        <v>16037</v>
      </c>
      <c r="WFP1" t="s">
        <v>16038</v>
      </c>
      <c r="WFQ1" t="s">
        <v>16039</v>
      </c>
      <c r="WFR1" t="s">
        <v>16040</v>
      </c>
      <c r="WFS1" t="s">
        <v>16041</v>
      </c>
      <c r="WFT1" t="s">
        <v>16042</v>
      </c>
      <c r="WFU1" t="s">
        <v>16043</v>
      </c>
      <c r="WFV1" t="s">
        <v>16044</v>
      </c>
      <c r="WFW1" t="s">
        <v>16045</v>
      </c>
      <c r="WFX1" t="s">
        <v>16046</v>
      </c>
      <c r="WFY1" t="s">
        <v>16047</v>
      </c>
      <c r="WFZ1" t="s">
        <v>16048</v>
      </c>
      <c r="WGA1" t="s">
        <v>16049</v>
      </c>
      <c r="WGB1" t="s">
        <v>16050</v>
      </c>
      <c r="WGC1" t="s">
        <v>16051</v>
      </c>
      <c r="WGD1" t="s">
        <v>16052</v>
      </c>
      <c r="WGE1" t="s">
        <v>16053</v>
      </c>
      <c r="WGF1" t="s">
        <v>16054</v>
      </c>
      <c r="WGG1" t="s">
        <v>16055</v>
      </c>
      <c r="WGH1" t="s">
        <v>16056</v>
      </c>
      <c r="WGI1" t="s">
        <v>16057</v>
      </c>
      <c r="WGJ1" t="s">
        <v>16058</v>
      </c>
      <c r="WGK1" t="s">
        <v>16059</v>
      </c>
      <c r="WGL1" t="s">
        <v>16060</v>
      </c>
      <c r="WGM1" t="s">
        <v>16061</v>
      </c>
      <c r="WGN1" t="s">
        <v>16062</v>
      </c>
      <c r="WGO1" t="s">
        <v>16063</v>
      </c>
      <c r="WGP1" t="s">
        <v>16064</v>
      </c>
      <c r="WGQ1" t="s">
        <v>16065</v>
      </c>
      <c r="WGR1" t="s">
        <v>16066</v>
      </c>
      <c r="WGS1" t="s">
        <v>16067</v>
      </c>
      <c r="WGT1" t="s">
        <v>16068</v>
      </c>
      <c r="WGU1" t="s">
        <v>16069</v>
      </c>
      <c r="WGV1" t="s">
        <v>16070</v>
      </c>
      <c r="WGW1" t="s">
        <v>16071</v>
      </c>
      <c r="WGX1" t="s">
        <v>16072</v>
      </c>
      <c r="WGY1" t="s">
        <v>16073</v>
      </c>
      <c r="WGZ1" t="s">
        <v>16074</v>
      </c>
      <c r="WHA1" t="s">
        <v>16075</v>
      </c>
      <c r="WHB1" t="s">
        <v>16076</v>
      </c>
      <c r="WHC1" t="s">
        <v>16077</v>
      </c>
      <c r="WHD1" t="s">
        <v>16078</v>
      </c>
      <c r="WHE1" t="s">
        <v>16079</v>
      </c>
      <c r="WHF1" t="s">
        <v>16080</v>
      </c>
      <c r="WHG1" t="s">
        <v>16081</v>
      </c>
      <c r="WHH1" t="s">
        <v>16082</v>
      </c>
      <c r="WHI1" t="s">
        <v>16083</v>
      </c>
      <c r="WHJ1" t="s">
        <v>16084</v>
      </c>
      <c r="WHK1" t="s">
        <v>16085</v>
      </c>
      <c r="WHL1" t="s">
        <v>16086</v>
      </c>
      <c r="WHM1" t="s">
        <v>16087</v>
      </c>
      <c r="WHN1" t="s">
        <v>16088</v>
      </c>
      <c r="WHO1" t="s">
        <v>16089</v>
      </c>
      <c r="WHP1" t="s">
        <v>16090</v>
      </c>
      <c r="WHQ1" t="s">
        <v>16091</v>
      </c>
      <c r="WHR1" t="s">
        <v>16092</v>
      </c>
      <c r="WHS1" t="s">
        <v>16093</v>
      </c>
      <c r="WHT1" t="s">
        <v>16094</v>
      </c>
      <c r="WHU1" t="s">
        <v>16095</v>
      </c>
      <c r="WHV1" t="s">
        <v>16096</v>
      </c>
      <c r="WHW1" t="s">
        <v>16097</v>
      </c>
      <c r="WHX1" t="s">
        <v>16098</v>
      </c>
      <c r="WHY1" t="s">
        <v>16099</v>
      </c>
      <c r="WHZ1" t="s">
        <v>16100</v>
      </c>
      <c r="WIA1" t="s">
        <v>16101</v>
      </c>
      <c r="WIB1" t="s">
        <v>16102</v>
      </c>
      <c r="WIC1" t="s">
        <v>16103</v>
      </c>
      <c r="WID1" t="s">
        <v>16104</v>
      </c>
      <c r="WIE1" t="s">
        <v>16105</v>
      </c>
      <c r="WIF1" t="s">
        <v>16106</v>
      </c>
      <c r="WIG1" t="s">
        <v>16107</v>
      </c>
      <c r="WIH1" t="s">
        <v>16108</v>
      </c>
      <c r="WII1" t="s">
        <v>16109</v>
      </c>
      <c r="WIJ1" t="s">
        <v>16110</v>
      </c>
      <c r="WIK1" t="s">
        <v>16111</v>
      </c>
      <c r="WIL1" t="s">
        <v>16112</v>
      </c>
      <c r="WIM1" t="s">
        <v>16113</v>
      </c>
      <c r="WIN1" t="s">
        <v>16114</v>
      </c>
      <c r="WIO1" t="s">
        <v>16115</v>
      </c>
      <c r="WIP1" t="s">
        <v>16116</v>
      </c>
      <c r="WIQ1" t="s">
        <v>16117</v>
      </c>
      <c r="WIR1" t="s">
        <v>16118</v>
      </c>
      <c r="WIS1" t="s">
        <v>16119</v>
      </c>
      <c r="WIT1" t="s">
        <v>16120</v>
      </c>
      <c r="WIU1" t="s">
        <v>16121</v>
      </c>
      <c r="WIV1" t="s">
        <v>16122</v>
      </c>
      <c r="WIW1" t="s">
        <v>16123</v>
      </c>
      <c r="WIX1" t="s">
        <v>16124</v>
      </c>
      <c r="WIY1" t="s">
        <v>16125</v>
      </c>
      <c r="WIZ1" t="s">
        <v>16126</v>
      </c>
      <c r="WJA1" t="s">
        <v>16127</v>
      </c>
      <c r="WJB1" t="s">
        <v>16128</v>
      </c>
      <c r="WJC1" t="s">
        <v>16129</v>
      </c>
      <c r="WJD1" t="s">
        <v>16130</v>
      </c>
      <c r="WJE1" t="s">
        <v>16131</v>
      </c>
      <c r="WJF1" t="s">
        <v>16132</v>
      </c>
      <c r="WJG1" t="s">
        <v>16133</v>
      </c>
      <c r="WJH1" t="s">
        <v>16134</v>
      </c>
      <c r="WJI1" t="s">
        <v>16135</v>
      </c>
      <c r="WJJ1" t="s">
        <v>16136</v>
      </c>
      <c r="WJK1" t="s">
        <v>16137</v>
      </c>
      <c r="WJL1" t="s">
        <v>16138</v>
      </c>
      <c r="WJM1" t="s">
        <v>16139</v>
      </c>
      <c r="WJN1" t="s">
        <v>16140</v>
      </c>
      <c r="WJO1" t="s">
        <v>16141</v>
      </c>
      <c r="WJP1" t="s">
        <v>16142</v>
      </c>
      <c r="WJQ1" t="s">
        <v>16143</v>
      </c>
      <c r="WJR1" t="s">
        <v>16144</v>
      </c>
      <c r="WJS1" t="s">
        <v>16145</v>
      </c>
      <c r="WJT1" t="s">
        <v>16146</v>
      </c>
      <c r="WJU1" t="s">
        <v>16147</v>
      </c>
      <c r="WJV1" t="s">
        <v>16148</v>
      </c>
      <c r="WJW1" t="s">
        <v>16149</v>
      </c>
      <c r="WJX1" t="s">
        <v>16150</v>
      </c>
      <c r="WJY1" t="s">
        <v>16151</v>
      </c>
      <c r="WJZ1" t="s">
        <v>16152</v>
      </c>
      <c r="WKA1" t="s">
        <v>16153</v>
      </c>
      <c r="WKB1" t="s">
        <v>16154</v>
      </c>
      <c r="WKC1" t="s">
        <v>16155</v>
      </c>
      <c r="WKD1" t="s">
        <v>16156</v>
      </c>
      <c r="WKE1" t="s">
        <v>16157</v>
      </c>
      <c r="WKF1" t="s">
        <v>16158</v>
      </c>
      <c r="WKG1" t="s">
        <v>16159</v>
      </c>
      <c r="WKH1" t="s">
        <v>16160</v>
      </c>
      <c r="WKI1" t="s">
        <v>16161</v>
      </c>
      <c r="WKJ1" t="s">
        <v>16162</v>
      </c>
      <c r="WKK1" t="s">
        <v>16163</v>
      </c>
      <c r="WKL1" t="s">
        <v>16164</v>
      </c>
      <c r="WKM1" t="s">
        <v>16165</v>
      </c>
      <c r="WKN1" t="s">
        <v>16166</v>
      </c>
      <c r="WKO1" t="s">
        <v>16167</v>
      </c>
      <c r="WKP1" t="s">
        <v>16168</v>
      </c>
      <c r="WKQ1" t="s">
        <v>16169</v>
      </c>
      <c r="WKR1" t="s">
        <v>16170</v>
      </c>
      <c r="WKS1" t="s">
        <v>16171</v>
      </c>
      <c r="WKT1" t="s">
        <v>16172</v>
      </c>
      <c r="WKU1" t="s">
        <v>16173</v>
      </c>
      <c r="WKV1" t="s">
        <v>16174</v>
      </c>
      <c r="WKW1" t="s">
        <v>16175</v>
      </c>
      <c r="WKX1" t="s">
        <v>16176</v>
      </c>
      <c r="WKY1" t="s">
        <v>16177</v>
      </c>
      <c r="WKZ1" t="s">
        <v>16178</v>
      </c>
      <c r="WLA1" t="s">
        <v>16179</v>
      </c>
      <c r="WLB1" t="s">
        <v>16180</v>
      </c>
      <c r="WLC1" t="s">
        <v>16181</v>
      </c>
      <c r="WLD1" t="s">
        <v>16182</v>
      </c>
      <c r="WLE1" t="s">
        <v>16183</v>
      </c>
      <c r="WLF1" t="s">
        <v>16184</v>
      </c>
      <c r="WLG1" t="s">
        <v>16185</v>
      </c>
      <c r="WLH1" t="s">
        <v>16186</v>
      </c>
      <c r="WLI1" t="s">
        <v>16187</v>
      </c>
      <c r="WLJ1" t="s">
        <v>16188</v>
      </c>
      <c r="WLK1" t="s">
        <v>16189</v>
      </c>
      <c r="WLL1" t="s">
        <v>16190</v>
      </c>
      <c r="WLM1" t="s">
        <v>16191</v>
      </c>
      <c r="WLN1" t="s">
        <v>16192</v>
      </c>
      <c r="WLO1" t="s">
        <v>16193</v>
      </c>
      <c r="WLP1" t="s">
        <v>16194</v>
      </c>
      <c r="WLQ1" t="s">
        <v>16195</v>
      </c>
      <c r="WLR1" t="s">
        <v>16196</v>
      </c>
      <c r="WLS1" t="s">
        <v>16197</v>
      </c>
      <c r="WLT1" t="s">
        <v>16198</v>
      </c>
      <c r="WLU1" t="s">
        <v>16199</v>
      </c>
      <c r="WLV1" t="s">
        <v>16200</v>
      </c>
      <c r="WLW1" t="s">
        <v>16201</v>
      </c>
      <c r="WLX1" t="s">
        <v>16202</v>
      </c>
      <c r="WLY1" t="s">
        <v>16203</v>
      </c>
      <c r="WLZ1" t="s">
        <v>16204</v>
      </c>
      <c r="WMA1" t="s">
        <v>16205</v>
      </c>
      <c r="WMB1" t="s">
        <v>16206</v>
      </c>
      <c r="WMC1" t="s">
        <v>16207</v>
      </c>
      <c r="WMD1" t="s">
        <v>16208</v>
      </c>
      <c r="WME1" t="s">
        <v>16209</v>
      </c>
      <c r="WMF1" t="s">
        <v>16210</v>
      </c>
      <c r="WMG1" t="s">
        <v>16211</v>
      </c>
      <c r="WMH1" t="s">
        <v>16212</v>
      </c>
      <c r="WMI1" t="s">
        <v>16213</v>
      </c>
      <c r="WMJ1" t="s">
        <v>16214</v>
      </c>
      <c r="WMK1" t="s">
        <v>16215</v>
      </c>
      <c r="WML1" t="s">
        <v>16216</v>
      </c>
      <c r="WMM1" t="s">
        <v>16217</v>
      </c>
      <c r="WMN1" t="s">
        <v>16218</v>
      </c>
      <c r="WMO1" t="s">
        <v>16219</v>
      </c>
      <c r="WMP1" t="s">
        <v>16220</v>
      </c>
      <c r="WMQ1" t="s">
        <v>16221</v>
      </c>
      <c r="WMR1" t="s">
        <v>16222</v>
      </c>
      <c r="WMS1" t="s">
        <v>16223</v>
      </c>
      <c r="WMT1" t="s">
        <v>16224</v>
      </c>
      <c r="WMU1" t="s">
        <v>16225</v>
      </c>
      <c r="WMV1" t="s">
        <v>16226</v>
      </c>
      <c r="WMW1" t="s">
        <v>16227</v>
      </c>
      <c r="WMX1" t="s">
        <v>16228</v>
      </c>
      <c r="WMY1" t="s">
        <v>16229</v>
      </c>
      <c r="WMZ1" t="s">
        <v>16230</v>
      </c>
      <c r="WNA1" t="s">
        <v>16231</v>
      </c>
      <c r="WNB1" t="s">
        <v>16232</v>
      </c>
      <c r="WNC1" t="s">
        <v>16233</v>
      </c>
      <c r="WND1" t="s">
        <v>16234</v>
      </c>
      <c r="WNE1" t="s">
        <v>16235</v>
      </c>
      <c r="WNF1" t="s">
        <v>16236</v>
      </c>
      <c r="WNG1" t="s">
        <v>16237</v>
      </c>
      <c r="WNH1" t="s">
        <v>16238</v>
      </c>
      <c r="WNI1" t="s">
        <v>16239</v>
      </c>
      <c r="WNJ1" t="s">
        <v>16240</v>
      </c>
      <c r="WNK1" t="s">
        <v>16241</v>
      </c>
      <c r="WNL1" t="s">
        <v>16242</v>
      </c>
      <c r="WNM1" t="s">
        <v>16243</v>
      </c>
      <c r="WNN1" t="s">
        <v>16244</v>
      </c>
      <c r="WNO1" t="s">
        <v>16245</v>
      </c>
      <c r="WNP1" t="s">
        <v>16246</v>
      </c>
      <c r="WNQ1" t="s">
        <v>16247</v>
      </c>
      <c r="WNR1" t="s">
        <v>16248</v>
      </c>
      <c r="WNS1" t="s">
        <v>16249</v>
      </c>
      <c r="WNT1" t="s">
        <v>16250</v>
      </c>
      <c r="WNU1" t="s">
        <v>16251</v>
      </c>
      <c r="WNV1" t="s">
        <v>16252</v>
      </c>
      <c r="WNW1" t="s">
        <v>16253</v>
      </c>
      <c r="WNX1" t="s">
        <v>16254</v>
      </c>
      <c r="WNY1" t="s">
        <v>16255</v>
      </c>
      <c r="WNZ1" t="s">
        <v>16256</v>
      </c>
      <c r="WOA1" t="s">
        <v>16257</v>
      </c>
      <c r="WOB1" t="s">
        <v>16258</v>
      </c>
      <c r="WOC1" t="s">
        <v>16259</v>
      </c>
      <c r="WOD1" t="s">
        <v>16260</v>
      </c>
      <c r="WOE1" t="s">
        <v>16261</v>
      </c>
      <c r="WOF1" t="s">
        <v>16262</v>
      </c>
      <c r="WOG1" t="s">
        <v>16263</v>
      </c>
      <c r="WOH1" t="s">
        <v>16264</v>
      </c>
      <c r="WOI1" t="s">
        <v>16265</v>
      </c>
      <c r="WOJ1" t="s">
        <v>16266</v>
      </c>
      <c r="WOK1" t="s">
        <v>16267</v>
      </c>
      <c r="WOL1" t="s">
        <v>16268</v>
      </c>
      <c r="WOM1" t="s">
        <v>16269</v>
      </c>
      <c r="WON1" t="s">
        <v>16270</v>
      </c>
      <c r="WOO1" t="s">
        <v>16271</v>
      </c>
      <c r="WOP1" t="s">
        <v>16272</v>
      </c>
      <c r="WOQ1" t="s">
        <v>16273</v>
      </c>
      <c r="WOR1" t="s">
        <v>16274</v>
      </c>
      <c r="WOS1" t="s">
        <v>16275</v>
      </c>
      <c r="WOT1" t="s">
        <v>16276</v>
      </c>
      <c r="WOU1" t="s">
        <v>16277</v>
      </c>
      <c r="WOV1" t="s">
        <v>16278</v>
      </c>
      <c r="WOW1" t="s">
        <v>16279</v>
      </c>
      <c r="WOX1" t="s">
        <v>16280</v>
      </c>
      <c r="WOY1" t="s">
        <v>16281</v>
      </c>
      <c r="WOZ1" t="s">
        <v>16282</v>
      </c>
      <c r="WPA1" t="s">
        <v>16283</v>
      </c>
      <c r="WPB1" t="s">
        <v>16284</v>
      </c>
      <c r="WPC1" t="s">
        <v>16285</v>
      </c>
      <c r="WPD1" t="s">
        <v>16286</v>
      </c>
      <c r="WPE1" t="s">
        <v>16287</v>
      </c>
      <c r="WPF1" t="s">
        <v>16288</v>
      </c>
      <c r="WPG1" t="s">
        <v>16289</v>
      </c>
      <c r="WPH1" t="s">
        <v>16290</v>
      </c>
      <c r="WPI1" t="s">
        <v>16291</v>
      </c>
      <c r="WPJ1" t="s">
        <v>16292</v>
      </c>
      <c r="WPK1" t="s">
        <v>16293</v>
      </c>
      <c r="WPL1" t="s">
        <v>16294</v>
      </c>
      <c r="WPM1" t="s">
        <v>16295</v>
      </c>
      <c r="WPN1" t="s">
        <v>16296</v>
      </c>
      <c r="WPO1" t="s">
        <v>16297</v>
      </c>
      <c r="WPP1" t="s">
        <v>16298</v>
      </c>
      <c r="WPQ1" t="s">
        <v>16299</v>
      </c>
      <c r="WPR1" t="s">
        <v>16300</v>
      </c>
      <c r="WPS1" t="s">
        <v>16301</v>
      </c>
      <c r="WPT1" t="s">
        <v>16302</v>
      </c>
      <c r="WPU1" t="s">
        <v>16303</v>
      </c>
      <c r="WPV1" t="s">
        <v>16304</v>
      </c>
      <c r="WPW1" t="s">
        <v>16305</v>
      </c>
      <c r="WPX1" t="s">
        <v>16306</v>
      </c>
      <c r="WPY1" t="s">
        <v>16307</v>
      </c>
      <c r="WPZ1" t="s">
        <v>16308</v>
      </c>
      <c r="WQA1" t="s">
        <v>16309</v>
      </c>
      <c r="WQB1" t="s">
        <v>16310</v>
      </c>
      <c r="WQC1" t="s">
        <v>16311</v>
      </c>
      <c r="WQD1" t="s">
        <v>16312</v>
      </c>
      <c r="WQE1" t="s">
        <v>16313</v>
      </c>
      <c r="WQF1" t="s">
        <v>16314</v>
      </c>
      <c r="WQG1" t="s">
        <v>16315</v>
      </c>
      <c r="WQH1" t="s">
        <v>16316</v>
      </c>
      <c r="WQI1" t="s">
        <v>16317</v>
      </c>
      <c r="WQJ1" t="s">
        <v>16318</v>
      </c>
      <c r="WQK1" t="s">
        <v>16319</v>
      </c>
      <c r="WQL1" t="s">
        <v>16320</v>
      </c>
      <c r="WQM1" t="s">
        <v>16321</v>
      </c>
      <c r="WQN1" t="s">
        <v>16322</v>
      </c>
      <c r="WQO1" t="s">
        <v>16323</v>
      </c>
      <c r="WQP1" t="s">
        <v>16324</v>
      </c>
      <c r="WQQ1" t="s">
        <v>16325</v>
      </c>
      <c r="WQR1" t="s">
        <v>16326</v>
      </c>
      <c r="WQS1" t="s">
        <v>16327</v>
      </c>
      <c r="WQT1" t="s">
        <v>16328</v>
      </c>
      <c r="WQU1" t="s">
        <v>16329</v>
      </c>
      <c r="WQV1" t="s">
        <v>16330</v>
      </c>
      <c r="WQW1" t="s">
        <v>16331</v>
      </c>
      <c r="WQX1" t="s">
        <v>16332</v>
      </c>
      <c r="WQY1" t="s">
        <v>16333</v>
      </c>
      <c r="WQZ1" t="s">
        <v>16334</v>
      </c>
      <c r="WRA1" t="s">
        <v>16335</v>
      </c>
      <c r="WRB1" t="s">
        <v>16336</v>
      </c>
      <c r="WRC1" t="s">
        <v>16337</v>
      </c>
      <c r="WRD1" t="s">
        <v>16338</v>
      </c>
      <c r="WRE1" t="s">
        <v>16339</v>
      </c>
      <c r="WRF1" t="s">
        <v>16340</v>
      </c>
      <c r="WRG1" t="s">
        <v>16341</v>
      </c>
      <c r="WRH1" t="s">
        <v>16342</v>
      </c>
      <c r="WRI1" t="s">
        <v>16343</v>
      </c>
      <c r="WRJ1" t="s">
        <v>16344</v>
      </c>
      <c r="WRK1" t="s">
        <v>16345</v>
      </c>
      <c r="WRL1" t="s">
        <v>16346</v>
      </c>
      <c r="WRM1" t="s">
        <v>16347</v>
      </c>
      <c r="WRN1" t="s">
        <v>16348</v>
      </c>
      <c r="WRO1" t="s">
        <v>16349</v>
      </c>
      <c r="WRP1" t="s">
        <v>16350</v>
      </c>
      <c r="WRQ1" t="s">
        <v>16351</v>
      </c>
      <c r="WRR1" t="s">
        <v>16352</v>
      </c>
      <c r="WRS1" t="s">
        <v>16353</v>
      </c>
      <c r="WRT1" t="s">
        <v>16354</v>
      </c>
      <c r="WRU1" t="s">
        <v>16355</v>
      </c>
      <c r="WRV1" t="s">
        <v>16356</v>
      </c>
      <c r="WRW1" t="s">
        <v>16357</v>
      </c>
      <c r="WRX1" t="s">
        <v>16358</v>
      </c>
      <c r="WRY1" t="s">
        <v>16359</v>
      </c>
      <c r="WRZ1" t="s">
        <v>16360</v>
      </c>
      <c r="WSA1" t="s">
        <v>16361</v>
      </c>
      <c r="WSB1" t="s">
        <v>16362</v>
      </c>
      <c r="WSC1" t="s">
        <v>16363</v>
      </c>
      <c r="WSD1" t="s">
        <v>16364</v>
      </c>
      <c r="WSE1" t="s">
        <v>16365</v>
      </c>
      <c r="WSF1" t="s">
        <v>16366</v>
      </c>
      <c r="WSG1" t="s">
        <v>16367</v>
      </c>
      <c r="WSH1" t="s">
        <v>16368</v>
      </c>
      <c r="WSI1" t="s">
        <v>16369</v>
      </c>
      <c r="WSJ1" t="s">
        <v>16370</v>
      </c>
      <c r="WSK1" t="s">
        <v>16371</v>
      </c>
      <c r="WSL1" t="s">
        <v>16372</v>
      </c>
      <c r="WSM1" t="s">
        <v>16373</v>
      </c>
      <c r="WSN1" t="s">
        <v>16374</v>
      </c>
      <c r="WSO1" t="s">
        <v>16375</v>
      </c>
      <c r="WSP1" t="s">
        <v>16376</v>
      </c>
      <c r="WSQ1" t="s">
        <v>16377</v>
      </c>
      <c r="WSR1" t="s">
        <v>16378</v>
      </c>
      <c r="WSS1" t="s">
        <v>16379</v>
      </c>
      <c r="WST1" t="s">
        <v>16380</v>
      </c>
      <c r="WSU1" t="s">
        <v>16381</v>
      </c>
      <c r="WSV1" t="s">
        <v>16382</v>
      </c>
      <c r="WSW1" t="s">
        <v>16383</v>
      </c>
      <c r="WSX1" t="s">
        <v>16384</v>
      </c>
      <c r="WSY1" t="s">
        <v>16385</v>
      </c>
      <c r="WSZ1" t="s">
        <v>16386</v>
      </c>
      <c r="WTA1" t="s">
        <v>16387</v>
      </c>
      <c r="WTB1" t="s">
        <v>16388</v>
      </c>
      <c r="WTC1" t="s">
        <v>16389</v>
      </c>
      <c r="WTD1" t="s">
        <v>16390</v>
      </c>
      <c r="WTE1" t="s">
        <v>16391</v>
      </c>
      <c r="WTF1" t="s">
        <v>16392</v>
      </c>
      <c r="WTG1" t="s">
        <v>16393</v>
      </c>
      <c r="WTH1" t="s">
        <v>16394</v>
      </c>
      <c r="WTI1" t="s">
        <v>16395</v>
      </c>
      <c r="WTJ1" t="s">
        <v>16396</v>
      </c>
      <c r="WTK1" t="s">
        <v>16397</v>
      </c>
      <c r="WTL1" t="s">
        <v>16398</v>
      </c>
      <c r="WTM1" t="s">
        <v>16399</v>
      </c>
      <c r="WTN1" t="s">
        <v>16400</v>
      </c>
      <c r="WTO1" t="s">
        <v>16401</v>
      </c>
      <c r="WTP1" t="s">
        <v>16402</v>
      </c>
      <c r="WTQ1" t="s">
        <v>16403</v>
      </c>
      <c r="WTR1" t="s">
        <v>16404</v>
      </c>
      <c r="WTS1" t="s">
        <v>16405</v>
      </c>
      <c r="WTT1" t="s">
        <v>16406</v>
      </c>
      <c r="WTU1" t="s">
        <v>16407</v>
      </c>
      <c r="WTV1" t="s">
        <v>16408</v>
      </c>
      <c r="WTW1" t="s">
        <v>16409</v>
      </c>
      <c r="WTX1" t="s">
        <v>16410</v>
      </c>
      <c r="WTY1" t="s">
        <v>16411</v>
      </c>
      <c r="WTZ1" t="s">
        <v>16412</v>
      </c>
      <c r="WUA1" t="s">
        <v>16413</v>
      </c>
      <c r="WUB1" t="s">
        <v>16414</v>
      </c>
      <c r="WUC1" t="s">
        <v>16415</v>
      </c>
      <c r="WUD1" t="s">
        <v>16416</v>
      </c>
      <c r="WUE1" t="s">
        <v>16417</v>
      </c>
      <c r="WUF1" t="s">
        <v>16418</v>
      </c>
      <c r="WUG1" t="s">
        <v>16419</v>
      </c>
      <c r="WUH1" t="s">
        <v>16420</v>
      </c>
      <c r="WUI1" t="s">
        <v>16421</v>
      </c>
      <c r="WUJ1" t="s">
        <v>16422</v>
      </c>
      <c r="WUK1" t="s">
        <v>16423</v>
      </c>
      <c r="WUL1" t="s">
        <v>16424</v>
      </c>
      <c r="WUM1" t="s">
        <v>16425</v>
      </c>
      <c r="WUN1" t="s">
        <v>16426</v>
      </c>
      <c r="WUO1" t="s">
        <v>16427</v>
      </c>
      <c r="WUP1" t="s">
        <v>16428</v>
      </c>
      <c r="WUQ1" t="s">
        <v>16429</v>
      </c>
      <c r="WUR1" t="s">
        <v>16430</v>
      </c>
      <c r="WUS1" t="s">
        <v>16431</v>
      </c>
      <c r="WUT1" t="s">
        <v>16432</v>
      </c>
      <c r="WUU1" t="s">
        <v>16433</v>
      </c>
      <c r="WUV1" t="s">
        <v>16434</v>
      </c>
      <c r="WUW1" t="s">
        <v>16435</v>
      </c>
      <c r="WUX1" t="s">
        <v>16436</v>
      </c>
      <c r="WUY1" t="s">
        <v>16437</v>
      </c>
      <c r="WUZ1" t="s">
        <v>16438</v>
      </c>
      <c r="WVA1" t="s">
        <v>16439</v>
      </c>
      <c r="WVB1" t="s">
        <v>16440</v>
      </c>
      <c r="WVC1" t="s">
        <v>16441</v>
      </c>
      <c r="WVD1" t="s">
        <v>16442</v>
      </c>
      <c r="WVE1" t="s">
        <v>16443</v>
      </c>
      <c r="WVF1" t="s">
        <v>16444</v>
      </c>
      <c r="WVG1" t="s">
        <v>16445</v>
      </c>
      <c r="WVH1" t="s">
        <v>16446</v>
      </c>
      <c r="WVI1" t="s">
        <v>16447</v>
      </c>
      <c r="WVJ1" t="s">
        <v>16448</v>
      </c>
      <c r="WVK1" t="s">
        <v>16449</v>
      </c>
      <c r="WVL1" t="s">
        <v>16450</v>
      </c>
      <c r="WVM1" t="s">
        <v>16451</v>
      </c>
      <c r="WVN1" t="s">
        <v>16452</v>
      </c>
      <c r="WVO1" t="s">
        <v>16453</v>
      </c>
      <c r="WVP1" t="s">
        <v>16454</v>
      </c>
      <c r="WVQ1" t="s">
        <v>16455</v>
      </c>
      <c r="WVR1" t="s">
        <v>16456</v>
      </c>
      <c r="WVS1" t="s">
        <v>16457</v>
      </c>
      <c r="WVT1" t="s">
        <v>16458</v>
      </c>
      <c r="WVU1" t="s">
        <v>16459</v>
      </c>
      <c r="WVV1" t="s">
        <v>16460</v>
      </c>
      <c r="WVW1" t="s">
        <v>16461</v>
      </c>
      <c r="WVX1" t="s">
        <v>16462</v>
      </c>
      <c r="WVY1" t="s">
        <v>16463</v>
      </c>
      <c r="WVZ1" t="s">
        <v>16464</v>
      </c>
      <c r="WWA1" t="s">
        <v>16465</v>
      </c>
      <c r="WWB1" t="s">
        <v>16466</v>
      </c>
      <c r="WWC1" t="s">
        <v>16467</v>
      </c>
      <c r="WWD1" t="s">
        <v>16468</v>
      </c>
      <c r="WWE1" t="s">
        <v>16469</v>
      </c>
      <c r="WWF1" t="s">
        <v>16470</v>
      </c>
      <c r="WWG1" t="s">
        <v>16471</v>
      </c>
      <c r="WWH1" t="s">
        <v>16472</v>
      </c>
      <c r="WWI1" t="s">
        <v>16473</v>
      </c>
      <c r="WWJ1" t="s">
        <v>16474</v>
      </c>
      <c r="WWK1" t="s">
        <v>16475</v>
      </c>
      <c r="WWL1" t="s">
        <v>16476</v>
      </c>
      <c r="WWM1" t="s">
        <v>16477</v>
      </c>
      <c r="WWN1" t="s">
        <v>16478</v>
      </c>
      <c r="WWO1" t="s">
        <v>16479</v>
      </c>
      <c r="WWP1" t="s">
        <v>16480</v>
      </c>
      <c r="WWQ1" t="s">
        <v>16481</v>
      </c>
      <c r="WWR1" t="s">
        <v>16482</v>
      </c>
      <c r="WWS1" t="s">
        <v>16483</v>
      </c>
      <c r="WWT1" t="s">
        <v>16484</v>
      </c>
      <c r="WWU1" t="s">
        <v>16485</v>
      </c>
      <c r="WWV1" t="s">
        <v>16486</v>
      </c>
      <c r="WWW1" t="s">
        <v>16487</v>
      </c>
      <c r="WWX1" t="s">
        <v>16488</v>
      </c>
      <c r="WWY1" t="s">
        <v>16489</v>
      </c>
      <c r="WWZ1" t="s">
        <v>16490</v>
      </c>
      <c r="WXA1" t="s">
        <v>16491</v>
      </c>
      <c r="WXB1" t="s">
        <v>16492</v>
      </c>
      <c r="WXC1" t="s">
        <v>16493</v>
      </c>
      <c r="WXD1" t="s">
        <v>16494</v>
      </c>
      <c r="WXE1" t="s">
        <v>16495</v>
      </c>
      <c r="WXF1" t="s">
        <v>16496</v>
      </c>
      <c r="WXG1" t="s">
        <v>16497</v>
      </c>
      <c r="WXH1" t="s">
        <v>16498</v>
      </c>
      <c r="WXI1" t="s">
        <v>16499</v>
      </c>
      <c r="WXJ1" t="s">
        <v>16500</v>
      </c>
      <c r="WXK1" t="s">
        <v>16501</v>
      </c>
      <c r="WXL1" t="s">
        <v>16502</v>
      </c>
      <c r="WXM1" t="s">
        <v>16503</v>
      </c>
      <c r="WXN1" t="s">
        <v>16504</v>
      </c>
      <c r="WXO1" t="s">
        <v>16505</v>
      </c>
      <c r="WXP1" t="s">
        <v>16506</v>
      </c>
      <c r="WXQ1" t="s">
        <v>16507</v>
      </c>
      <c r="WXR1" t="s">
        <v>16508</v>
      </c>
      <c r="WXS1" t="s">
        <v>16509</v>
      </c>
      <c r="WXT1" t="s">
        <v>16510</v>
      </c>
      <c r="WXU1" t="s">
        <v>16511</v>
      </c>
      <c r="WXV1" t="s">
        <v>16512</v>
      </c>
      <c r="WXW1" t="s">
        <v>16513</v>
      </c>
      <c r="WXX1" t="s">
        <v>16514</v>
      </c>
      <c r="WXY1" t="s">
        <v>16515</v>
      </c>
      <c r="WXZ1" t="s">
        <v>16516</v>
      </c>
      <c r="WYA1" t="s">
        <v>16517</v>
      </c>
      <c r="WYB1" t="s">
        <v>16518</v>
      </c>
      <c r="WYC1" t="s">
        <v>16519</v>
      </c>
      <c r="WYD1" t="s">
        <v>16520</v>
      </c>
      <c r="WYE1" t="s">
        <v>16521</v>
      </c>
      <c r="WYF1" t="s">
        <v>16522</v>
      </c>
      <c r="WYG1" t="s">
        <v>16523</v>
      </c>
      <c r="WYH1" t="s">
        <v>16524</v>
      </c>
      <c r="WYI1" t="s">
        <v>16525</v>
      </c>
      <c r="WYJ1" t="s">
        <v>16526</v>
      </c>
      <c r="WYK1" t="s">
        <v>16527</v>
      </c>
      <c r="WYL1" t="s">
        <v>16528</v>
      </c>
      <c r="WYM1" t="s">
        <v>16529</v>
      </c>
      <c r="WYN1" t="s">
        <v>16530</v>
      </c>
      <c r="WYO1" t="s">
        <v>16531</v>
      </c>
      <c r="WYP1" t="s">
        <v>16532</v>
      </c>
      <c r="WYQ1" t="s">
        <v>16533</v>
      </c>
      <c r="WYR1" t="s">
        <v>16534</v>
      </c>
      <c r="WYS1" t="s">
        <v>16535</v>
      </c>
      <c r="WYT1" t="s">
        <v>16536</v>
      </c>
      <c r="WYU1" t="s">
        <v>16537</v>
      </c>
      <c r="WYV1" t="s">
        <v>16538</v>
      </c>
      <c r="WYW1" t="s">
        <v>16539</v>
      </c>
      <c r="WYX1" t="s">
        <v>16540</v>
      </c>
      <c r="WYY1" t="s">
        <v>16541</v>
      </c>
      <c r="WYZ1" t="s">
        <v>16542</v>
      </c>
      <c r="WZA1" t="s">
        <v>16543</v>
      </c>
      <c r="WZB1" t="s">
        <v>16544</v>
      </c>
      <c r="WZC1" t="s">
        <v>16545</v>
      </c>
      <c r="WZD1" t="s">
        <v>16546</v>
      </c>
      <c r="WZE1" t="s">
        <v>16547</v>
      </c>
      <c r="WZF1" t="s">
        <v>16548</v>
      </c>
      <c r="WZG1" t="s">
        <v>16549</v>
      </c>
      <c r="WZH1" t="s">
        <v>16550</v>
      </c>
      <c r="WZI1" t="s">
        <v>16551</v>
      </c>
      <c r="WZJ1" t="s">
        <v>16552</v>
      </c>
      <c r="WZK1" t="s">
        <v>16553</v>
      </c>
      <c r="WZL1" t="s">
        <v>16554</v>
      </c>
      <c r="WZM1" t="s">
        <v>16555</v>
      </c>
      <c r="WZN1" t="s">
        <v>16556</v>
      </c>
      <c r="WZO1" t="s">
        <v>16557</v>
      </c>
      <c r="WZP1" t="s">
        <v>16558</v>
      </c>
      <c r="WZQ1" t="s">
        <v>16559</v>
      </c>
      <c r="WZR1" t="s">
        <v>16560</v>
      </c>
      <c r="WZS1" t="s">
        <v>16561</v>
      </c>
      <c r="WZT1" t="s">
        <v>16562</v>
      </c>
      <c r="WZU1" t="s">
        <v>16563</v>
      </c>
      <c r="WZV1" t="s">
        <v>16564</v>
      </c>
      <c r="WZW1" t="s">
        <v>16565</v>
      </c>
      <c r="WZX1" t="s">
        <v>16566</v>
      </c>
      <c r="WZY1" t="s">
        <v>16567</v>
      </c>
      <c r="WZZ1" t="s">
        <v>16568</v>
      </c>
      <c r="XAA1" t="s">
        <v>16569</v>
      </c>
      <c r="XAB1" t="s">
        <v>16570</v>
      </c>
      <c r="XAC1" t="s">
        <v>16571</v>
      </c>
      <c r="XAD1" t="s">
        <v>16572</v>
      </c>
      <c r="XAE1" t="s">
        <v>16573</v>
      </c>
      <c r="XAF1" t="s">
        <v>16574</v>
      </c>
      <c r="XAG1" t="s">
        <v>16575</v>
      </c>
      <c r="XAH1" t="s">
        <v>16576</v>
      </c>
      <c r="XAI1" t="s">
        <v>16577</v>
      </c>
      <c r="XAJ1" t="s">
        <v>16578</v>
      </c>
      <c r="XAK1" t="s">
        <v>16579</v>
      </c>
      <c r="XAL1" t="s">
        <v>16580</v>
      </c>
      <c r="XAM1" t="s">
        <v>16581</v>
      </c>
      <c r="XAN1" t="s">
        <v>16582</v>
      </c>
      <c r="XAO1" t="s">
        <v>16583</v>
      </c>
      <c r="XAP1" t="s">
        <v>16584</v>
      </c>
      <c r="XAQ1" t="s">
        <v>16585</v>
      </c>
      <c r="XAR1" t="s">
        <v>16586</v>
      </c>
      <c r="XAS1" t="s">
        <v>16587</v>
      </c>
      <c r="XAT1" t="s">
        <v>16588</v>
      </c>
      <c r="XAU1" t="s">
        <v>16589</v>
      </c>
      <c r="XAV1" t="s">
        <v>16590</v>
      </c>
      <c r="XAW1" t="s">
        <v>16591</v>
      </c>
      <c r="XAX1" t="s">
        <v>16592</v>
      </c>
      <c r="XAY1" t="s">
        <v>16593</v>
      </c>
      <c r="XAZ1" t="s">
        <v>16594</v>
      </c>
      <c r="XBA1" t="s">
        <v>16595</v>
      </c>
      <c r="XBB1" t="s">
        <v>16596</v>
      </c>
      <c r="XBC1" t="s">
        <v>16597</v>
      </c>
      <c r="XBD1" t="s">
        <v>16598</v>
      </c>
      <c r="XBE1" t="s">
        <v>16599</v>
      </c>
      <c r="XBF1" t="s">
        <v>16600</v>
      </c>
      <c r="XBG1" t="s">
        <v>16601</v>
      </c>
      <c r="XBH1" t="s">
        <v>16602</v>
      </c>
      <c r="XBI1" t="s">
        <v>16603</v>
      </c>
      <c r="XBJ1" t="s">
        <v>16604</v>
      </c>
      <c r="XBK1" t="s">
        <v>16605</v>
      </c>
      <c r="XBL1" t="s">
        <v>16606</v>
      </c>
      <c r="XBM1" t="s">
        <v>16607</v>
      </c>
      <c r="XBN1" t="s">
        <v>16608</v>
      </c>
      <c r="XBO1" t="s">
        <v>16609</v>
      </c>
      <c r="XBP1" t="s">
        <v>16610</v>
      </c>
      <c r="XBQ1" t="s">
        <v>16611</v>
      </c>
      <c r="XBR1" t="s">
        <v>16612</v>
      </c>
      <c r="XBS1" t="s">
        <v>16613</v>
      </c>
      <c r="XBT1" t="s">
        <v>16614</v>
      </c>
      <c r="XBU1" t="s">
        <v>16615</v>
      </c>
      <c r="XBV1" t="s">
        <v>16616</v>
      </c>
      <c r="XBW1" t="s">
        <v>16617</v>
      </c>
      <c r="XBX1" t="s">
        <v>16618</v>
      </c>
      <c r="XBY1" t="s">
        <v>16619</v>
      </c>
      <c r="XBZ1" t="s">
        <v>16620</v>
      </c>
      <c r="XCA1" t="s">
        <v>16621</v>
      </c>
      <c r="XCB1" t="s">
        <v>16622</v>
      </c>
      <c r="XCC1" t="s">
        <v>16623</v>
      </c>
      <c r="XCD1" t="s">
        <v>16624</v>
      </c>
      <c r="XCE1" t="s">
        <v>16625</v>
      </c>
      <c r="XCF1" t="s">
        <v>16626</v>
      </c>
      <c r="XCG1" t="s">
        <v>16627</v>
      </c>
      <c r="XCH1" t="s">
        <v>16628</v>
      </c>
      <c r="XCI1" t="s">
        <v>16629</v>
      </c>
      <c r="XCJ1" t="s">
        <v>16630</v>
      </c>
      <c r="XCK1" t="s">
        <v>16631</v>
      </c>
      <c r="XCL1" t="s">
        <v>16632</v>
      </c>
      <c r="XCM1" t="s">
        <v>16633</v>
      </c>
      <c r="XCN1" t="s">
        <v>16634</v>
      </c>
      <c r="XCO1" t="s">
        <v>16635</v>
      </c>
      <c r="XCP1" t="s">
        <v>16636</v>
      </c>
      <c r="XCQ1" t="s">
        <v>16637</v>
      </c>
      <c r="XCR1" t="s">
        <v>16638</v>
      </c>
      <c r="XCS1" t="s">
        <v>16639</v>
      </c>
      <c r="XCT1" t="s">
        <v>16640</v>
      </c>
      <c r="XCU1" t="s">
        <v>16641</v>
      </c>
      <c r="XCV1" t="s">
        <v>16642</v>
      </c>
      <c r="XCW1" t="s">
        <v>16643</v>
      </c>
      <c r="XCX1" t="s">
        <v>16644</v>
      </c>
      <c r="XCY1" t="s">
        <v>16645</v>
      </c>
      <c r="XCZ1" t="s">
        <v>16646</v>
      </c>
      <c r="XDA1" t="s">
        <v>16647</v>
      </c>
      <c r="XDB1" t="s">
        <v>16648</v>
      </c>
      <c r="XDC1" t="s">
        <v>16649</v>
      </c>
      <c r="XDD1" t="s">
        <v>16650</v>
      </c>
      <c r="XDE1" t="s">
        <v>16651</v>
      </c>
      <c r="XDF1" t="s">
        <v>16652</v>
      </c>
      <c r="XDG1" t="s">
        <v>16653</v>
      </c>
      <c r="XDH1" t="s">
        <v>16654</v>
      </c>
      <c r="XDI1" t="s">
        <v>16655</v>
      </c>
      <c r="XDJ1" t="s">
        <v>16656</v>
      </c>
      <c r="XDK1" t="s">
        <v>16657</v>
      </c>
      <c r="XDL1" t="s">
        <v>16658</v>
      </c>
      <c r="XDM1" t="s">
        <v>16659</v>
      </c>
      <c r="XDN1" t="s">
        <v>16660</v>
      </c>
      <c r="XDO1" t="s">
        <v>16661</v>
      </c>
      <c r="XDP1" t="s">
        <v>16662</v>
      </c>
      <c r="XDQ1" t="s">
        <v>16663</v>
      </c>
      <c r="XDR1" t="s">
        <v>16664</v>
      </c>
      <c r="XDS1" t="s">
        <v>16665</v>
      </c>
      <c r="XDT1" t="s">
        <v>16666</v>
      </c>
      <c r="XDU1" t="s">
        <v>16667</v>
      </c>
      <c r="XDV1" t="s">
        <v>16668</v>
      </c>
      <c r="XDW1" t="s">
        <v>16669</v>
      </c>
      <c r="XDX1" t="s">
        <v>16670</v>
      </c>
      <c r="XDY1" t="s">
        <v>16671</v>
      </c>
      <c r="XDZ1" t="s">
        <v>16672</v>
      </c>
      <c r="XEA1" t="s">
        <v>16673</v>
      </c>
      <c r="XEB1" t="s">
        <v>16674</v>
      </c>
      <c r="XEC1" t="s">
        <v>16675</v>
      </c>
      <c r="XED1" t="s">
        <v>16676</v>
      </c>
      <c r="XEE1" t="s">
        <v>16677</v>
      </c>
      <c r="XEF1" t="s">
        <v>16678</v>
      </c>
      <c r="XEG1" t="s">
        <v>16679</v>
      </c>
      <c r="XEH1" t="s">
        <v>16680</v>
      </c>
      <c r="XEI1" t="s">
        <v>16681</v>
      </c>
      <c r="XEJ1" t="s">
        <v>16682</v>
      </c>
      <c r="XEK1" t="s">
        <v>16683</v>
      </c>
      <c r="XEL1" t="s">
        <v>16684</v>
      </c>
      <c r="XEM1" t="s">
        <v>16685</v>
      </c>
      <c r="XEN1" t="s">
        <v>16686</v>
      </c>
      <c r="XEO1" t="s">
        <v>16687</v>
      </c>
      <c r="XEP1" t="s">
        <v>16688</v>
      </c>
      <c r="XEQ1" t="s">
        <v>16689</v>
      </c>
      <c r="XER1" t="s">
        <v>16690</v>
      </c>
      <c r="XES1" t="s">
        <v>16691</v>
      </c>
      <c r="XET1" t="s">
        <v>16692</v>
      </c>
      <c r="XEU1" t="s">
        <v>16693</v>
      </c>
      <c r="XEV1" t="s">
        <v>16694</v>
      </c>
      <c r="XEW1" t="s">
        <v>16695</v>
      </c>
      <c r="XEX1" t="s">
        <v>16696</v>
      </c>
      <c r="XEY1" t="s">
        <v>16697</v>
      </c>
      <c r="XEZ1" t="s">
        <v>16698</v>
      </c>
      <c r="XFA1" t="s">
        <v>16699</v>
      </c>
      <c r="XFB1" t="s">
        <v>16700</v>
      </c>
      <c r="XFC1" t="s">
        <v>16701</v>
      </c>
      <c r="XFD1" t="s">
        <v>16702</v>
      </c>
    </row>
    <row r="2" spans="1:16384" x14ac:dyDescent="0.35">
      <c r="A2" t="s">
        <v>6</v>
      </c>
      <c r="B2" t="s">
        <v>7</v>
      </c>
      <c r="C2" t="s">
        <v>8</v>
      </c>
      <c r="D2" s="1">
        <v>0.38</v>
      </c>
      <c r="E2">
        <v>-2</v>
      </c>
      <c r="F2" t="s">
        <v>9</v>
      </c>
    </row>
    <row r="3" spans="1:16384" x14ac:dyDescent="0.35">
      <c r="A3" t="s">
        <v>10</v>
      </c>
      <c r="B3" t="s">
        <v>11</v>
      </c>
      <c r="C3" t="s">
        <v>12</v>
      </c>
      <c r="D3" s="1">
        <v>0.47</v>
      </c>
      <c r="E3">
        <v>-14</v>
      </c>
      <c r="F3" t="s">
        <v>13</v>
      </c>
    </row>
    <row r="4" spans="1:16384" x14ac:dyDescent="0.35">
      <c r="A4" t="s">
        <v>14</v>
      </c>
      <c r="B4" t="s">
        <v>15</v>
      </c>
      <c r="C4" t="s">
        <v>16</v>
      </c>
      <c r="D4" s="1">
        <v>0.25</v>
      </c>
      <c r="E4">
        <v>-24</v>
      </c>
      <c r="F4" t="s">
        <v>17</v>
      </c>
    </row>
    <row r="5" spans="1:16384" x14ac:dyDescent="0.35">
      <c r="A5" t="s">
        <v>18</v>
      </c>
      <c r="B5" t="s">
        <v>19</v>
      </c>
      <c r="C5" t="s">
        <v>20</v>
      </c>
      <c r="D5" s="1">
        <v>0.37</v>
      </c>
      <c r="E5">
        <v>-7</v>
      </c>
      <c r="F5" t="s">
        <v>21</v>
      </c>
    </row>
    <row r="6" spans="1:16384" x14ac:dyDescent="0.35">
      <c r="A6" t="s">
        <v>22</v>
      </c>
      <c r="B6" t="s">
        <v>23</v>
      </c>
      <c r="C6" t="s">
        <v>24</v>
      </c>
      <c r="D6" s="1">
        <v>0.26</v>
      </c>
      <c r="E6">
        <v>-5</v>
      </c>
      <c r="F6" t="s">
        <v>25</v>
      </c>
    </row>
    <row r="7" spans="1:16384" x14ac:dyDescent="0.35">
      <c r="A7" t="s">
        <v>26</v>
      </c>
      <c r="B7" t="s">
        <v>27</v>
      </c>
      <c r="C7" t="s">
        <v>28</v>
      </c>
      <c r="D7" s="1">
        <v>0.09</v>
      </c>
      <c r="E7">
        <v>-15</v>
      </c>
      <c r="F7" t="s">
        <v>29</v>
      </c>
    </row>
    <row r="8" spans="1:16384" x14ac:dyDescent="0.35">
      <c r="A8" t="s">
        <v>30</v>
      </c>
      <c r="B8" t="s">
        <v>31</v>
      </c>
      <c r="C8" t="s">
        <v>32</v>
      </c>
      <c r="D8" s="1">
        <v>0.24</v>
      </c>
      <c r="E8">
        <v>-55</v>
      </c>
      <c r="F8" t="s">
        <v>17</v>
      </c>
    </row>
    <row r="9" spans="1:16384" x14ac:dyDescent="0.35">
      <c r="A9" t="s">
        <v>33</v>
      </c>
      <c r="B9" t="s">
        <v>34</v>
      </c>
      <c r="C9" t="s">
        <v>19</v>
      </c>
      <c r="D9" s="1">
        <v>0.37</v>
      </c>
      <c r="E9">
        <v>-2</v>
      </c>
      <c r="F9" t="s">
        <v>29</v>
      </c>
    </row>
    <row r="10" spans="1:16384" x14ac:dyDescent="0.35">
      <c r="A10" t="s">
        <v>35</v>
      </c>
      <c r="B10" t="s">
        <v>36</v>
      </c>
      <c r="C10" t="s">
        <v>37</v>
      </c>
      <c r="D10" s="1">
        <v>0.55000000000000004</v>
      </c>
      <c r="E10">
        <v>-5</v>
      </c>
      <c r="F10" t="s">
        <v>25</v>
      </c>
    </row>
    <row r="11" spans="1:16384" x14ac:dyDescent="0.35">
      <c r="A11" t="s">
        <v>38</v>
      </c>
      <c r="B11" t="s">
        <v>39</v>
      </c>
      <c r="C11" t="s">
        <v>40</v>
      </c>
      <c r="D11" s="1">
        <v>0.45</v>
      </c>
      <c r="E11">
        <v>-5</v>
      </c>
      <c r="F11" t="s">
        <v>41</v>
      </c>
    </row>
    <row r="12" spans="1:16384" x14ac:dyDescent="0.35">
      <c r="A12" t="s">
        <v>42</v>
      </c>
      <c r="B12" t="s">
        <v>43</v>
      </c>
      <c r="C12" t="s">
        <v>12</v>
      </c>
      <c r="D12" s="1">
        <v>0.2</v>
      </c>
      <c r="E12">
        <v>-12</v>
      </c>
      <c r="F12" t="s">
        <v>13</v>
      </c>
    </row>
    <row r="13" spans="1:16384" x14ac:dyDescent="0.35">
      <c r="A13" t="s">
        <v>44</v>
      </c>
      <c r="B13" t="s">
        <v>45</v>
      </c>
      <c r="C13" t="s">
        <v>46</v>
      </c>
      <c r="D13" s="1">
        <v>0.34</v>
      </c>
      <c r="E13">
        <v>-39</v>
      </c>
      <c r="F13" t="s">
        <v>21</v>
      </c>
    </row>
    <row r="14" spans="1:16384" x14ac:dyDescent="0.35">
      <c r="A14" t="s">
        <v>47</v>
      </c>
      <c r="B14" t="s">
        <v>48</v>
      </c>
      <c r="C14" t="s">
        <v>49</v>
      </c>
      <c r="D14" s="1">
        <v>0.47</v>
      </c>
      <c r="E14">
        <v>-12</v>
      </c>
      <c r="F14" t="s">
        <v>25</v>
      </c>
    </row>
    <row r="15" spans="1:16384" x14ac:dyDescent="0.35">
      <c r="A15" t="s">
        <v>50</v>
      </c>
      <c r="B15" t="s">
        <v>51</v>
      </c>
      <c r="C15" t="s">
        <v>52</v>
      </c>
      <c r="D15" s="1">
        <v>0.42</v>
      </c>
      <c r="E15">
        <v>-6</v>
      </c>
      <c r="F15" t="s">
        <v>9</v>
      </c>
    </row>
    <row r="16" spans="1:16384"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140</v>
      </c>
      <c r="B45" t="s">
        <v>141</v>
      </c>
      <c r="C45" t="s">
        <v>142</v>
      </c>
      <c r="D45" s="1">
        <v>0.02</v>
      </c>
    </row>
    <row r="46" spans="1:6" x14ac:dyDescent="0.35">
      <c r="A46" t="s">
        <v>143</v>
      </c>
      <c r="B46" t="s">
        <v>12</v>
      </c>
      <c r="C46" t="s">
        <v>144</v>
      </c>
      <c r="D46" s="1">
        <v>0.5</v>
      </c>
    </row>
    <row r="47" spans="1:6" x14ac:dyDescent="0.35">
      <c r="A47" t="s">
        <v>145</v>
      </c>
      <c r="B47" t="s">
        <v>146</v>
      </c>
      <c r="C47" t="s">
        <v>147</v>
      </c>
      <c r="D47" s="1">
        <v>0.33</v>
      </c>
    </row>
    <row r="48" spans="1:6" x14ac:dyDescent="0.35">
      <c r="A48" t="s">
        <v>148</v>
      </c>
      <c r="B48" t="s">
        <v>149</v>
      </c>
      <c r="C48" t="s">
        <v>150</v>
      </c>
      <c r="D48" s="1">
        <v>0.49</v>
      </c>
    </row>
    <row r="49" spans="1:6" x14ac:dyDescent="0.35">
      <c r="A49" t="s">
        <v>151</v>
      </c>
      <c r="B49" t="s">
        <v>152</v>
      </c>
      <c r="C49" t="s">
        <v>153</v>
      </c>
      <c r="D49" s="1">
        <v>0.38</v>
      </c>
    </row>
    <row r="50" spans="1:6" x14ac:dyDescent="0.35">
      <c r="A50" t="s">
        <v>154</v>
      </c>
      <c r="B50" t="s">
        <v>155</v>
      </c>
      <c r="C50" t="s">
        <v>156</v>
      </c>
      <c r="D50" s="1">
        <v>0.61</v>
      </c>
    </row>
    <row r="51" spans="1:6" x14ac:dyDescent="0.35">
      <c r="A51" t="s">
        <v>157</v>
      </c>
      <c r="B51" t="s">
        <v>158</v>
      </c>
      <c r="C51" t="s">
        <v>159</v>
      </c>
      <c r="D51" s="1">
        <v>0.5</v>
      </c>
    </row>
    <row r="52" spans="1:6" x14ac:dyDescent="0.35">
      <c r="A52" t="s">
        <v>160</v>
      </c>
      <c r="B52" t="s">
        <v>161</v>
      </c>
      <c r="C52" t="s">
        <v>162</v>
      </c>
      <c r="D52" s="1">
        <v>0.02</v>
      </c>
    </row>
    <row r="53" spans="1:6" x14ac:dyDescent="0.35">
      <c r="A53" t="s">
        <v>163</v>
      </c>
      <c r="B53" t="s">
        <v>158</v>
      </c>
      <c r="C53" t="s">
        <v>164</v>
      </c>
      <c r="D53" s="1">
        <v>0.22</v>
      </c>
    </row>
    <row r="54" spans="1:6" x14ac:dyDescent="0.35">
      <c r="A54" t="s">
        <v>165</v>
      </c>
      <c r="B54" t="s">
        <v>166</v>
      </c>
      <c r="C54" t="s">
        <v>167</v>
      </c>
      <c r="D54" s="1">
        <v>0.03</v>
      </c>
    </row>
    <row r="55" spans="1:6" x14ac:dyDescent="0.35">
      <c r="A55" t="s">
        <v>168</v>
      </c>
      <c r="B55" t="s">
        <v>43</v>
      </c>
      <c r="C55" t="s">
        <v>169</v>
      </c>
      <c r="D55" s="1">
        <v>0.41</v>
      </c>
    </row>
    <row r="56" spans="1:6" x14ac:dyDescent="0.35">
      <c r="A56" t="s">
        <v>170</v>
      </c>
      <c r="B56" t="s">
        <v>171</v>
      </c>
      <c r="C56" t="s">
        <v>172</v>
      </c>
      <c r="D56" s="1">
        <v>0.45</v>
      </c>
    </row>
    <row r="57" spans="1:6" x14ac:dyDescent="0.35">
      <c r="A57" t="s">
        <v>173</v>
      </c>
      <c r="B57" t="s">
        <v>174</v>
      </c>
      <c r="C57" t="s">
        <v>169</v>
      </c>
      <c r="D57" s="1">
        <v>0.48</v>
      </c>
    </row>
    <row r="58" spans="1:6" x14ac:dyDescent="0.35">
      <c r="A58" t="s">
        <v>175</v>
      </c>
      <c r="B58" t="s">
        <v>43</v>
      </c>
      <c r="C58" t="s">
        <v>176</v>
      </c>
      <c r="D58" s="1">
        <v>0.49</v>
      </c>
    </row>
    <row r="59" spans="1:6" x14ac:dyDescent="0.35">
      <c r="A59" t="s">
        <v>177</v>
      </c>
      <c r="B59" t="s">
        <v>178</v>
      </c>
      <c r="C59" t="s">
        <v>179</v>
      </c>
      <c r="D59" s="1">
        <v>0.27</v>
      </c>
    </row>
    <row r="60" spans="1:6" x14ac:dyDescent="0.35">
      <c r="A60" t="s">
        <v>170</v>
      </c>
      <c r="B60" t="s">
        <v>180</v>
      </c>
      <c r="C60" t="s">
        <v>181</v>
      </c>
      <c r="D60" s="1">
        <v>0.55000000000000004</v>
      </c>
    </row>
    <row r="61" spans="1:6" x14ac:dyDescent="0.35">
      <c r="A61" t="s">
        <v>182</v>
      </c>
      <c r="B61" t="s">
        <v>183</v>
      </c>
      <c r="C61" t="s">
        <v>184</v>
      </c>
      <c r="D61" s="1">
        <v>0.13</v>
      </c>
      <c r="E61">
        <v>-6</v>
      </c>
      <c r="F61" t="s">
        <v>185</v>
      </c>
    </row>
    <row r="62" spans="1:6" x14ac:dyDescent="0.35">
      <c r="A62" t="s">
        <v>186</v>
      </c>
      <c r="B62" t="s">
        <v>187</v>
      </c>
      <c r="C62" t="s">
        <v>188</v>
      </c>
      <c r="D62" s="1">
        <v>0.54</v>
      </c>
      <c r="E62">
        <v>-10</v>
      </c>
      <c r="F62" t="s">
        <v>189</v>
      </c>
    </row>
    <row r="63" spans="1:6" x14ac:dyDescent="0.35">
      <c r="A63" t="s">
        <v>190</v>
      </c>
      <c r="B63" t="s">
        <v>191</v>
      </c>
      <c r="C63" t="s">
        <v>192</v>
      </c>
      <c r="D63" s="1">
        <v>0.55000000000000004</v>
      </c>
      <c r="E63">
        <v>-13</v>
      </c>
      <c r="F63" t="s">
        <v>193</v>
      </c>
    </row>
    <row r="64" spans="1:6" x14ac:dyDescent="0.35">
      <c r="A64" t="s">
        <v>194</v>
      </c>
      <c r="B64" t="s">
        <v>195</v>
      </c>
      <c r="C64" t="s">
        <v>196</v>
      </c>
      <c r="D64" s="1">
        <v>0.49</v>
      </c>
      <c r="E64">
        <v>-69</v>
      </c>
      <c r="F64" t="s">
        <v>197</v>
      </c>
    </row>
    <row r="65" spans="1:6" x14ac:dyDescent="0.35">
      <c r="A65" t="s">
        <v>198</v>
      </c>
      <c r="B65" t="s">
        <v>199</v>
      </c>
      <c r="C65" t="s">
        <v>200</v>
      </c>
      <c r="D65" s="1">
        <v>0.52</v>
      </c>
      <c r="E65">
        <v>-15</v>
      </c>
      <c r="F65" t="s">
        <v>201</v>
      </c>
    </row>
    <row r="66" spans="1:6" x14ac:dyDescent="0.35">
      <c r="A66" t="s">
        <v>202</v>
      </c>
      <c r="B66" t="s">
        <v>203</v>
      </c>
      <c r="C66" t="s">
        <v>204</v>
      </c>
      <c r="D66" s="1">
        <v>0.22</v>
      </c>
      <c r="E66">
        <v>-16</v>
      </c>
      <c r="F66" t="s">
        <v>205</v>
      </c>
    </row>
    <row r="67" spans="1:6" x14ac:dyDescent="0.35">
      <c r="A67" t="s">
        <v>206</v>
      </c>
      <c r="B67" t="s">
        <v>45</v>
      </c>
      <c r="C67" t="s">
        <v>207</v>
      </c>
      <c r="D67" s="1">
        <v>0.45</v>
      </c>
      <c r="E67">
        <v>-6</v>
      </c>
      <c r="F67" t="s">
        <v>208</v>
      </c>
    </row>
    <row r="68" spans="1:6" x14ac:dyDescent="0.35">
      <c r="A68" t="s">
        <v>209</v>
      </c>
      <c r="B68" t="s">
        <v>210</v>
      </c>
      <c r="C68" t="s">
        <v>144</v>
      </c>
      <c r="D68" s="1">
        <v>0.5</v>
      </c>
      <c r="E68">
        <v>-7</v>
      </c>
      <c r="F68" t="s">
        <v>211</v>
      </c>
    </row>
    <row r="69" spans="1:6" x14ac:dyDescent="0.35">
      <c r="A69" t="s">
        <v>212</v>
      </c>
      <c r="B69" t="s">
        <v>213</v>
      </c>
      <c r="C69" t="s">
        <v>214</v>
      </c>
      <c r="D69" s="1">
        <v>0.39</v>
      </c>
      <c r="E69">
        <v>-5</v>
      </c>
      <c r="F69" t="s">
        <v>189</v>
      </c>
    </row>
    <row r="70" spans="1:6" x14ac:dyDescent="0.35">
      <c r="A70" t="s">
        <v>215</v>
      </c>
      <c r="B70" t="s">
        <v>104</v>
      </c>
      <c r="C70" t="s">
        <v>216</v>
      </c>
      <c r="D70" s="1">
        <v>0.45</v>
      </c>
      <c r="E70">
        <v>-17</v>
      </c>
      <c r="F70" t="s">
        <v>217</v>
      </c>
    </row>
    <row r="71" spans="1:6" x14ac:dyDescent="0.35">
      <c r="A71" t="s">
        <v>218</v>
      </c>
      <c r="B71" t="s">
        <v>219</v>
      </c>
      <c r="C71" t="s">
        <v>220</v>
      </c>
      <c r="D71" s="1">
        <v>0.28999999999999998</v>
      </c>
      <c r="E71">
        <v>-5</v>
      </c>
      <c r="F71" t="s">
        <v>189</v>
      </c>
    </row>
    <row r="72" spans="1:6" x14ac:dyDescent="0.35">
      <c r="A72" t="s">
        <v>221</v>
      </c>
      <c r="B72" t="s">
        <v>222</v>
      </c>
      <c r="C72" t="s">
        <v>223</v>
      </c>
      <c r="D72" s="1">
        <v>0.43</v>
      </c>
      <c r="E72">
        <v>-6</v>
      </c>
      <c r="F72" t="s">
        <v>211</v>
      </c>
    </row>
    <row r="73" spans="1:6" x14ac:dyDescent="0.35">
      <c r="A73" t="s">
        <v>224</v>
      </c>
      <c r="B73" t="s">
        <v>225</v>
      </c>
      <c r="C73" t="s">
        <v>226</v>
      </c>
      <c r="D73" s="1">
        <v>0.43</v>
      </c>
      <c r="E73">
        <v>-5</v>
      </c>
      <c r="F73" t="s">
        <v>189</v>
      </c>
    </row>
    <row r="74" spans="1:6" x14ac:dyDescent="0.35">
      <c r="A74" t="s">
        <v>227</v>
      </c>
      <c r="B74" t="s">
        <v>228</v>
      </c>
      <c r="C74" t="s">
        <v>207</v>
      </c>
      <c r="D74" s="1">
        <v>0.47</v>
      </c>
      <c r="E74">
        <v>-6</v>
      </c>
      <c r="F74" t="s">
        <v>208</v>
      </c>
    </row>
    <row r="75" spans="1:6" x14ac:dyDescent="0.35">
      <c r="A75" t="s">
        <v>229</v>
      </c>
      <c r="B75" t="s">
        <v>230</v>
      </c>
      <c r="C75" t="s">
        <v>231</v>
      </c>
      <c r="D75" s="1">
        <v>0.47</v>
      </c>
      <c r="E75">
        <v>-7</v>
      </c>
      <c r="F75" t="s">
        <v>193</v>
      </c>
    </row>
    <row r="76" spans="1:6" x14ac:dyDescent="0.35">
      <c r="A76" t="s">
        <v>232</v>
      </c>
      <c r="B76" t="s">
        <v>233</v>
      </c>
      <c r="C76" t="s">
        <v>234</v>
      </c>
      <c r="D76" s="1">
        <v>0.47</v>
      </c>
    </row>
    <row r="77" spans="1:6" x14ac:dyDescent="0.35">
      <c r="A77" t="s">
        <v>235</v>
      </c>
      <c r="B77" t="s">
        <v>236</v>
      </c>
      <c r="C77" t="s">
        <v>152</v>
      </c>
      <c r="D77" s="1">
        <v>0.43</v>
      </c>
    </row>
    <row r="78" spans="1:6" x14ac:dyDescent="0.35">
      <c r="A78" t="s">
        <v>237</v>
      </c>
      <c r="B78" t="s">
        <v>238</v>
      </c>
      <c r="C78" t="s">
        <v>239</v>
      </c>
      <c r="D78" s="1">
        <v>0.04</v>
      </c>
    </row>
    <row r="79" spans="1:6" x14ac:dyDescent="0.35">
      <c r="A79" t="s">
        <v>240</v>
      </c>
      <c r="B79" t="s">
        <v>241</v>
      </c>
      <c r="C79" t="s">
        <v>242</v>
      </c>
      <c r="D79" s="1">
        <v>0.49</v>
      </c>
    </row>
    <row r="80" spans="1:6" x14ac:dyDescent="0.35">
      <c r="A80" t="s">
        <v>243</v>
      </c>
      <c r="B80" t="s">
        <v>244</v>
      </c>
      <c r="C80" t="s">
        <v>15</v>
      </c>
      <c r="D80" s="1">
        <v>0.46</v>
      </c>
      <c r="E80">
        <v>-1</v>
      </c>
      <c r="F80" t="s">
        <v>189</v>
      </c>
    </row>
    <row r="81" spans="1:6" x14ac:dyDescent="0.35">
      <c r="A81" t="s">
        <v>245</v>
      </c>
      <c r="B81" t="s">
        <v>246</v>
      </c>
      <c r="C81" t="s">
        <v>247</v>
      </c>
      <c r="D81" s="1">
        <v>0.49</v>
      </c>
      <c r="E81">
        <v>-1</v>
      </c>
      <c r="F81" t="s">
        <v>59</v>
      </c>
    </row>
    <row r="82" spans="1:6" x14ac:dyDescent="0.35">
      <c r="A82" t="s">
        <v>248</v>
      </c>
      <c r="B82" t="s">
        <v>249</v>
      </c>
      <c r="C82" t="s">
        <v>250</v>
      </c>
      <c r="D82" s="1">
        <v>0.36</v>
      </c>
    </row>
    <row r="83" spans="1:6" x14ac:dyDescent="0.35">
      <c r="A83" t="s">
        <v>251</v>
      </c>
      <c r="B83" t="s">
        <v>252</v>
      </c>
      <c r="C83" t="s">
        <v>162</v>
      </c>
      <c r="D83" s="1">
        <v>0.02</v>
      </c>
    </row>
    <row r="84" spans="1:6" x14ac:dyDescent="0.35">
      <c r="A84" t="s">
        <v>253</v>
      </c>
      <c r="B84" t="s">
        <v>254</v>
      </c>
      <c r="C84" t="s">
        <v>91</v>
      </c>
      <c r="D84" s="1">
        <v>0.49</v>
      </c>
      <c r="E84">
        <v>-1</v>
      </c>
      <c r="F84" t="s">
        <v>29</v>
      </c>
    </row>
    <row r="85" spans="1:6" x14ac:dyDescent="0.35">
      <c r="A85" t="s">
        <v>154</v>
      </c>
      <c r="B85" t="s">
        <v>255</v>
      </c>
      <c r="C85" t="s">
        <v>222</v>
      </c>
      <c r="D85" s="1">
        <v>0.49</v>
      </c>
    </row>
    <row r="86" spans="1:6" x14ac:dyDescent="0.35">
      <c r="A86" t="s">
        <v>256</v>
      </c>
      <c r="B86" t="s">
        <v>257</v>
      </c>
      <c r="C86" t="s">
        <v>162</v>
      </c>
      <c r="D86" s="1">
        <v>0.14000000000000001</v>
      </c>
    </row>
    <row r="87" spans="1:6" x14ac:dyDescent="0.35">
      <c r="A87" t="s">
        <v>258</v>
      </c>
      <c r="B87" t="s">
        <v>259</v>
      </c>
      <c r="C87" t="s">
        <v>260</v>
      </c>
      <c r="D87" s="1">
        <v>0.49</v>
      </c>
    </row>
    <row r="88" spans="1:6" x14ac:dyDescent="0.35">
      <c r="A88" t="s">
        <v>261</v>
      </c>
      <c r="B88" t="s">
        <v>43</v>
      </c>
      <c r="C88" t="s">
        <v>172</v>
      </c>
      <c r="D88" s="1">
        <v>0.11</v>
      </c>
    </row>
    <row r="89" spans="1:6" x14ac:dyDescent="0.35">
      <c r="A89" t="s">
        <v>175</v>
      </c>
      <c r="B89" t="s">
        <v>262</v>
      </c>
      <c r="C89" t="s">
        <v>263</v>
      </c>
      <c r="D89" s="1">
        <v>0.49</v>
      </c>
    </row>
    <row r="90" spans="1:6" x14ac:dyDescent="0.35">
      <c r="A90" t="s">
        <v>264</v>
      </c>
      <c r="B90" t="s">
        <v>265</v>
      </c>
      <c r="C90" t="s">
        <v>162</v>
      </c>
      <c r="D90" s="1">
        <v>0.14000000000000001</v>
      </c>
    </row>
    <row r="91" spans="1:6" x14ac:dyDescent="0.35">
      <c r="A91" t="s">
        <v>266</v>
      </c>
      <c r="B91" t="s">
        <v>267</v>
      </c>
      <c r="C91" t="s">
        <v>268</v>
      </c>
      <c r="D91" s="1">
        <v>0.43</v>
      </c>
    </row>
    <row r="92" spans="1:6" x14ac:dyDescent="0.35">
      <c r="A92" t="s">
        <v>269</v>
      </c>
      <c r="B92" t="s">
        <v>270</v>
      </c>
      <c r="C92" t="s">
        <v>271</v>
      </c>
      <c r="D92" s="1">
        <v>0.5</v>
      </c>
    </row>
    <row r="93" spans="1:6" x14ac:dyDescent="0.35">
      <c r="A93" t="s">
        <v>272</v>
      </c>
      <c r="B93" t="s">
        <v>273</v>
      </c>
      <c r="C93" t="s">
        <v>184</v>
      </c>
      <c r="D93" s="1">
        <v>0.48</v>
      </c>
    </row>
    <row r="94" spans="1:6" x14ac:dyDescent="0.35">
      <c r="A94" t="s">
        <v>274</v>
      </c>
      <c r="B94" t="s">
        <v>275</v>
      </c>
      <c r="C94" t="s">
        <v>276</v>
      </c>
      <c r="D94" s="1">
        <v>0.48</v>
      </c>
    </row>
    <row r="95" spans="1:6" x14ac:dyDescent="0.35">
      <c r="A95" t="s">
        <v>277</v>
      </c>
      <c r="B95" t="s">
        <v>226</v>
      </c>
      <c r="C95" t="s">
        <v>162</v>
      </c>
      <c r="D95" s="1">
        <v>0.47</v>
      </c>
    </row>
    <row r="96" spans="1:6" x14ac:dyDescent="0.35">
      <c r="A96" t="s">
        <v>278</v>
      </c>
      <c r="B96" t="s">
        <v>152</v>
      </c>
      <c r="C96" t="s">
        <v>279</v>
      </c>
      <c r="D96" s="1">
        <v>0.5</v>
      </c>
    </row>
    <row r="97" spans="1:6" x14ac:dyDescent="0.35">
      <c r="A97" t="s">
        <v>280</v>
      </c>
      <c r="B97" t="s">
        <v>281</v>
      </c>
      <c r="C97" t="s">
        <v>161</v>
      </c>
      <c r="D97" s="1">
        <v>0.08</v>
      </c>
    </row>
    <row r="98" spans="1:6" x14ac:dyDescent="0.35">
      <c r="A98" t="s">
        <v>282</v>
      </c>
      <c r="B98" t="s">
        <v>283</v>
      </c>
      <c r="C98" t="s">
        <v>167</v>
      </c>
      <c r="D98" s="1">
        <v>0.02</v>
      </c>
    </row>
    <row r="99" spans="1:6" x14ac:dyDescent="0.35">
      <c r="A99" t="s">
        <v>284</v>
      </c>
      <c r="B99" t="s">
        <v>285</v>
      </c>
      <c r="C99" t="s">
        <v>286</v>
      </c>
      <c r="D99" s="1">
        <v>0.49</v>
      </c>
    </row>
    <row r="100" spans="1:6" x14ac:dyDescent="0.35">
      <c r="A100" t="s">
        <v>287</v>
      </c>
      <c r="B100" t="s">
        <v>288</v>
      </c>
      <c r="C100" t="s">
        <v>67</v>
      </c>
      <c r="D100" s="1">
        <v>0.04</v>
      </c>
    </row>
    <row r="101" spans="1:6" x14ac:dyDescent="0.35">
      <c r="A101" t="s">
        <v>289</v>
      </c>
      <c r="B101" t="s">
        <v>290</v>
      </c>
      <c r="C101" t="s">
        <v>291</v>
      </c>
      <c r="D101" s="1">
        <v>0.49</v>
      </c>
    </row>
    <row r="102" spans="1:6" x14ac:dyDescent="0.35">
      <c r="A102" t="s">
        <v>292</v>
      </c>
      <c r="B102" t="s">
        <v>293</v>
      </c>
      <c r="C102" t="s">
        <v>294</v>
      </c>
      <c r="D102" s="1">
        <v>0.42</v>
      </c>
    </row>
    <row r="103" spans="1:6" x14ac:dyDescent="0.35">
      <c r="A103" t="s">
        <v>295</v>
      </c>
      <c r="B103" t="s">
        <v>296</v>
      </c>
      <c r="C103" t="s">
        <v>297</v>
      </c>
      <c r="D103" s="1">
        <v>0.21</v>
      </c>
      <c r="E103">
        <v>-1</v>
      </c>
      <c r="F103" t="s">
        <v>59</v>
      </c>
    </row>
    <row r="104" spans="1:6" x14ac:dyDescent="0.35">
      <c r="A104" t="s">
        <v>298</v>
      </c>
      <c r="B104" t="s">
        <v>299</v>
      </c>
      <c r="C104" t="s">
        <v>300</v>
      </c>
      <c r="D104" s="1">
        <v>0.41</v>
      </c>
    </row>
    <row r="105" spans="1:6" x14ac:dyDescent="0.35">
      <c r="A105" t="s">
        <v>301</v>
      </c>
      <c r="B105" t="s">
        <v>302</v>
      </c>
      <c r="C105" t="s">
        <v>303</v>
      </c>
      <c r="D105" s="1">
        <v>0.01</v>
      </c>
    </row>
    <row r="106" spans="1:6" x14ac:dyDescent="0.35">
      <c r="A106" t="s">
        <v>304</v>
      </c>
      <c r="B106" t="s">
        <v>305</v>
      </c>
      <c r="C106" t="s">
        <v>306</v>
      </c>
      <c r="D106" s="1">
        <v>0.24</v>
      </c>
    </row>
    <row r="107" spans="1:6" x14ac:dyDescent="0.35">
      <c r="A107" t="s">
        <v>307</v>
      </c>
      <c r="B107" t="s">
        <v>308</v>
      </c>
      <c r="C107" t="s">
        <v>309</v>
      </c>
      <c r="D107" s="1">
        <v>0.34</v>
      </c>
    </row>
    <row r="108" spans="1:6" x14ac:dyDescent="0.35">
      <c r="A108" t="s">
        <v>310</v>
      </c>
      <c r="B108" t="s">
        <v>146</v>
      </c>
      <c r="C108" t="s">
        <v>311</v>
      </c>
      <c r="D108" s="1">
        <v>0.34</v>
      </c>
    </row>
    <row r="109" spans="1:6" x14ac:dyDescent="0.35">
      <c r="A109" t="s">
        <v>312</v>
      </c>
      <c r="B109" t="s">
        <v>313</v>
      </c>
      <c r="C109" t="s">
        <v>162</v>
      </c>
      <c r="D109" s="1">
        <v>0.02</v>
      </c>
    </row>
    <row r="110" spans="1:6" x14ac:dyDescent="0.35">
      <c r="A110" t="s">
        <v>314</v>
      </c>
      <c r="B110" t="s">
        <v>315</v>
      </c>
      <c r="C110" t="s">
        <v>239</v>
      </c>
      <c r="D110" s="1">
        <v>0.02</v>
      </c>
    </row>
    <row r="111" spans="1:6" x14ac:dyDescent="0.35">
      <c r="A111" t="s">
        <v>316</v>
      </c>
      <c r="B111" t="s">
        <v>155</v>
      </c>
      <c r="C111" t="s">
        <v>317</v>
      </c>
      <c r="D111" s="1">
        <v>0.64</v>
      </c>
    </row>
    <row r="112" spans="1:6" x14ac:dyDescent="0.35">
      <c r="A112" t="s">
        <v>318</v>
      </c>
      <c r="B112" t="s">
        <v>242</v>
      </c>
      <c r="C112" t="s">
        <v>172</v>
      </c>
      <c r="D112" s="1">
        <v>0.5</v>
      </c>
      <c r="E112">
        <v>-1</v>
      </c>
      <c r="F112" t="s">
        <v>319</v>
      </c>
    </row>
    <row r="113" spans="1:4" x14ac:dyDescent="0.35">
      <c r="A113" t="s">
        <v>320</v>
      </c>
      <c r="B113" t="s">
        <v>321</v>
      </c>
      <c r="C113" t="s">
        <v>322</v>
      </c>
      <c r="D113" s="1">
        <v>0.47</v>
      </c>
    </row>
    <row r="114" spans="1:4" x14ac:dyDescent="0.35">
      <c r="A114" t="s">
        <v>323</v>
      </c>
    </row>
    <row r="115" spans="1:4" x14ac:dyDescent="0.35">
      <c r="A115" t="s">
        <v>323</v>
      </c>
    </row>
    <row r="116" spans="1:4" x14ac:dyDescent="0.35">
      <c r="A116" t="s">
        <v>323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D6A9-13FD-44FE-9006-36D692F7E8BD}">
  <sheetPr filterMode="1"/>
  <dimension ref="A1:J118"/>
  <sheetViews>
    <sheetView workbookViewId="0">
      <selection activeCell="D1" sqref="D1:D1048576"/>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7" width="9.6328125" customWidth="1"/>
    <col min="8"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16705</v>
      </c>
      <c r="H1" s="2" t="s">
        <v>16704</v>
      </c>
      <c r="I1" s="2" t="s">
        <v>16710</v>
      </c>
      <c r="J1" s="2" t="s">
        <v>16709</v>
      </c>
    </row>
    <row r="2" spans="1:10" hidden="1" x14ac:dyDescent="0.35">
      <c r="A2" s="4" t="s">
        <v>6</v>
      </c>
      <c r="B2" s="6">
        <v>950</v>
      </c>
      <c r="C2" s="6">
        <v>1525</v>
      </c>
      <c r="D2" s="1">
        <v>0.38</v>
      </c>
      <c r="E2">
        <v>2</v>
      </c>
      <c r="F2">
        <v>4.5</v>
      </c>
      <c r="G2" t="s">
        <v>16706</v>
      </c>
      <c r="H2" s="6">
        <f t="shared" ref="H2:H33" si="0">C2-B2</f>
        <v>575</v>
      </c>
    </row>
    <row r="3" spans="1:10" hidden="1" x14ac:dyDescent="0.35">
      <c r="A3" s="4" t="s">
        <v>10</v>
      </c>
      <c r="B3" s="6">
        <v>527</v>
      </c>
      <c r="C3" s="6">
        <v>999</v>
      </c>
      <c r="D3" s="1">
        <v>0.47</v>
      </c>
      <c r="E3">
        <v>14</v>
      </c>
      <c r="F3">
        <v>4.0999999999999996</v>
      </c>
      <c r="G3" t="s">
        <v>16707</v>
      </c>
      <c r="H3" s="6">
        <f t="shared" si="0"/>
        <v>472</v>
      </c>
    </row>
    <row r="4" spans="1:10" hidden="1" x14ac:dyDescent="0.35">
      <c r="A4" s="4" t="s">
        <v>14</v>
      </c>
      <c r="B4" s="6">
        <v>2199</v>
      </c>
      <c r="C4" s="6">
        <v>2923</v>
      </c>
      <c r="D4" s="1">
        <v>0.25</v>
      </c>
      <c r="E4">
        <v>24</v>
      </c>
      <c r="F4">
        <v>4.5999999999999996</v>
      </c>
      <c r="G4" t="s">
        <v>16706</v>
      </c>
      <c r="H4" s="6">
        <f t="shared" si="0"/>
        <v>724</v>
      </c>
    </row>
    <row r="5" spans="1:10" hidden="1" x14ac:dyDescent="0.35">
      <c r="A5" s="4" t="s">
        <v>18</v>
      </c>
      <c r="B5" s="6">
        <v>1580</v>
      </c>
      <c r="C5" s="6">
        <v>2499</v>
      </c>
      <c r="D5" s="1">
        <v>0.37</v>
      </c>
      <c r="E5">
        <v>7</v>
      </c>
      <c r="F5">
        <v>4.7</v>
      </c>
      <c r="G5" t="s">
        <v>16706</v>
      </c>
      <c r="H5" s="6">
        <f t="shared" si="0"/>
        <v>919</v>
      </c>
    </row>
    <row r="6" spans="1:10" hidden="1" x14ac:dyDescent="0.35">
      <c r="A6" s="4" t="s">
        <v>22</v>
      </c>
      <c r="B6" s="6">
        <v>1740</v>
      </c>
      <c r="C6" s="6">
        <v>2356</v>
      </c>
      <c r="D6" s="1">
        <v>0.26</v>
      </c>
      <c r="E6">
        <v>5</v>
      </c>
      <c r="F6">
        <v>4.8</v>
      </c>
      <c r="G6" t="s">
        <v>16706</v>
      </c>
      <c r="H6" s="6">
        <f t="shared" si="0"/>
        <v>616</v>
      </c>
    </row>
    <row r="7" spans="1:10" hidden="1" x14ac:dyDescent="0.35">
      <c r="A7" s="4" t="s">
        <v>26</v>
      </c>
      <c r="B7" s="6">
        <v>2999</v>
      </c>
      <c r="C7" s="6">
        <v>3290</v>
      </c>
      <c r="D7" s="1">
        <v>0.09</v>
      </c>
      <c r="E7">
        <v>15</v>
      </c>
      <c r="F7">
        <v>4</v>
      </c>
      <c r="G7" t="s">
        <v>16707</v>
      </c>
      <c r="H7" s="6">
        <f t="shared" si="0"/>
        <v>291</v>
      </c>
    </row>
    <row r="8" spans="1:10" hidden="1" x14ac:dyDescent="0.35">
      <c r="A8" s="4" t="s">
        <v>30</v>
      </c>
      <c r="B8" s="6">
        <v>2319</v>
      </c>
      <c r="C8" s="6">
        <v>3032</v>
      </c>
      <c r="D8" s="1">
        <v>0.24</v>
      </c>
      <c r="E8">
        <v>55</v>
      </c>
      <c r="F8">
        <v>4.5999999999999996</v>
      </c>
      <c r="G8" t="s">
        <v>16706</v>
      </c>
      <c r="H8" s="6">
        <f t="shared" si="0"/>
        <v>713</v>
      </c>
    </row>
    <row r="9" spans="1:10" hidden="1" x14ac:dyDescent="0.35">
      <c r="A9" s="4" t="s">
        <v>33</v>
      </c>
      <c r="B9" s="6">
        <v>988</v>
      </c>
      <c r="C9" s="6">
        <v>1580</v>
      </c>
      <c r="D9" s="1">
        <v>0.37</v>
      </c>
      <c r="E9">
        <v>2</v>
      </c>
      <c r="F9">
        <v>4</v>
      </c>
      <c r="G9" t="s">
        <v>16707</v>
      </c>
      <c r="H9" s="6">
        <f t="shared" si="0"/>
        <v>592</v>
      </c>
    </row>
    <row r="10" spans="1:10" x14ac:dyDescent="0.35">
      <c r="A10" s="4" t="s">
        <v>35</v>
      </c>
      <c r="B10" s="6">
        <v>1274</v>
      </c>
      <c r="C10" s="6">
        <v>2800</v>
      </c>
      <c r="D10" s="1">
        <v>0.55000000000000004</v>
      </c>
      <c r="E10">
        <v>5</v>
      </c>
      <c r="F10">
        <v>4.8</v>
      </c>
      <c r="G10" t="s">
        <v>16706</v>
      </c>
      <c r="H10" s="6">
        <f t="shared" si="0"/>
        <v>1526</v>
      </c>
    </row>
    <row r="11" spans="1:10" hidden="1" x14ac:dyDescent="0.35">
      <c r="A11" s="4" t="s">
        <v>38</v>
      </c>
      <c r="B11" s="6">
        <v>1600</v>
      </c>
      <c r="C11" s="6">
        <v>2929</v>
      </c>
      <c r="D11" s="1">
        <v>0.45</v>
      </c>
      <c r="E11">
        <v>5</v>
      </c>
      <c r="F11">
        <v>3.8</v>
      </c>
      <c r="G11" t="s">
        <v>16707</v>
      </c>
      <c r="H11" s="6">
        <f t="shared" si="0"/>
        <v>1329</v>
      </c>
    </row>
    <row r="12" spans="1:10" hidden="1" x14ac:dyDescent="0.35">
      <c r="A12" s="4" t="s">
        <v>42</v>
      </c>
      <c r="B12" s="6">
        <v>799</v>
      </c>
      <c r="C12" s="6">
        <v>999</v>
      </c>
      <c r="D12" s="1">
        <v>0.2</v>
      </c>
      <c r="E12">
        <v>12</v>
      </c>
      <c r="F12">
        <v>4.0999999999999996</v>
      </c>
      <c r="G12" t="s">
        <v>16707</v>
      </c>
      <c r="H12" s="6">
        <f t="shared" si="0"/>
        <v>200</v>
      </c>
    </row>
    <row r="13" spans="1:10" hidden="1" x14ac:dyDescent="0.35">
      <c r="A13" s="4" t="s">
        <v>44</v>
      </c>
      <c r="B13" s="6">
        <v>990</v>
      </c>
      <c r="C13" s="6">
        <v>1500</v>
      </c>
      <c r="D13" s="1">
        <v>0.34</v>
      </c>
      <c r="E13">
        <v>39</v>
      </c>
      <c r="F13">
        <v>4.7</v>
      </c>
      <c r="G13" t="s">
        <v>16706</v>
      </c>
      <c r="H13" s="6">
        <f t="shared" si="0"/>
        <v>510</v>
      </c>
    </row>
    <row r="14" spans="1:10" hidden="1" x14ac:dyDescent="0.35">
      <c r="A14" s="4" t="s">
        <v>47</v>
      </c>
      <c r="B14" s="6">
        <v>552</v>
      </c>
      <c r="C14" s="6">
        <v>1035</v>
      </c>
      <c r="D14" s="1">
        <v>0.47</v>
      </c>
      <c r="E14">
        <v>12</v>
      </c>
      <c r="F14">
        <v>4.8</v>
      </c>
      <c r="G14" t="s">
        <v>16706</v>
      </c>
      <c r="H14" s="6">
        <f t="shared" si="0"/>
        <v>483</v>
      </c>
    </row>
    <row r="15" spans="1:10" hidden="1" x14ac:dyDescent="0.35">
      <c r="A15" s="4" t="s">
        <v>50</v>
      </c>
      <c r="B15" s="6">
        <v>501</v>
      </c>
      <c r="C15" s="6">
        <v>860</v>
      </c>
      <c r="D15" s="1">
        <v>0.42</v>
      </c>
      <c r="E15">
        <v>6</v>
      </c>
      <c r="F15">
        <v>4.5</v>
      </c>
      <c r="G15" t="s">
        <v>16706</v>
      </c>
      <c r="H15" s="6">
        <f t="shared" si="0"/>
        <v>359</v>
      </c>
    </row>
    <row r="16" spans="1:10" hidden="1" x14ac:dyDescent="0.35">
      <c r="A16" s="4" t="s">
        <v>53</v>
      </c>
      <c r="B16" s="6">
        <v>1680</v>
      </c>
      <c r="C16" s="6">
        <v>2499</v>
      </c>
      <c r="D16" s="1">
        <v>0.33</v>
      </c>
      <c r="E16">
        <v>9</v>
      </c>
      <c r="F16">
        <v>4.2</v>
      </c>
      <c r="G16" t="s">
        <v>16707</v>
      </c>
      <c r="H16" s="6">
        <f t="shared" si="0"/>
        <v>819</v>
      </c>
    </row>
    <row r="17" spans="1:8" hidden="1" x14ac:dyDescent="0.35">
      <c r="A17" s="4" t="s">
        <v>56</v>
      </c>
      <c r="B17" s="6">
        <v>332</v>
      </c>
      <c r="C17" s="6">
        <v>684</v>
      </c>
      <c r="D17" s="1">
        <v>0.51</v>
      </c>
      <c r="E17">
        <v>2</v>
      </c>
      <c r="F17">
        <v>5</v>
      </c>
      <c r="G17" t="s">
        <v>16706</v>
      </c>
      <c r="H17" s="6">
        <f t="shared" si="0"/>
        <v>352</v>
      </c>
    </row>
    <row r="18" spans="1:8" hidden="1" x14ac:dyDescent="0.35">
      <c r="A18" s="4" t="s">
        <v>60</v>
      </c>
      <c r="B18" s="6">
        <v>195</v>
      </c>
      <c r="C18" s="6">
        <v>360</v>
      </c>
      <c r="D18" s="1">
        <v>0.46</v>
      </c>
      <c r="E18">
        <v>2</v>
      </c>
      <c r="F18">
        <v>5</v>
      </c>
      <c r="G18" t="s">
        <v>16706</v>
      </c>
      <c r="H18" s="6">
        <f t="shared" si="0"/>
        <v>165</v>
      </c>
    </row>
    <row r="19" spans="1:8" hidden="1" x14ac:dyDescent="0.35">
      <c r="A19" s="4" t="s">
        <v>63</v>
      </c>
      <c r="B19" s="6">
        <v>2025</v>
      </c>
      <c r="C19" s="6">
        <v>3971</v>
      </c>
      <c r="D19" s="1">
        <v>0.49</v>
      </c>
      <c r="E19">
        <v>3</v>
      </c>
      <c r="F19">
        <v>5</v>
      </c>
      <c r="G19" t="s">
        <v>16706</v>
      </c>
      <c r="H19" s="6">
        <f t="shared" si="0"/>
        <v>1946</v>
      </c>
    </row>
    <row r="20" spans="1:8" hidden="1" x14ac:dyDescent="0.35">
      <c r="A20" s="4" t="s">
        <v>66</v>
      </c>
      <c r="B20" s="6">
        <v>2999</v>
      </c>
      <c r="C20" s="6">
        <v>3699</v>
      </c>
      <c r="D20" s="1">
        <v>0.19</v>
      </c>
      <c r="E20">
        <v>5</v>
      </c>
      <c r="F20">
        <v>4.5999999999999996</v>
      </c>
      <c r="G20" t="s">
        <v>16706</v>
      </c>
      <c r="H20" s="6">
        <f t="shared" si="0"/>
        <v>700</v>
      </c>
    </row>
    <row r="21" spans="1:8" hidden="1" x14ac:dyDescent="0.35">
      <c r="A21" s="4" t="s">
        <v>68</v>
      </c>
      <c r="B21" s="6">
        <v>998</v>
      </c>
      <c r="C21" s="6">
        <v>1966</v>
      </c>
      <c r="D21" s="1">
        <v>0.49</v>
      </c>
      <c r="E21">
        <v>44</v>
      </c>
      <c r="F21">
        <v>4.5999999999999996</v>
      </c>
      <c r="G21" t="s">
        <v>16706</v>
      </c>
      <c r="H21" s="6">
        <f t="shared" si="0"/>
        <v>968</v>
      </c>
    </row>
    <row r="22" spans="1:8" x14ac:dyDescent="0.35">
      <c r="A22" s="4" t="s">
        <v>71</v>
      </c>
      <c r="B22" s="6">
        <v>38</v>
      </c>
      <c r="C22" s="6">
        <v>80</v>
      </c>
      <c r="D22" s="1">
        <v>0.53</v>
      </c>
      <c r="E22">
        <v>13</v>
      </c>
      <c r="F22">
        <v>3.3</v>
      </c>
      <c r="G22" t="s">
        <v>16707</v>
      </c>
      <c r="H22" s="6">
        <f t="shared" si="0"/>
        <v>42</v>
      </c>
    </row>
    <row r="23" spans="1:8" hidden="1" x14ac:dyDescent="0.35">
      <c r="A23" s="4" t="s">
        <v>75</v>
      </c>
      <c r="B23" s="6">
        <v>1860</v>
      </c>
      <c r="C23" s="6">
        <v>3220</v>
      </c>
      <c r="D23" s="1">
        <v>0.42</v>
      </c>
      <c r="E23" t="s">
        <v>16703</v>
      </c>
      <c r="F23" t="s">
        <v>16703</v>
      </c>
      <c r="H23" s="6">
        <f t="shared" si="0"/>
        <v>1360</v>
      </c>
    </row>
    <row r="24" spans="1:8" hidden="1" x14ac:dyDescent="0.35">
      <c r="A24" s="4" t="s">
        <v>78</v>
      </c>
      <c r="B24" s="6">
        <v>880</v>
      </c>
      <c r="C24" s="6">
        <v>1350</v>
      </c>
      <c r="D24" s="1">
        <v>0.35</v>
      </c>
      <c r="E24">
        <v>6</v>
      </c>
      <c r="F24">
        <v>4</v>
      </c>
      <c r="G24" t="s">
        <v>16707</v>
      </c>
      <c r="H24" s="6">
        <f t="shared" si="0"/>
        <v>470</v>
      </c>
    </row>
    <row r="25" spans="1:8" hidden="1" x14ac:dyDescent="0.35">
      <c r="A25" s="4" t="s">
        <v>81</v>
      </c>
      <c r="B25" s="6">
        <v>1650</v>
      </c>
      <c r="C25" s="6">
        <v>2150</v>
      </c>
      <c r="D25" s="1">
        <v>0.23</v>
      </c>
      <c r="E25">
        <v>14</v>
      </c>
      <c r="F25">
        <v>4.4000000000000004</v>
      </c>
      <c r="G25" t="s">
        <v>16707</v>
      </c>
      <c r="H25" s="6">
        <f t="shared" si="0"/>
        <v>500</v>
      </c>
    </row>
    <row r="26" spans="1:8" x14ac:dyDescent="0.35">
      <c r="A26" s="4" t="s">
        <v>85</v>
      </c>
      <c r="B26" s="6">
        <v>2048</v>
      </c>
      <c r="C26" s="6">
        <v>4500</v>
      </c>
      <c r="D26" s="1">
        <v>0.54</v>
      </c>
      <c r="E26">
        <v>7</v>
      </c>
      <c r="F26">
        <v>4.3</v>
      </c>
      <c r="G26" t="s">
        <v>16707</v>
      </c>
      <c r="H26" s="6">
        <f t="shared" si="0"/>
        <v>2452</v>
      </c>
    </row>
    <row r="27" spans="1:8" hidden="1" x14ac:dyDescent="0.35">
      <c r="A27" s="4" t="s">
        <v>89</v>
      </c>
      <c r="B27" s="6">
        <v>420</v>
      </c>
      <c r="C27" s="6">
        <v>647</v>
      </c>
      <c r="D27" s="1">
        <v>0.35</v>
      </c>
      <c r="E27">
        <v>49</v>
      </c>
      <c r="F27">
        <v>4.5999999999999996</v>
      </c>
      <c r="G27" t="s">
        <v>16706</v>
      </c>
      <c r="H27" s="6">
        <f t="shared" si="0"/>
        <v>227</v>
      </c>
    </row>
    <row r="28" spans="1:8" hidden="1" x14ac:dyDescent="0.35">
      <c r="A28" s="4" t="s">
        <v>92</v>
      </c>
      <c r="B28" s="6">
        <v>2880</v>
      </c>
      <c r="C28" s="6">
        <v>3520</v>
      </c>
      <c r="D28" s="1">
        <v>0.18</v>
      </c>
      <c r="E28">
        <v>12</v>
      </c>
      <c r="F28">
        <v>3.8</v>
      </c>
      <c r="G28" t="s">
        <v>16707</v>
      </c>
      <c r="H28" s="6">
        <f t="shared" si="0"/>
        <v>640</v>
      </c>
    </row>
    <row r="29" spans="1:8" hidden="1" x14ac:dyDescent="0.35">
      <c r="A29" s="4" t="s">
        <v>95</v>
      </c>
      <c r="B29" s="6">
        <v>1350</v>
      </c>
      <c r="C29" s="6">
        <v>1990</v>
      </c>
      <c r="D29" s="1">
        <v>0.32</v>
      </c>
      <c r="E29">
        <v>13</v>
      </c>
      <c r="F29">
        <v>3.8</v>
      </c>
      <c r="G29" t="s">
        <v>16707</v>
      </c>
      <c r="H29" s="6">
        <f t="shared" si="0"/>
        <v>640</v>
      </c>
    </row>
    <row r="30" spans="1:8" hidden="1" x14ac:dyDescent="0.35">
      <c r="A30" s="4" t="s">
        <v>97</v>
      </c>
      <c r="B30" s="6">
        <v>1758</v>
      </c>
      <c r="C30" s="6">
        <v>2499</v>
      </c>
      <c r="D30" s="1">
        <v>0.3</v>
      </c>
      <c r="E30">
        <v>20</v>
      </c>
      <c r="F30">
        <v>4.0999999999999996</v>
      </c>
      <c r="G30" t="s">
        <v>16707</v>
      </c>
      <c r="H30" s="6">
        <f t="shared" si="0"/>
        <v>741</v>
      </c>
    </row>
    <row r="31" spans="1:8" hidden="1" x14ac:dyDescent="0.35">
      <c r="A31" s="4" t="s">
        <v>99</v>
      </c>
      <c r="B31" s="6">
        <v>2200</v>
      </c>
      <c r="C31" s="6">
        <v>4080</v>
      </c>
      <c r="D31" s="1">
        <v>0.46</v>
      </c>
      <c r="E31" t="s">
        <v>16703</v>
      </c>
      <c r="F31" t="s">
        <v>16703</v>
      </c>
      <c r="H31" s="6">
        <f t="shared" si="0"/>
        <v>1880</v>
      </c>
    </row>
    <row r="32" spans="1:8" x14ac:dyDescent="0.35">
      <c r="A32" s="4" t="s">
        <v>102</v>
      </c>
      <c r="B32" s="6">
        <v>185</v>
      </c>
      <c r="C32" s="6">
        <v>382</v>
      </c>
      <c r="D32" s="1">
        <v>0.52</v>
      </c>
      <c r="E32">
        <v>9</v>
      </c>
      <c r="F32">
        <v>4.3</v>
      </c>
      <c r="G32" t="s">
        <v>16707</v>
      </c>
      <c r="H32" s="6">
        <f t="shared" si="0"/>
        <v>197</v>
      </c>
    </row>
    <row r="33" spans="1:8" hidden="1" x14ac:dyDescent="0.35">
      <c r="A33" s="4" t="s">
        <v>105</v>
      </c>
      <c r="B33" s="6">
        <v>980</v>
      </c>
      <c r="C33" s="6">
        <v>1490</v>
      </c>
      <c r="D33" s="1">
        <v>0.34</v>
      </c>
      <c r="E33">
        <v>12</v>
      </c>
      <c r="F33">
        <v>4.7</v>
      </c>
      <c r="G33" t="s">
        <v>16706</v>
      </c>
      <c r="H33" s="6">
        <f t="shared" si="0"/>
        <v>510</v>
      </c>
    </row>
    <row r="34" spans="1:8" hidden="1" x14ac:dyDescent="0.35">
      <c r="A34" s="4" t="s">
        <v>108</v>
      </c>
      <c r="B34" s="6">
        <v>1820</v>
      </c>
      <c r="C34" s="6">
        <v>3490</v>
      </c>
      <c r="D34" s="1">
        <v>0.48</v>
      </c>
      <c r="E34">
        <v>9</v>
      </c>
      <c r="F34">
        <v>4.3</v>
      </c>
      <c r="G34" t="s">
        <v>16707</v>
      </c>
      <c r="H34" s="6">
        <f t="shared" ref="H34:H66" si="1">C34-B34</f>
        <v>1670</v>
      </c>
    </row>
    <row r="35" spans="1:8" hidden="1" x14ac:dyDescent="0.35">
      <c r="A35" s="4" t="s">
        <v>111</v>
      </c>
      <c r="B35" s="6">
        <v>1940</v>
      </c>
      <c r="C35" s="6">
        <v>2650</v>
      </c>
      <c r="D35" s="1">
        <v>0.27</v>
      </c>
      <c r="E35">
        <v>20</v>
      </c>
      <c r="F35">
        <v>4.7</v>
      </c>
      <c r="G35" t="s">
        <v>16706</v>
      </c>
      <c r="H35" s="6">
        <f t="shared" si="1"/>
        <v>710</v>
      </c>
    </row>
    <row r="36" spans="1:8" hidden="1" x14ac:dyDescent="0.35">
      <c r="A36" s="4" t="s">
        <v>114</v>
      </c>
      <c r="B36" s="6">
        <v>1980</v>
      </c>
      <c r="C36" s="6">
        <v>2699</v>
      </c>
      <c r="D36" s="1">
        <v>0.27</v>
      </c>
      <c r="E36">
        <v>32</v>
      </c>
      <c r="F36">
        <v>4.5</v>
      </c>
      <c r="G36" t="s">
        <v>16706</v>
      </c>
      <c r="H36" s="6">
        <f t="shared" si="1"/>
        <v>719</v>
      </c>
    </row>
    <row r="37" spans="1:8" hidden="1" x14ac:dyDescent="0.35">
      <c r="A37" s="4" t="s">
        <v>117</v>
      </c>
      <c r="B37" s="6">
        <v>1620</v>
      </c>
      <c r="C37" s="6">
        <v>2690</v>
      </c>
      <c r="D37" s="1">
        <v>0.4</v>
      </c>
      <c r="E37">
        <v>1</v>
      </c>
      <c r="F37">
        <v>5</v>
      </c>
      <c r="G37" t="s">
        <v>16706</v>
      </c>
      <c r="H37" s="6">
        <f t="shared" si="1"/>
        <v>1070</v>
      </c>
    </row>
    <row r="38" spans="1:8" x14ac:dyDescent="0.35">
      <c r="A38" s="4" t="s">
        <v>120</v>
      </c>
      <c r="B38" s="6">
        <v>171</v>
      </c>
      <c r="C38" s="6">
        <v>360</v>
      </c>
      <c r="D38" s="1">
        <v>0.53</v>
      </c>
      <c r="E38">
        <v>2</v>
      </c>
      <c r="F38">
        <v>5</v>
      </c>
      <c r="G38" t="s">
        <v>16706</v>
      </c>
      <c r="H38" s="6">
        <f t="shared" si="1"/>
        <v>189</v>
      </c>
    </row>
    <row r="39" spans="1:8" hidden="1" x14ac:dyDescent="0.35">
      <c r="A39" s="4" t="s">
        <v>122</v>
      </c>
      <c r="B39" s="6">
        <v>389</v>
      </c>
      <c r="C39" s="6">
        <v>656</v>
      </c>
      <c r="D39" s="1">
        <v>0.41</v>
      </c>
      <c r="E39">
        <v>36</v>
      </c>
      <c r="F39">
        <v>4.3</v>
      </c>
      <c r="G39" t="s">
        <v>16707</v>
      </c>
      <c r="H39" s="6">
        <f t="shared" si="1"/>
        <v>267</v>
      </c>
    </row>
    <row r="40" spans="1:8" hidden="1" x14ac:dyDescent="0.35">
      <c r="A40" s="4" t="s">
        <v>125</v>
      </c>
      <c r="B40" s="6">
        <v>1980</v>
      </c>
      <c r="C40" s="6">
        <v>3200</v>
      </c>
      <c r="D40" s="1">
        <v>0.38</v>
      </c>
      <c r="E40">
        <v>2</v>
      </c>
      <c r="F40">
        <v>4.5</v>
      </c>
      <c r="G40" t="s">
        <v>16706</v>
      </c>
      <c r="H40" s="6">
        <f t="shared" si="1"/>
        <v>1220</v>
      </c>
    </row>
    <row r="41" spans="1:8" hidden="1" x14ac:dyDescent="0.35">
      <c r="A41" s="4" t="s">
        <v>128</v>
      </c>
      <c r="B41" s="6">
        <v>2750</v>
      </c>
      <c r="C41" s="6">
        <v>4471</v>
      </c>
      <c r="D41" s="1">
        <v>0.38</v>
      </c>
      <c r="E41" t="s">
        <v>16703</v>
      </c>
      <c r="F41" t="s">
        <v>16703</v>
      </c>
      <c r="H41" s="6">
        <f t="shared" si="1"/>
        <v>1721</v>
      </c>
    </row>
    <row r="42" spans="1:8" hidden="1" x14ac:dyDescent="0.35">
      <c r="A42" s="4" t="s">
        <v>131</v>
      </c>
      <c r="B42" s="6">
        <v>475</v>
      </c>
      <c r="C42" s="6">
        <v>931</v>
      </c>
      <c r="D42" s="1">
        <v>0.49</v>
      </c>
      <c r="E42" t="s">
        <v>16703</v>
      </c>
      <c r="F42" t="s">
        <v>16703</v>
      </c>
      <c r="H42" s="6">
        <f t="shared" si="1"/>
        <v>456</v>
      </c>
    </row>
    <row r="43" spans="1:8" hidden="1" x14ac:dyDescent="0.35">
      <c r="A43" s="4" t="s">
        <v>134</v>
      </c>
      <c r="B43" s="6">
        <v>238</v>
      </c>
      <c r="C43" s="6">
        <v>476</v>
      </c>
      <c r="D43" s="1">
        <v>0.5</v>
      </c>
      <c r="E43" t="s">
        <v>16703</v>
      </c>
      <c r="F43" t="s">
        <v>16703</v>
      </c>
      <c r="H43" s="6">
        <f t="shared" si="1"/>
        <v>238</v>
      </c>
    </row>
    <row r="44" spans="1:8" hidden="1" x14ac:dyDescent="0.35">
      <c r="A44" s="4" t="s">
        <v>137</v>
      </c>
      <c r="B44" s="6">
        <v>610</v>
      </c>
      <c r="C44" s="6">
        <v>1060</v>
      </c>
      <c r="D44" s="1">
        <v>0.42</v>
      </c>
      <c r="E44" t="s">
        <v>16703</v>
      </c>
      <c r="F44" t="s">
        <v>16703</v>
      </c>
      <c r="H44" s="6">
        <f t="shared" si="1"/>
        <v>450</v>
      </c>
    </row>
    <row r="45" spans="1:8" hidden="1" x14ac:dyDescent="0.35">
      <c r="A45" s="4" t="s">
        <v>140</v>
      </c>
      <c r="B45" s="6">
        <v>2132</v>
      </c>
      <c r="C45" s="6">
        <v>2169</v>
      </c>
      <c r="D45" s="1">
        <v>0.02</v>
      </c>
      <c r="E45" t="s">
        <v>16703</v>
      </c>
      <c r="F45" t="s">
        <v>16703</v>
      </c>
      <c r="H45" s="6">
        <f t="shared" si="1"/>
        <v>37</v>
      </c>
    </row>
    <row r="46" spans="1:8" hidden="1" x14ac:dyDescent="0.35">
      <c r="A46" s="4" t="s">
        <v>143</v>
      </c>
      <c r="B46" s="6">
        <v>999</v>
      </c>
      <c r="C46" s="6">
        <v>2000</v>
      </c>
      <c r="D46" s="1">
        <v>0.5</v>
      </c>
      <c r="E46" t="s">
        <v>16703</v>
      </c>
      <c r="F46" t="s">
        <v>16703</v>
      </c>
      <c r="H46" s="6">
        <f t="shared" si="1"/>
        <v>1001</v>
      </c>
    </row>
    <row r="47" spans="1:8" hidden="1" x14ac:dyDescent="0.35">
      <c r="A47" s="4" t="s">
        <v>145</v>
      </c>
      <c r="B47" s="6">
        <v>1190</v>
      </c>
      <c r="C47" s="6">
        <v>1785</v>
      </c>
      <c r="D47" s="1">
        <v>0.33</v>
      </c>
      <c r="E47" t="s">
        <v>16703</v>
      </c>
      <c r="F47" t="s">
        <v>16703</v>
      </c>
      <c r="H47" s="6">
        <f t="shared" si="1"/>
        <v>595</v>
      </c>
    </row>
    <row r="48" spans="1:8" hidden="1" x14ac:dyDescent="0.35">
      <c r="A48" s="4" t="s">
        <v>148</v>
      </c>
      <c r="B48" s="6">
        <v>671</v>
      </c>
      <c r="C48" s="6">
        <v>1316</v>
      </c>
      <c r="D48" s="1">
        <v>0.49</v>
      </c>
      <c r="E48" t="s">
        <v>16703</v>
      </c>
      <c r="F48" t="s">
        <v>16703</v>
      </c>
      <c r="H48" s="6">
        <f t="shared" si="1"/>
        <v>645</v>
      </c>
    </row>
    <row r="49" spans="1:8" hidden="1" x14ac:dyDescent="0.35">
      <c r="A49" s="4" t="s">
        <v>151</v>
      </c>
      <c r="B49" s="6">
        <v>1200</v>
      </c>
      <c r="C49" s="6">
        <v>1950</v>
      </c>
      <c r="D49" s="1">
        <v>0.38</v>
      </c>
      <c r="E49" t="s">
        <v>16703</v>
      </c>
      <c r="F49" t="s">
        <v>16703</v>
      </c>
      <c r="H49" s="6">
        <f t="shared" si="1"/>
        <v>750</v>
      </c>
    </row>
    <row r="50" spans="1:8" x14ac:dyDescent="0.35">
      <c r="A50" s="4" t="s">
        <v>154</v>
      </c>
      <c r="B50" s="6">
        <v>199</v>
      </c>
      <c r="C50" s="6">
        <v>504</v>
      </c>
      <c r="D50" s="1">
        <v>0.61</v>
      </c>
      <c r="E50" t="s">
        <v>16703</v>
      </c>
      <c r="F50" t="s">
        <v>16703</v>
      </c>
      <c r="H50" s="6">
        <f t="shared" si="1"/>
        <v>305</v>
      </c>
    </row>
    <row r="51" spans="1:8" hidden="1" x14ac:dyDescent="0.35">
      <c r="A51" s="4" t="s">
        <v>157</v>
      </c>
      <c r="B51" s="6">
        <v>299</v>
      </c>
      <c r="C51" s="6">
        <v>600</v>
      </c>
      <c r="D51" s="1">
        <v>0.5</v>
      </c>
      <c r="E51" t="s">
        <v>16703</v>
      </c>
      <c r="F51" t="s">
        <v>16703</v>
      </c>
      <c r="H51" s="6">
        <f t="shared" si="1"/>
        <v>301</v>
      </c>
    </row>
    <row r="52" spans="1:8" hidden="1" x14ac:dyDescent="0.35">
      <c r="A52" s="4" t="s">
        <v>160</v>
      </c>
      <c r="B52" s="6">
        <v>1660</v>
      </c>
      <c r="C52" s="6">
        <v>1699</v>
      </c>
      <c r="D52" s="1">
        <v>0.02</v>
      </c>
      <c r="E52" t="s">
        <v>16703</v>
      </c>
      <c r="F52" t="s">
        <v>16703</v>
      </c>
      <c r="H52" s="6">
        <f t="shared" si="1"/>
        <v>39</v>
      </c>
    </row>
    <row r="53" spans="1:8" hidden="1" x14ac:dyDescent="0.35">
      <c r="A53" s="4" t="s">
        <v>163</v>
      </c>
      <c r="B53" s="6">
        <v>299</v>
      </c>
      <c r="C53" s="6">
        <v>384</v>
      </c>
      <c r="D53" s="1">
        <v>0.22</v>
      </c>
      <c r="E53" t="s">
        <v>16703</v>
      </c>
      <c r="F53" t="s">
        <v>16703</v>
      </c>
      <c r="H53" s="6">
        <f t="shared" si="1"/>
        <v>85</v>
      </c>
    </row>
    <row r="54" spans="1:8" hidden="1" x14ac:dyDescent="0.35">
      <c r="A54" s="4" t="s">
        <v>165</v>
      </c>
      <c r="B54" s="6">
        <v>1459</v>
      </c>
      <c r="C54" s="6">
        <v>1499</v>
      </c>
      <c r="D54" s="1">
        <v>0.03</v>
      </c>
      <c r="E54" t="s">
        <v>16703</v>
      </c>
      <c r="F54" t="s">
        <v>16703</v>
      </c>
      <c r="H54" s="6">
        <f t="shared" si="1"/>
        <v>40</v>
      </c>
    </row>
    <row r="55" spans="1:8" hidden="1" x14ac:dyDescent="0.35">
      <c r="A55" s="4" t="s">
        <v>168</v>
      </c>
      <c r="B55" s="6">
        <v>799</v>
      </c>
      <c r="C55" s="6">
        <v>1343</v>
      </c>
      <c r="D55" s="1">
        <v>0.41</v>
      </c>
      <c r="E55" t="s">
        <v>16703</v>
      </c>
      <c r="F55" t="s">
        <v>16703</v>
      </c>
      <c r="H55" s="6">
        <f t="shared" si="1"/>
        <v>544</v>
      </c>
    </row>
    <row r="56" spans="1:8" hidden="1" x14ac:dyDescent="0.35">
      <c r="A56" s="4" t="s">
        <v>170</v>
      </c>
      <c r="B56" s="6">
        <v>499</v>
      </c>
      <c r="C56" s="6">
        <v>900</v>
      </c>
      <c r="D56" s="1">
        <v>0.45</v>
      </c>
      <c r="E56" t="s">
        <v>16703</v>
      </c>
      <c r="F56" t="s">
        <v>16703</v>
      </c>
      <c r="H56" s="6">
        <f t="shared" si="1"/>
        <v>401</v>
      </c>
    </row>
    <row r="57" spans="1:8" hidden="1" x14ac:dyDescent="0.35">
      <c r="A57" s="4" t="s">
        <v>173</v>
      </c>
      <c r="B57" s="6">
        <v>699</v>
      </c>
      <c r="C57" s="6">
        <v>1343</v>
      </c>
      <c r="D57" s="1">
        <v>0.48</v>
      </c>
      <c r="E57" t="s">
        <v>16703</v>
      </c>
      <c r="F57" t="s">
        <v>16703</v>
      </c>
      <c r="H57" s="6">
        <f t="shared" si="1"/>
        <v>644</v>
      </c>
    </row>
    <row r="58" spans="1:8" hidden="1" x14ac:dyDescent="0.35">
      <c r="A58" s="4" t="s">
        <v>175</v>
      </c>
      <c r="B58" s="6">
        <v>799</v>
      </c>
      <c r="C58" s="6">
        <v>1567</v>
      </c>
      <c r="D58" s="1">
        <v>0.49</v>
      </c>
      <c r="E58" t="s">
        <v>16703</v>
      </c>
      <c r="F58" t="s">
        <v>16703</v>
      </c>
      <c r="H58" s="6">
        <f t="shared" si="1"/>
        <v>768</v>
      </c>
    </row>
    <row r="59" spans="1:8" hidden="1" x14ac:dyDescent="0.35">
      <c r="A59" s="4" t="s">
        <v>177</v>
      </c>
      <c r="B59" s="6">
        <v>2799</v>
      </c>
      <c r="C59" s="6">
        <v>3810</v>
      </c>
      <c r="D59" s="1">
        <v>0.27</v>
      </c>
      <c r="E59" t="s">
        <v>16703</v>
      </c>
      <c r="F59" t="s">
        <v>16703</v>
      </c>
      <c r="H59" s="6">
        <f t="shared" si="1"/>
        <v>1011</v>
      </c>
    </row>
    <row r="60" spans="1:8" x14ac:dyDescent="0.35">
      <c r="A60" s="4" t="s">
        <v>170</v>
      </c>
      <c r="B60" s="6">
        <v>399</v>
      </c>
      <c r="C60" s="6">
        <v>896</v>
      </c>
      <c r="D60" s="1">
        <v>0.55000000000000004</v>
      </c>
      <c r="E60" t="s">
        <v>16703</v>
      </c>
      <c r="F60" t="s">
        <v>16703</v>
      </c>
      <c r="H60" s="6">
        <f t="shared" si="1"/>
        <v>497</v>
      </c>
    </row>
    <row r="61" spans="1:8" hidden="1" x14ac:dyDescent="0.35">
      <c r="A61" s="4" t="s">
        <v>182</v>
      </c>
      <c r="B61" s="6">
        <v>2170</v>
      </c>
      <c r="C61" s="6">
        <v>2500</v>
      </c>
      <c r="D61" s="1">
        <v>0.13</v>
      </c>
      <c r="E61">
        <v>6</v>
      </c>
      <c r="F61">
        <v>2.5</v>
      </c>
      <c r="G61" t="s">
        <v>16708</v>
      </c>
      <c r="H61" s="6">
        <f t="shared" si="1"/>
        <v>330</v>
      </c>
    </row>
    <row r="62" spans="1:8" x14ac:dyDescent="0.35">
      <c r="A62" s="4" t="s">
        <v>186</v>
      </c>
      <c r="B62" s="6">
        <v>458</v>
      </c>
      <c r="C62" s="6">
        <v>986</v>
      </c>
      <c r="D62" s="1">
        <v>0.54</v>
      </c>
      <c r="E62">
        <v>10</v>
      </c>
      <c r="F62">
        <v>3</v>
      </c>
      <c r="G62" t="s">
        <v>16707</v>
      </c>
      <c r="H62" s="6">
        <f t="shared" si="1"/>
        <v>528</v>
      </c>
    </row>
    <row r="63" spans="1:8" x14ac:dyDescent="0.35">
      <c r="A63" s="4" t="s">
        <v>190</v>
      </c>
      <c r="B63" s="6">
        <v>2115</v>
      </c>
      <c r="C63" s="6">
        <v>4700</v>
      </c>
      <c r="D63" s="1">
        <v>0.55000000000000004</v>
      </c>
      <c r="E63">
        <v>13</v>
      </c>
      <c r="F63">
        <v>2.1</v>
      </c>
      <c r="G63" t="s">
        <v>16708</v>
      </c>
      <c r="H63" s="6">
        <f t="shared" si="1"/>
        <v>2585</v>
      </c>
    </row>
    <row r="64" spans="1:8" hidden="1" x14ac:dyDescent="0.35">
      <c r="A64" s="4" t="s">
        <v>194</v>
      </c>
      <c r="B64" s="6">
        <v>445</v>
      </c>
      <c r="C64" s="6">
        <v>873</v>
      </c>
      <c r="D64" s="1">
        <v>0.49</v>
      </c>
      <c r="E64">
        <v>69</v>
      </c>
      <c r="F64">
        <v>2.8</v>
      </c>
      <c r="G64" t="s">
        <v>16708</v>
      </c>
      <c r="H64" s="6">
        <f t="shared" si="1"/>
        <v>428</v>
      </c>
    </row>
    <row r="65" spans="1:8" x14ac:dyDescent="0.35">
      <c r="A65" s="4" t="s">
        <v>198</v>
      </c>
      <c r="B65" s="6">
        <v>325</v>
      </c>
      <c r="C65" s="6">
        <v>680</v>
      </c>
      <c r="D65" s="1">
        <v>0.52</v>
      </c>
      <c r="E65">
        <v>15</v>
      </c>
      <c r="F65">
        <v>2.7</v>
      </c>
      <c r="G65" t="s">
        <v>16708</v>
      </c>
      <c r="H65" s="6">
        <f t="shared" si="1"/>
        <v>355</v>
      </c>
    </row>
    <row r="66" spans="1:8" hidden="1" x14ac:dyDescent="0.35">
      <c r="A66" s="4" t="s">
        <v>202</v>
      </c>
      <c r="B66" s="6">
        <v>1220</v>
      </c>
      <c r="C66" s="6">
        <v>1555</v>
      </c>
      <c r="D66" s="1">
        <v>0.22</v>
      </c>
      <c r="E66">
        <v>16</v>
      </c>
      <c r="F66">
        <v>2.9</v>
      </c>
      <c r="G66" t="s">
        <v>16708</v>
      </c>
      <c r="H66" s="6">
        <f t="shared" si="1"/>
        <v>335</v>
      </c>
    </row>
    <row r="67" spans="1:8" hidden="1" x14ac:dyDescent="0.35">
      <c r="A67" s="4" t="s">
        <v>206</v>
      </c>
      <c r="B67" s="6">
        <v>990</v>
      </c>
      <c r="C67" s="6">
        <v>1814</v>
      </c>
      <c r="D67" s="1">
        <v>0.45</v>
      </c>
      <c r="E67">
        <v>6</v>
      </c>
      <c r="F67">
        <v>2.2000000000000002</v>
      </c>
      <c r="G67" t="s">
        <v>16708</v>
      </c>
      <c r="H67" s="6">
        <f t="shared" ref="H67:H113" si="2">C67-B67</f>
        <v>824</v>
      </c>
    </row>
    <row r="68" spans="1:8" hidden="1" x14ac:dyDescent="0.35">
      <c r="A68" s="4" t="s">
        <v>209</v>
      </c>
      <c r="B68" s="6">
        <v>1000</v>
      </c>
      <c r="C68" s="6">
        <v>2000</v>
      </c>
      <c r="D68" s="1">
        <v>0.5</v>
      </c>
      <c r="E68">
        <v>7</v>
      </c>
      <c r="F68">
        <v>2.2999999999999998</v>
      </c>
      <c r="G68" t="s">
        <v>16708</v>
      </c>
      <c r="H68" s="6">
        <f t="shared" si="2"/>
        <v>1000</v>
      </c>
    </row>
    <row r="69" spans="1:8" hidden="1" x14ac:dyDescent="0.35">
      <c r="A69" s="4" t="s">
        <v>212</v>
      </c>
      <c r="B69" s="6">
        <v>3750</v>
      </c>
      <c r="C69" s="6">
        <v>6143</v>
      </c>
      <c r="D69" s="1">
        <v>0.39</v>
      </c>
      <c r="E69">
        <v>5</v>
      </c>
      <c r="F69">
        <v>3</v>
      </c>
      <c r="G69" t="s">
        <v>16707</v>
      </c>
      <c r="H69" s="6">
        <f t="shared" si="2"/>
        <v>2393</v>
      </c>
    </row>
    <row r="70" spans="1:8" hidden="1" x14ac:dyDescent="0.35">
      <c r="A70" s="4" t="s">
        <v>215</v>
      </c>
      <c r="B70" s="6">
        <v>382</v>
      </c>
      <c r="C70" s="6">
        <v>700</v>
      </c>
      <c r="D70" s="1">
        <v>0.45</v>
      </c>
      <c r="E70">
        <v>17</v>
      </c>
      <c r="F70">
        <v>2.6</v>
      </c>
      <c r="G70" t="s">
        <v>16708</v>
      </c>
      <c r="H70" s="6">
        <f t="shared" si="2"/>
        <v>318</v>
      </c>
    </row>
    <row r="71" spans="1:8" hidden="1" x14ac:dyDescent="0.35">
      <c r="A71" s="4" t="s">
        <v>218</v>
      </c>
      <c r="B71" s="6">
        <v>2300</v>
      </c>
      <c r="C71" s="6">
        <v>3240</v>
      </c>
      <c r="D71" s="1">
        <v>0.28999999999999998</v>
      </c>
      <c r="E71">
        <v>5</v>
      </c>
      <c r="F71">
        <v>3</v>
      </c>
      <c r="G71" t="s">
        <v>16707</v>
      </c>
      <c r="H71" s="6">
        <f t="shared" si="2"/>
        <v>940</v>
      </c>
    </row>
    <row r="72" spans="1:8" hidden="1" x14ac:dyDescent="0.35">
      <c r="A72" s="4" t="s">
        <v>221</v>
      </c>
      <c r="B72" s="6">
        <v>345</v>
      </c>
      <c r="C72" s="6">
        <v>602</v>
      </c>
      <c r="D72" s="1">
        <v>0.43</v>
      </c>
      <c r="E72">
        <v>6</v>
      </c>
      <c r="F72">
        <v>2.2999999999999998</v>
      </c>
      <c r="G72" t="s">
        <v>16708</v>
      </c>
      <c r="H72" s="6">
        <f t="shared" si="2"/>
        <v>257</v>
      </c>
    </row>
    <row r="73" spans="1:8" hidden="1" x14ac:dyDescent="0.35">
      <c r="A73" s="4" t="s">
        <v>224</v>
      </c>
      <c r="B73" s="6">
        <v>509</v>
      </c>
      <c r="C73" s="6">
        <v>899</v>
      </c>
      <c r="D73" s="1">
        <v>0.43</v>
      </c>
      <c r="E73">
        <v>5</v>
      </c>
      <c r="F73">
        <v>3</v>
      </c>
      <c r="G73" t="s">
        <v>16707</v>
      </c>
      <c r="H73" s="6">
        <f t="shared" si="2"/>
        <v>390</v>
      </c>
    </row>
    <row r="74" spans="1:8" hidden="1" x14ac:dyDescent="0.35">
      <c r="A74" s="4" t="s">
        <v>227</v>
      </c>
      <c r="B74" s="6">
        <v>968</v>
      </c>
      <c r="C74" s="6">
        <v>1814</v>
      </c>
      <c r="D74" s="1">
        <v>0.47</v>
      </c>
      <c r="E74">
        <v>6</v>
      </c>
      <c r="F74">
        <v>2.2000000000000002</v>
      </c>
      <c r="G74" t="s">
        <v>16708</v>
      </c>
      <c r="H74" s="6">
        <f t="shared" si="2"/>
        <v>846</v>
      </c>
    </row>
    <row r="75" spans="1:8" hidden="1" x14ac:dyDescent="0.35">
      <c r="A75" s="4" t="s">
        <v>229</v>
      </c>
      <c r="B75" s="6">
        <v>1570</v>
      </c>
      <c r="C75" s="6">
        <v>2988</v>
      </c>
      <c r="D75" s="1">
        <v>0.47</v>
      </c>
      <c r="E75">
        <v>7</v>
      </c>
      <c r="F75">
        <v>2.1</v>
      </c>
      <c r="G75" t="s">
        <v>16708</v>
      </c>
      <c r="H75" s="6">
        <f t="shared" si="2"/>
        <v>1418</v>
      </c>
    </row>
    <row r="76" spans="1:8" hidden="1" x14ac:dyDescent="0.35">
      <c r="A76" s="4" t="s">
        <v>232</v>
      </c>
      <c r="B76" s="6">
        <v>790</v>
      </c>
      <c r="C76" s="6">
        <v>1485</v>
      </c>
      <c r="D76" s="1">
        <v>0.47</v>
      </c>
      <c r="E76" t="s">
        <v>16703</v>
      </c>
      <c r="F76" t="s">
        <v>16703</v>
      </c>
      <c r="H76" s="6">
        <f t="shared" si="2"/>
        <v>695</v>
      </c>
    </row>
    <row r="77" spans="1:8" hidden="1" x14ac:dyDescent="0.35">
      <c r="A77" s="4" t="s">
        <v>235</v>
      </c>
      <c r="B77" s="6">
        <v>690</v>
      </c>
      <c r="C77" s="6">
        <v>1200</v>
      </c>
      <c r="D77" s="1">
        <v>0.43</v>
      </c>
      <c r="E77" t="s">
        <v>16703</v>
      </c>
      <c r="F77" t="s">
        <v>16703</v>
      </c>
      <c r="H77" s="6">
        <f t="shared" si="2"/>
        <v>510</v>
      </c>
    </row>
    <row r="78" spans="1:8" hidden="1" x14ac:dyDescent="0.35">
      <c r="A78" s="4" t="s">
        <v>237</v>
      </c>
      <c r="B78" s="6">
        <v>1732</v>
      </c>
      <c r="C78" s="6">
        <v>1799</v>
      </c>
      <c r="D78" s="1">
        <v>0.04</v>
      </c>
      <c r="E78" t="s">
        <v>16703</v>
      </c>
      <c r="F78" t="s">
        <v>16703</v>
      </c>
      <c r="H78" s="6">
        <f t="shared" si="2"/>
        <v>67</v>
      </c>
    </row>
    <row r="79" spans="1:8" hidden="1" x14ac:dyDescent="0.35">
      <c r="A79" s="4" t="s">
        <v>240</v>
      </c>
      <c r="B79" s="6">
        <v>230</v>
      </c>
      <c r="C79" s="6">
        <v>450</v>
      </c>
      <c r="D79" s="1">
        <v>0.49</v>
      </c>
      <c r="E79" t="s">
        <v>16703</v>
      </c>
      <c r="F79" t="s">
        <v>16703</v>
      </c>
      <c r="H79" s="6">
        <f t="shared" si="2"/>
        <v>220</v>
      </c>
    </row>
    <row r="80" spans="1:8" hidden="1" x14ac:dyDescent="0.35">
      <c r="A80" s="4" t="s">
        <v>243</v>
      </c>
      <c r="B80" s="6">
        <v>1189</v>
      </c>
      <c r="C80" s="6">
        <v>2199</v>
      </c>
      <c r="D80" s="1">
        <v>0.46</v>
      </c>
      <c r="E80">
        <v>1</v>
      </c>
      <c r="F80">
        <v>3</v>
      </c>
      <c r="G80" t="s">
        <v>16707</v>
      </c>
      <c r="H80" s="6">
        <f t="shared" si="2"/>
        <v>1010</v>
      </c>
    </row>
    <row r="81" spans="1:8" hidden="1" x14ac:dyDescent="0.35">
      <c r="A81" s="4" t="s">
        <v>245</v>
      </c>
      <c r="B81" s="6">
        <v>979</v>
      </c>
      <c r="C81" s="6">
        <v>1920</v>
      </c>
      <c r="D81" s="1">
        <v>0.49</v>
      </c>
      <c r="E81">
        <v>1</v>
      </c>
      <c r="F81">
        <v>5</v>
      </c>
      <c r="G81" t="s">
        <v>16706</v>
      </c>
      <c r="H81" s="6">
        <f t="shared" si="2"/>
        <v>941</v>
      </c>
    </row>
    <row r="82" spans="1:8" hidden="1" x14ac:dyDescent="0.35">
      <c r="A82" s="4" t="s">
        <v>248</v>
      </c>
      <c r="B82" s="6">
        <v>1460</v>
      </c>
      <c r="C82" s="6">
        <v>2290</v>
      </c>
      <c r="D82" s="1">
        <v>0.36</v>
      </c>
      <c r="E82" t="s">
        <v>16703</v>
      </c>
      <c r="F82" t="s">
        <v>16703</v>
      </c>
      <c r="H82" s="6">
        <f t="shared" si="2"/>
        <v>830</v>
      </c>
    </row>
    <row r="83" spans="1:8" hidden="1" x14ac:dyDescent="0.35">
      <c r="A83" s="4" t="s">
        <v>251</v>
      </c>
      <c r="B83" s="6">
        <v>1666</v>
      </c>
      <c r="C83" s="6">
        <v>1699</v>
      </c>
      <c r="D83" s="1">
        <v>0.02</v>
      </c>
      <c r="E83" t="s">
        <v>16703</v>
      </c>
      <c r="F83" t="s">
        <v>16703</v>
      </c>
      <c r="H83" s="6">
        <f t="shared" si="2"/>
        <v>33</v>
      </c>
    </row>
    <row r="84" spans="1:8" hidden="1" x14ac:dyDescent="0.35">
      <c r="A84" s="4" t="s">
        <v>253</v>
      </c>
      <c r="B84" s="6">
        <v>330</v>
      </c>
      <c r="C84" s="6">
        <v>647</v>
      </c>
      <c r="D84" s="1">
        <v>0.49</v>
      </c>
      <c r="E84">
        <v>1</v>
      </c>
      <c r="F84">
        <v>4</v>
      </c>
      <c r="G84" t="s">
        <v>16707</v>
      </c>
      <c r="H84" s="6">
        <f t="shared" si="2"/>
        <v>317</v>
      </c>
    </row>
    <row r="85" spans="1:8" hidden="1" x14ac:dyDescent="0.35">
      <c r="A85" s="4" t="s">
        <v>154</v>
      </c>
      <c r="B85" s="6">
        <v>176</v>
      </c>
      <c r="C85" s="6">
        <v>345</v>
      </c>
      <c r="D85" s="1">
        <v>0.49</v>
      </c>
      <c r="E85" t="s">
        <v>16703</v>
      </c>
      <c r="F85" t="s">
        <v>16703</v>
      </c>
      <c r="H85" s="6">
        <f t="shared" si="2"/>
        <v>169</v>
      </c>
    </row>
    <row r="86" spans="1:8" hidden="1" x14ac:dyDescent="0.35">
      <c r="A86" s="4" t="s">
        <v>256</v>
      </c>
      <c r="B86" s="6">
        <v>1466</v>
      </c>
      <c r="C86" s="6">
        <v>1699</v>
      </c>
      <c r="D86" s="1">
        <v>0.14000000000000001</v>
      </c>
      <c r="E86" t="s">
        <v>16703</v>
      </c>
      <c r="F86" t="s">
        <v>16703</v>
      </c>
      <c r="H86" s="6">
        <f t="shared" si="2"/>
        <v>233</v>
      </c>
    </row>
    <row r="87" spans="1:8" hidden="1" x14ac:dyDescent="0.35">
      <c r="A87" s="4" t="s">
        <v>258</v>
      </c>
      <c r="B87" s="6">
        <v>274</v>
      </c>
      <c r="C87" s="6">
        <v>537</v>
      </c>
      <c r="D87" s="1">
        <v>0.49</v>
      </c>
      <c r="E87" t="s">
        <v>16703</v>
      </c>
      <c r="F87" t="s">
        <v>16703</v>
      </c>
      <c r="H87" s="6">
        <f t="shared" si="2"/>
        <v>263</v>
      </c>
    </row>
    <row r="88" spans="1:8" hidden="1" x14ac:dyDescent="0.35">
      <c r="A88" s="4" t="s">
        <v>261</v>
      </c>
      <c r="B88" s="6">
        <v>799</v>
      </c>
      <c r="C88" s="6">
        <v>900</v>
      </c>
      <c r="D88" s="1">
        <v>0.11</v>
      </c>
      <c r="E88" t="s">
        <v>16703</v>
      </c>
      <c r="F88" t="s">
        <v>16703</v>
      </c>
      <c r="H88" s="6">
        <f t="shared" si="2"/>
        <v>101</v>
      </c>
    </row>
    <row r="89" spans="1:8" hidden="1" x14ac:dyDescent="0.35">
      <c r="A89" s="4" t="s">
        <v>175</v>
      </c>
      <c r="B89" s="6">
        <v>657</v>
      </c>
      <c r="C89" s="6">
        <v>1288</v>
      </c>
      <c r="D89" s="1">
        <v>0.49</v>
      </c>
      <c r="E89" t="s">
        <v>16703</v>
      </c>
      <c r="F89" t="s">
        <v>16703</v>
      </c>
      <c r="H89" s="6">
        <f t="shared" si="2"/>
        <v>631</v>
      </c>
    </row>
    <row r="90" spans="1:8" hidden="1" x14ac:dyDescent="0.35">
      <c r="A90" s="4" t="s">
        <v>264</v>
      </c>
      <c r="B90" s="6">
        <v>1468</v>
      </c>
      <c r="C90" s="6">
        <v>1699</v>
      </c>
      <c r="D90" s="1">
        <v>0.14000000000000001</v>
      </c>
      <c r="E90" t="s">
        <v>16703</v>
      </c>
      <c r="F90" t="s">
        <v>16703</v>
      </c>
      <c r="H90" s="6">
        <f t="shared" si="2"/>
        <v>231</v>
      </c>
    </row>
    <row r="91" spans="1:8" hidden="1" x14ac:dyDescent="0.35">
      <c r="A91" s="4" t="s">
        <v>266</v>
      </c>
      <c r="B91" s="6">
        <v>630</v>
      </c>
      <c r="C91" s="6">
        <v>1100</v>
      </c>
      <c r="D91" s="1">
        <v>0.43</v>
      </c>
      <c r="E91" t="s">
        <v>16703</v>
      </c>
      <c r="F91" t="s">
        <v>16703</v>
      </c>
      <c r="H91" s="6">
        <f t="shared" si="2"/>
        <v>470</v>
      </c>
    </row>
    <row r="92" spans="1:8" hidden="1" x14ac:dyDescent="0.35">
      <c r="A92" s="4" t="s">
        <v>269</v>
      </c>
      <c r="B92" s="6">
        <v>850</v>
      </c>
      <c r="C92" s="6">
        <v>1700</v>
      </c>
      <c r="D92" s="1">
        <v>0.5</v>
      </c>
      <c r="E92" t="s">
        <v>16703</v>
      </c>
      <c r="F92" t="s">
        <v>16703</v>
      </c>
      <c r="H92" s="6">
        <f t="shared" si="2"/>
        <v>850</v>
      </c>
    </row>
    <row r="93" spans="1:8" hidden="1" x14ac:dyDescent="0.35">
      <c r="A93" s="4" t="s">
        <v>272</v>
      </c>
      <c r="B93" s="6">
        <v>1300</v>
      </c>
      <c r="C93" s="6">
        <v>2500</v>
      </c>
      <c r="D93" s="1">
        <v>0.48</v>
      </c>
      <c r="E93" t="s">
        <v>16703</v>
      </c>
      <c r="F93" t="s">
        <v>16703</v>
      </c>
      <c r="H93" s="6">
        <f t="shared" si="2"/>
        <v>1200</v>
      </c>
    </row>
    <row r="94" spans="1:8" hidden="1" x14ac:dyDescent="0.35">
      <c r="A94" s="4" t="s">
        <v>274</v>
      </c>
      <c r="B94" s="6">
        <v>105</v>
      </c>
      <c r="C94" s="6">
        <v>200</v>
      </c>
      <c r="D94" s="1">
        <v>0.48</v>
      </c>
      <c r="E94" t="s">
        <v>16703</v>
      </c>
      <c r="F94" t="s">
        <v>16703</v>
      </c>
      <c r="H94" s="6">
        <f t="shared" si="2"/>
        <v>95</v>
      </c>
    </row>
    <row r="95" spans="1:8" hidden="1" x14ac:dyDescent="0.35">
      <c r="A95" s="4" t="s">
        <v>277</v>
      </c>
      <c r="B95" s="6">
        <v>899</v>
      </c>
      <c r="C95" s="6">
        <v>1699</v>
      </c>
      <c r="D95" s="1">
        <v>0.47</v>
      </c>
      <c r="E95" t="s">
        <v>16703</v>
      </c>
      <c r="F95" t="s">
        <v>16703</v>
      </c>
      <c r="H95" s="6">
        <f t="shared" si="2"/>
        <v>800</v>
      </c>
    </row>
    <row r="96" spans="1:8" hidden="1" x14ac:dyDescent="0.35">
      <c r="A96" s="4" t="s">
        <v>278</v>
      </c>
      <c r="B96" s="6">
        <v>1200</v>
      </c>
      <c r="C96" s="6">
        <v>2400</v>
      </c>
      <c r="D96" s="1">
        <v>0.5</v>
      </c>
      <c r="E96" t="s">
        <v>16703</v>
      </c>
      <c r="F96" t="s">
        <v>16703</v>
      </c>
      <c r="H96" s="6">
        <f t="shared" si="2"/>
        <v>1200</v>
      </c>
    </row>
    <row r="97" spans="1:8" hidden="1" x14ac:dyDescent="0.35">
      <c r="A97" s="4" t="s">
        <v>280</v>
      </c>
      <c r="B97" s="6">
        <v>1526</v>
      </c>
      <c r="C97" s="6">
        <v>1660</v>
      </c>
      <c r="D97" s="1">
        <v>0.08</v>
      </c>
      <c r="E97" t="s">
        <v>16703</v>
      </c>
      <c r="F97" t="s">
        <v>16703</v>
      </c>
      <c r="H97" s="6">
        <f t="shared" si="2"/>
        <v>134</v>
      </c>
    </row>
    <row r="98" spans="1:8" hidden="1" x14ac:dyDescent="0.35">
      <c r="A98" s="4" t="s">
        <v>282</v>
      </c>
      <c r="B98" s="6">
        <v>1462</v>
      </c>
      <c r="C98" s="6">
        <v>1499</v>
      </c>
      <c r="D98" s="1">
        <v>0.02</v>
      </c>
      <c r="E98" t="s">
        <v>16703</v>
      </c>
      <c r="F98" t="s">
        <v>16703</v>
      </c>
      <c r="H98" s="6">
        <f t="shared" si="2"/>
        <v>37</v>
      </c>
    </row>
    <row r="99" spans="1:8" hidden="1" x14ac:dyDescent="0.35">
      <c r="A99" s="4" t="s">
        <v>284</v>
      </c>
      <c r="B99" s="6">
        <v>248</v>
      </c>
      <c r="C99" s="6">
        <v>486</v>
      </c>
      <c r="D99" s="1">
        <v>0.49</v>
      </c>
      <c r="E99" t="s">
        <v>16703</v>
      </c>
      <c r="F99" t="s">
        <v>16703</v>
      </c>
      <c r="H99" s="6">
        <f t="shared" si="2"/>
        <v>238</v>
      </c>
    </row>
    <row r="100" spans="1:8" hidden="1" x14ac:dyDescent="0.35">
      <c r="A100" s="4" t="s">
        <v>287</v>
      </c>
      <c r="B100" s="6">
        <v>3546</v>
      </c>
      <c r="C100" s="6">
        <v>3699</v>
      </c>
      <c r="D100" s="1">
        <v>0.04</v>
      </c>
      <c r="E100" t="s">
        <v>16703</v>
      </c>
      <c r="F100" t="s">
        <v>16703</v>
      </c>
      <c r="H100" s="6">
        <f t="shared" si="2"/>
        <v>153</v>
      </c>
    </row>
    <row r="101" spans="1:8" hidden="1" x14ac:dyDescent="0.35">
      <c r="A101" s="4" t="s">
        <v>289</v>
      </c>
      <c r="B101" s="6">
        <v>525</v>
      </c>
      <c r="C101" s="6">
        <v>1029</v>
      </c>
      <c r="D101" s="1">
        <v>0.49</v>
      </c>
      <c r="E101" t="s">
        <v>16703</v>
      </c>
      <c r="F101" t="s">
        <v>16703</v>
      </c>
      <c r="H101" s="6">
        <f t="shared" si="2"/>
        <v>504</v>
      </c>
    </row>
    <row r="102" spans="1:8" hidden="1" x14ac:dyDescent="0.35">
      <c r="A102" s="4" t="s">
        <v>292</v>
      </c>
      <c r="B102" s="6">
        <v>1080</v>
      </c>
      <c r="C102" s="6">
        <v>1874</v>
      </c>
      <c r="D102" s="1">
        <v>0.42</v>
      </c>
      <c r="E102" t="s">
        <v>16703</v>
      </c>
      <c r="F102" t="s">
        <v>16703</v>
      </c>
      <c r="H102" s="6">
        <f t="shared" si="2"/>
        <v>794</v>
      </c>
    </row>
    <row r="103" spans="1:8" hidden="1" x14ac:dyDescent="0.35">
      <c r="A103" s="4" t="s">
        <v>295</v>
      </c>
      <c r="B103" s="6">
        <v>3640</v>
      </c>
      <c r="C103" s="6">
        <v>4588</v>
      </c>
      <c r="D103" s="1">
        <v>0.21</v>
      </c>
      <c r="E103">
        <v>1</v>
      </c>
      <c r="F103">
        <v>5</v>
      </c>
      <c r="G103" t="s">
        <v>16706</v>
      </c>
      <c r="H103" s="6">
        <f t="shared" si="2"/>
        <v>948</v>
      </c>
    </row>
    <row r="104" spans="1:8" hidden="1" x14ac:dyDescent="0.35">
      <c r="A104" s="4" t="s">
        <v>298</v>
      </c>
      <c r="B104" s="6">
        <v>1420</v>
      </c>
      <c r="C104" s="6">
        <v>2420</v>
      </c>
      <c r="D104" s="1">
        <v>0.41</v>
      </c>
      <c r="E104" t="s">
        <v>16703</v>
      </c>
      <c r="F104" t="s">
        <v>16703</v>
      </c>
      <c r="H104" s="6">
        <f t="shared" si="2"/>
        <v>1000</v>
      </c>
    </row>
    <row r="105" spans="1:8" hidden="1" x14ac:dyDescent="0.35">
      <c r="A105" s="4" t="s">
        <v>301</v>
      </c>
      <c r="B105" s="6">
        <v>1875</v>
      </c>
      <c r="C105" s="6">
        <v>1899</v>
      </c>
      <c r="D105" s="1">
        <v>0.01</v>
      </c>
      <c r="E105" t="s">
        <v>16703</v>
      </c>
      <c r="F105" t="s">
        <v>16703</v>
      </c>
      <c r="H105" s="6">
        <f t="shared" si="2"/>
        <v>24</v>
      </c>
    </row>
    <row r="106" spans="1:8" hidden="1" x14ac:dyDescent="0.35">
      <c r="A106" s="4" t="s">
        <v>304</v>
      </c>
      <c r="B106" s="6">
        <v>198</v>
      </c>
      <c r="C106" s="6">
        <v>260</v>
      </c>
      <c r="D106" s="1">
        <v>0.24</v>
      </c>
      <c r="E106" t="s">
        <v>16703</v>
      </c>
      <c r="F106" t="s">
        <v>16703</v>
      </c>
      <c r="H106" s="6">
        <f t="shared" si="2"/>
        <v>62</v>
      </c>
    </row>
    <row r="107" spans="1:8" hidden="1" x14ac:dyDescent="0.35">
      <c r="A107" s="4" t="s">
        <v>307</v>
      </c>
      <c r="B107" s="6">
        <v>1150</v>
      </c>
      <c r="C107" s="6">
        <v>1737</v>
      </c>
      <c r="D107" s="1">
        <v>0.34</v>
      </c>
      <c r="E107" t="s">
        <v>16703</v>
      </c>
      <c r="F107" t="s">
        <v>16703</v>
      </c>
      <c r="H107" s="6">
        <f t="shared" si="2"/>
        <v>587</v>
      </c>
    </row>
    <row r="108" spans="1:8" hidden="1" x14ac:dyDescent="0.35">
      <c r="A108" s="4" t="s">
        <v>310</v>
      </c>
      <c r="B108" s="6">
        <v>1190</v>
      </c>
      <c r="C108" s="6">
        <v>1810</v>
      </c>
      <c r="D108" s="1">
        <v>0.34</v>
      </c>
      <c r="E108" t="s">
        <v>16703</v>
      </c>
      <c r="F108" t="s">
        <v>16703</v>
      </c>
      <c r="H108" s="6">
        <f t="shared" si="2"/>
        <v>620</v>
      </c>
    </row>
    <row r="109" spans="1:8" hidden="1" x14ac:dyDescent="0.35">
      <c r="A109" s="4" t="s">
        <v>312</v>
      </c>
      <c r="B109" s="6">
        <v>1658</v>
      </c>
      <c r="C109" s="6">
        <v>1699</v>
      </c>
      <c r="D109" s="1">
        <v>0.02</v>
      </c>
      <c r="E109" t="s">
        <v>16703</v>
      </c>
      <c r="F109" t="s">
        <v>16703</v>
      </c>
      <c r="H109" s="6">
        <f t="shared" si="2"/>
        <v>41</v>
      </c>
    </row>
    <row r="110" spans="1:8" hidden="1" x14ac:dyDescent="0.35">
      <c r="A110" s="4" t="s">
        <v>314</v>
      </c>
      <c r="B110" s="6">
        <v>1768</v>
      </c>
      <c r="C110" s="6">
        <v>1799</v>
      </c>
      <c r="D110" s="1">
        <v>0.02</v>
      </c>
      <c r="E110" t="s">
        <v>16703</v>
      </c>
      <c r="F110" t="s">
        <v>16703</v>
      </c>
      <c r="H110" s="6">
        <f t="shared" si="2"/>
        <v>31</v>
      </c>
    </row>
    <row r="111" spans="1:8" x14ac:dyDescent="0.35">
      <c r="A111" s="4" t="s">
        <v>316</v>
      </c>
      <c r="B111" s="6">
        <v>199</v>
      </c>
      <c r="C111" s="6">
        <v>553</v>
      </c>
      <c r="D111" s="1">
        <v>0.64</v>
      </c>
      <c r="E111" t="s">
        <v>16703</v>
      </c>
      <c r="F111" t="s">
        <v>16703</v>
      </c>
      <c r="H111" s="6">
        <f t="shared" si="2"/>
        <v>354</v>
      </c>
    </row>
    <row r="112" spans="1:8" hidden="1" x14ac:dyDescent="0.35">
      <c r="A112" s="4" t="s">
        <v>318</v>
      </c>
      <c r="B112" s="6">
        <v>450</v>
      </c>
      <c r="C112" s="6">
        <v>900</v>
      </c>
      <c r="D112" s="1">
        <v>0.5</v>
      </c>
      <c r="E112">
        <v>1</v>
      </c>
      <c r="F112">
        <v>2</v>
      </c>
      <c r="G112" t="s">
        <v>16708</v>
      </c>
      <c r="H112" s="6">
        <f t="shared" si="2"/>
        <v>450</v>
      </c>
    </row>
    <row r="113" spans="1:8" hidden="1" x14ac:dyDescent="0.35">
      <c r="A113" s="4" t="s">
        <v>320</v>
      </c>
      <c r="B113" s="6">
        <v>169</v>
      </c>
      <c r="C113" s="6">
        <v>320</v>
      </c>
      <c r="D113" s="1">
        <v>0.47</v>
      </c>
      <c r="E113" t="s">
        <v>16703</v>
      </c>
      <c r="F113" t="s">
        <v>16703</v>
      </c>
      <c r="H113" s="6">
        <f t="shared" si="2"/>
        <v>151</v>
      </c>
    </row>
    <row r="114" spans="1:8" hidden="1" x14ac:dyDescent="0.35"/>
    <row r="115" spans="1:8" hidden="1" x14ac:dyDescent="0.35">
      <c r="B115" s="6">
        <f>AVERAGE(B2:B113)</f>
        <v>1188.5</v>
      </c>
      <c r="C115" s="6">
        <f>AVERAGE(C2:C113)</f>
        <v>1815.5714285714287</v>
      </c>
      <c r="D115" s="1">
        <f>AVERAGE(D2:D113)</f>
        <v>0.36776785714285715</v>
      </c>
      <c r="E115">
        <f>SUM(E2:E113)</f>
        <v>723</v>
      </c>
      <c r="F115">
        <f>AVERAGE(F2:F113)</f>
        <v>3.8894736842105258</v>
      </c>
    </row>
    <row r="116" spans="1:8" hidden="1" x14ac:dyDescent="0.35"/>
    <row r="117" spans="1:8" hidden="1" x14ac:dyDescent="0.35">
      <c r="B117" s="6">
        <f>MAX(B2:B113)</f>
        <v>3750</v>
      </c>
    </row>
    <row r="118" spans="1:8" hidden="1" x14ac:dyDescent="0.35">
      <c r="B118" s="6">
        <f>MIN(B2:B113)</f>
        <v>38</v>
      </c>
    </row>
  </sheetData>
  <autoFilter ref="A1:J118" xr:uid="{3E0ED6A9-13FD-44FE-9006-36D692F7E8BD}">
    <filterColumn colId="3">
      <top10 val="10" filterVal="0.52"/>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ED0B-DFB6-4B65-A9D8-E77AB5E22D96}">
  <dimension ref="A1:J128"/>
  <sheetViews>
    <sheetView topLeftCell="A118" workbookViewId="0">
      <selection activeCell="A135" sqref="A1:XFD1048576"/>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7" width="9.6328125" customWidth="1"/>
    <col min="8"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16705</v>
      </c>
      <c r="H1" s="2" t="s">
        <v>16704</v>
      </c>
      <c r="I1" s="2" t="s">
        <v>16710</v>
      </c>
      <c r="J1" s="2" t="s">
        <v>16709</v>
      </c>
    </row>
    <row r="2" spans="1:10" x14ac:dyDescent="0.35">
      <c r="A2" s="4" t="s">
        <v>6</v>
      </c>
      <c r="B2" s="6">
        <v>950</v>
      </c>
      <c r="C2" s="6">
        <v>1525</v>
      </c>
      <c r="D2" s="1">
        <v>0.38</v>
      </c>
      <c r="E2">
        <v>2</v>
      </c>
      <c r="F2">
        <v>4.5</v>
      </c>
      <c r="G2" t="s">
        <v>16706</v>
      </c>
      <c r="H2" s="6">
        <f t="shared" ref="H2:H65" si="0">C2-B2</f>
        <v>575</v>
      </c>
    </row>
    <row r="3" spans="1:10" x14ac:dyDescent="0.35">
      <c r="A3" s="4" t="s">
        <v>10</v>
      </c>
      <c r="B3" s="6">
        <v>527</v>
      </c>
      <c r="C3" s="6">
        <v>999</v>
      </c>
      <c r="D3" s="1">
        <v>0.47</v>
      </c>
      <c r="E3">
        <v>14</v>
      </c>
      <c r="F3">
        <v>4.0999999999999996</v>
      </c>
      <c r="G3" t="s">
        <v>16707</v>
      </c>
      <c r="H3" s="6">
        <f t="shared" si="0"/>
        <v>472</v>
      </c>
    </row>
    <row r="4" spans="1:10" x14ac:dyDescent="0.35">
      <c r="A4" s="4" t="s">
        <v>14</v>
      </c>
      <c r="B4" s="6">
        <v>2199</v>
      </c>
      <c r="C4" s="6">
        <v>2923</v>
      </c>
      <c r="D4" s="1">
        <v>0.25</v>
      </c>
      <c r="E4">
        <v>24</v>
      </c>
      <c r="F4">
        <v>4.5999999999999996</v>
      </c>
      <c r="G4" t="s">
        <v>16706</v>
      </c>
      <c r="H4" s="6">
        <f t="shared" si="0"/>
        <v>724</v>
      </c>
    </row>
    <row r="5" spans="1:10" x14ac:dyDescent="0.35">
      <c r="A5" s="4" t="s">
        <v>18</v>
      </c>
      <c r="B5" s="6">
        <v>1580</v>
      </c>
      <c r="C5" s="6">
        <v>2499</v>
      </c>
      <c r="D5" s="1">
        <v>0.37</v>
      </c>
      <c r="E5">
        <v>7</v>
      </c>
      <c r="F5">
        <v>4.7</v>
      </c>
      <c r="G5" t="s">
        <v>16706</v>
      </c>
      <c r="H5" s="6">
        <f t="shared" si="0"/>
        <v>919</v>
      </c>
    </row>
    <row r="6" spans="1:10" x14ac:dyDescent="0.35">
      <c r="A6" s="4" t="s">
        <v>22</v>
      </c>
      <c r="B6" s="6">
        <v>1740</v>
      </c>
      <c r="C6" s="6">
        <v>2356</v>
      </c>
      <c r="D6" s="1">
        <v>0.26</v>
      </c>
      <c r="E6">
        <v>5</v>
      </c>
      <c r="F6">
        <v>4.8</v>
      </c>
      <c r="G6" t="s">
        <v>16706</v>
      </c>
      <c r="H6" s="6">
        <f t="shared" si="0"/>
        <v>616</v>
      </c>
    </row>
    <row r="7" spans="1:10" x14ac:dyDescent="0.35">
      <c r="A7" s="4" t="s">
        <v>26</v>
      </c>
      <c r="B7" s="6">
        <v>2999</v>
      </c>
      <c r="C7" s="6">
        <v>3290</v>
      </c>
      <c r="D7" s="1">
        <v>0.09</v>
      </c>
      <c r="E7">
        <v>15</v>
      </c>
      <c r="F7">
        <v>4</v>
      </c>
      <c r="G7" t="s">
        <v>16707</v>
      </c>
      <c r="H7" s="6">
        <f t="shared" si="0"/>
        <v>291</v>
      </c>
    </row>
    <row r="8" spans="1:10" x14ac:dyDescent="0.35">
      <c r="A8" s="4" t="s">
        <v>30</v>
      </c>
      <c r="B8" s="6">
        <v>2319</v>
      </c>
      <c r="C8" s="6">
        <v>3032</v>
      </c>
      <c r="D8" s="1">
        <v>0.24</v>
      </c>
      <c r="E8">
        <v>55</v>
      </c>
      <c r="F8">
        <v>4.5999999999999996</v>
      </c>
      <c r="G8" t="s">
        <v>16706</v>
      </c>
      <c r="H8" s="6">
        <f t="shared" si="0"/>
        <v>713</v>
      </c>
    </row>
    <row r="9" spans="1:10" x14ac:dyDescent="0.35">
      <c r="A9" s="4" t="s">
        <v>33</v>
      </c>
      <c r="B9" s="6">
        <v>988</v>
      </c>
      <c r="C9" s="6">
        <v>1580</v>
      </c>
      <c r="D9" s="1">
        <v>0.37</v>
      </c>
      <c r="E9">
        <v>2</v>
      </c>
      <c r="F9">
        <v>4</v>
      </c>
      <c r="G9" t="s">
        <v>16707</v>
      </c>
      <c r="H9" s="6">
        <f t="shared" si="0"/>
        <v>592</v>
      </c>
    </row>
    <row r="10" spans="1:10" x14ac:dyDescent="0.35">
      <c r="A10" s="4" t="s">
        <v>35</v>
      </c>
      <c r="B10" s="6">
        <v>1274</v>
      </c>
      <c r="C10" s="6">
        <v>2800</v>
      </c>
      <c r="D10" s="1">
        <v>0.55000000000000004</v>
      </c>
      <c r="E10">
        <v>5</v>
      </c>
      <c r="F10">
        <v>4.8</v>
      </c>
      <c r="G10" t="s">
        <v>16706</v>
      </c>
      <c r="H10" s="6">
        <f t="shared" si="0"/>
        <v>1526</v>
      </c>
    </row>
    <row r="11" spans="1:10" x14ac:dyDescent="0.35">
      <c r="A11" s="4" t="s">
        <v>38</v>
      </c>
      <c r="B11" s="6">
        <v>1600</v>
      </c>
      <c r="C11" s="6">
        <v>2929</v>
      </c>
      <c r="D11" s="1">
        <v>0.45</v>
      </c>
      <c r="E11">
        <v>5</v>
      </c>
      <c r="F11">
        <v>3.8</v>
      </c>
      <c r="G11" t="s">
        <v>16707</v>
      </c>
      <c r="H11" s="6">
        <f t="shared" si="0"/>
        <v>1329</v>
      </c>
    </row>
    <row r="12" spans="1:10" x14ac:dyDescent="0.35">
      <c r="A12" s="4" t="s">
        <v>42</v>
      </c>
      <c r="B12" s="6">
        <v>799</v>
      </c>
      <c r="C12" s="6">
        <v>999</v>
      </c>
      <c r="D12" s="1">
        <v>0.2</v>
      </c>
      <c r="E12">
        <v>12</v>
      </c>
      <c r="F12">
        <v>4.0999999999999996</v>
      </c>
      <c r="G12" t="s">
        <v>16707</v>
      </c>
      <c r="H12" s="6">
        <f t="shared" si="0"/>
        <v>200</v>
      </c>
    </row>
    <row r="13" spans="1:10" x14ac:dyDescent="0.35">
      <c r="A13" s="4" t="s">
        <v>44</v>
      </c>
      <c r="B13" s="6">
        <v>990</v>
      </c>
      <c r="C13" s="6">
        <v>1500</v>
      </c>
      <c r="D13" s="1">
        <v>0.34</v>
      </c>
      <c r="E13">
        <v>39</v>
      </c>
      <c r="F13">
        <v>4.7</v>
      </c>
      <c r="G13" t="s">
        <v>16706</v>
      </c>
      <c r="H13" s="6">
        <f t="shared" si="0"/>
        <v>510</v>
      </c>
    </row>
    <row r="14" spans="1:10" x14ac:dyDescent="0.35">
      <c r="A14" s="4" t="s">
        <v>47</v>
      </c>
      <c r="B14" s="6">
        <v>552</v>
      </c>
      <c r="C14" s="6">
        <v>1035</v>
      </c>
      <c r="D14" s="1">
        <v>0.47</v>
      </c>
      <c r="E14">
        <v>12</v>
      </c>
      <c r="F14">
        <v>4.8</v>
      </c>
      <c r="G14" t="s">
        <v>16706</v>
      </c>
      <c r="H14" s="6">
        <f t="shared" si="0"/>
        <v>483</v>
      </c>
    </row>
    <row r="15" spans="1:10" x14ac:dyDescent="0.35">
      <c r="A15" s="4" t="s">
        <v>50</v>
      </c>
      <c r="B15" s="6">
        <v>501</v>
      </c>
      <c r="C15" s="6">
        <v>860</v>
      </c>
      <c r="D15" s="1">
        <v>0.42</v>
      </c>
      <c r="E15">
        <v>6</v>
      </c>
      <c r="F15">
        <v>4.5</v>
      </c>
      <c r="G15" t="s">
        <v>16706</v>
      </c>
      <c r="H15" s="6">
        <f t="shared" si="0"/>
        <v>359</v>
      </c>
    </row>
    <row r="16" spans="1:10" x14ac:dyDescent="0.35">
      <c r="A16" s="4" t="s">
        <v>53</v>
      </c>
      <c r="B16" s="6">
        <v>1680</v>
      </c>
      <c r="C16" s="6">
        <v>2499</v>
      </c>
      <c r="D16" s="1">
        <v>0.33</v>
      </c>
      <c r="E16">
        <v>9</v>
      </c>
      <c r="F16">
        <v>4.2</v>
      </c>
      <c r="G16" t="s">
        <v>16707</v>
      </c>
      <c r="H16" s="6">
        <f t="shared" si="0"/>
        <v>819</v>
      </c>
    </row>
    <row r="17" spans="1:8" x14ac:dyDescent="0.35">
      <c r="A17" s="4" t="s">
        <v>56</v>
      </c>
      <c r="B17" s="6">
        <v>332</v>
      </c>
      <c r="C17" s="6">
        <v>684</v>
      </c>
      <c r="D17" s="1">
        <v>0.51</v>
      </c>
      <c r="E17">
        <v>2</v>
      </c>
      <c r="F17">
        <v>5</v>
      </c>
      <c r="G17" t="s">
        <v>16706</v>
      </c>
      <c r="H17" s="6">
        <f t="shared" si="0"/>
        <v>352</v>
      </c>
    </row>
    <row r="18" spans="1:8" x14ac:dyDescent="0.35">
      <c r="A18" s="4" t="s">
        <v>60</v>
      </c>
      <c r="B18" s="6">
        <v>195</v>
      </c>
      <c r="C18" s="6">
        <v>360</v>
      </c>
      <c r="D18" s="1">
        <v>0.46</v>
      </c>
      <c r="E18">
        <v>2</v>
      </c>
      <c r="F18">
        <v>5</v>
      </c>
      <c r="G18" t="s">
        <v>16706</v>
      </c>
      <c r="H18" s="6">
        <f t="shared" si="0"/>
        <v>165</v>
      </c>
    </row>
    <row r="19" spans="1:8" x14ac:dyDescent="0.35">
      <c r="A19" s="4" t="s">
        <v>63</v>
      </c>
      <c r="B19" s="6">
        <v>2025</v>
      </c>
      <c r="C19" s="6">
        <v>3971</v>
      </c>
      <c r="D19" s="1">
        <v>0.49</v>
      </c>
      <c r="E19">
        <v>3</v>
      </c>
      <c r="F19">
        <v>5</v>
      </c>
      <c r="G19" t="s">
        <v>16706</v>
      </c>
      <c r="H19" s="6">
        <f t="shared" si="0"/>
        <v>1946</v>
      </c>
    </row>
    <row r="20" spans="1:8" x14ac:dyDescent="0.35">
      <c r="A20" s="4" t="s">
        <v>66</v>
      </c>
      <c r="B20" s="6">
        <v>2999</v>
      </c>
      <c r="C20" s="6">
        <v>3699</v>
      </c>
      <c r="D20" s="1">
        <v>0.19</v>
      </c>
      <c r="E20">
        <v>5</v>
      </c>
      <c r="F20">
        <v>4.5999999999999996</v>
      </c>
      <c r="G20" t="s">
        <v>16706</v>
      </c>
      <c r="H20" s="6">
        <f t="shared" si="0"/>
        <v>700</v>
      </c>
    </row>
    <row r="21" spans="1:8" x14ac:dyDescent="0.35">
      <c r="A21" s="4" t="s">
        <v>68</v>
      </c>
      <c r="B21" s="6">
        <v>998</v>
      </c>
      <c r="C21" s="6">
        <v>1966</v>
      </c>
      <c r="D21" s="1">
        <v>0.49</v>
      </c>
      <c r="E21">
        <v>44</v>
      </c>
      <c r="F21">
        <v>4.5999999999999996</v>
      </c>
      <c r="G21" t="s">
        <v>16706</v>
      </c>
      <c r="H21" s="6">
        <f t="shared" si="0"/>
        <v>968</v>
      </c>
    </row>
    <row r="22" spans="1:8" x14ac:dyDescent="0.35">
      <c r="A22" s="4" t="s">
        <v>71</v>
      </c>
      <c r="B22" s="6">
        <v>38</v>
      </c>
      <c r="C22" s="6">
        <v>80</v>
      </c>
      <c r="D22" s="1">
        <v>0.53</v>
      </c>
      <c r="E22">
        <v>13</v>
      </c>
      <c r="F22">
        <v>3.3</v>
      </c>
      <c r="G22" t="s">
        <v>16707</v>
      </c>
      <c r="H22" s="6">
        <f t="shared" si="0"/>
        <v>42</v>
      </c>
    </row>
    <row r="23" spans="1:8" x14ac:dyDescent="0.35">
      <c r="A23" s="4" t="s">
        <v>75</v>
      </c>
      <c r="B23" s="6">
        <v>1860</v>
      </c>
      <c r="C23" s="6">
        <v>3220</v>
      </c>
      <c r="D23" s="1">
        <v>0.42</v>
      </c>
      <c r="E23" t="s">
        <v>16703</v>
      </c>
      <c r="F23" t="s">
        <v>16703</v>
      </c>
      <c r="H23" s="6">
        <f t="shared" si="0"/>
        <v>1360</v>
      </c>
    </row>
    <row r="24" spans="1:8" x14ac:dyDescent="0.35">
      <c r="A24" s="4" t="s">
        <v>78</v>
      </c>
      <c r="B24" s="6">
        <v>880</v>
      </c>
      <c r="C24" s="6">
        <v>1350</v>
      </c>
      <c r="D24" s="1">
        <v>0.35</v>
      </c>
      <c r="E24">
        <v>6</v>
      </c>
      <c r="F24">
        <v>4</v>
      </c>
      <c r="G24" t="s">
        <v>16707</v>
      </c>
      <c r="H24" s="6">
        <f t="shared" si="0"/>
        <v>470</v>
      </c>
    </row>
    <row r="25" spans="1:8" x14ac:dyDescent="0.35">
      <c r="A25" s="4" t="s">
        <v>81</v>
      </c>
      <c r="B25" s="6">
        <v>1650</v>
      </c>
      <c r="C25" s="6">
        <v>2150</v>
      </c>
      <c r="D25" s="1">
        <v>0.23</v>
      </c>
      <c r="E25">
        <v>14</v>
      </c>
      <c r="F25">
        <v>4.4000000000000004</v>
      </c>
      <c r="G25" t="s">
        <v>16707</v>
      </c>
      <c r="H25" s="6">
        <f t="shared" si="0"/>
        <v>500</v>
      </c>
    </row>
    <row r="26" spans="1:8" x14ac:dyDescent="0.35">
      <c r="A26" s="4" t="s">
        <v>85</v>
      </c>
      <c r="B26" s="6">
        <v>2048</v>
      </c>
      <c r="C26" s="6">
        <v>4500</v>
      </c>
      <c r="D26" s="1">
        <v>0.54</v>
      </c>
      <c r="E26">
        <v>7</v>
      </c>
      <c r="F26">
        <v>4.3</v>
      </c>
      <c r="G26" t="s">
        <v>16707</v>
      </c>
      <c r="H26" s="6">
        <f t="shared" si="0"/>
        <v>2452</v>
      </c>
    </row>
    <row r="27" spans="1:8" x14ac:dyDescent="0.35">
      <c r="A27" s="4" t="s">
        <v>89</v>
      </c>
      <c r="B27" s="6">
        <v>420</v>
      </c>
      <c r="C27" s="6">
        <v>647</v>
      </c>
      <c r="D27" s="1">
        <v>0.35</v>
      </c>
      <c r="E27">
        <v>49</v>
      </c>
      <c r="F27">
        <v>4.5999999999999996</v>
      </c>
      <c r="G27" t="s">
        <v>16706</v>
      </c>
      <c r="H27" s="6">
        <f t="shared" si="0"/>
        <v>227</v>
      </c>
    </row>
    <row r="28" spans="1:8" x14ac:dyDescent="0.35">
      <c r="A28" s="4" t="s">
        <v>92</v>
      </c>
      <c r="B28" s="6">
        <v>2880</v>
      </c>
      <c r="C28" s="6">
        <v>3520</v>
      </c>
      <c r="D28" s="1">
        <v>0.18</v>
      </c>
      <c r="E28">
        <v>12</v>
      </c>
      <c r="F28">
        <v>3.8</v>
      </c>
      <c r="G28" t="s">
        <v>16707</v>
      </c>
      <c r="H28" s="6">
        <f t="shared" si="0"/>
        <v>640</v>
      </c>
    </row>
    <row r="29" spans="1:8" x14ac:dyDescent="0.35">
      <c r="A29" s="4" t="s">
        <v>95</v>
      </c>
      <c r="B29" s="6">
        <v>1350</v>
      </c>
      <c r="C29" s="6">
        <v>1990</v>
      </c>
      <c r="D29" s="1">
        <v>0.32</v>
      </c>
      <c r="E29">
        <v>13</v>
      </c>
      <c r="F29">
        <v>3.8</v>
      </c>
      <c r="G29" t="s">
        <v>16707</v>
      </c>
      <c r="H29" s="6">
        <f t="shared" si="0"/>
        <v>640</v>
      </c>
    </row>
    <row r="30" spans="1:8" x14ac:dyDescent="0.35">
      <c r="A30" s="4" t="s">
        <v>97</v>
      </c>
      <c r="B30" s="6">
        <v>1758</v>
      </c>
      <c r="C30" s="6">
        <v>2499</v>
      </c>
      <c r="D30" s="1">
        <v>0.3</v>
      </c>
      <c r="E30">
        <v>20</v>
      </c>
      <c r="F30">
        <v>4.0999999999999996</v>
      </c>
      <c r="G30" t="s">
        <v>16707</v>
      </c>
      <c r="H30" s="6">
        <f t="shared" si="0"/>
        <v>741</v>
      </c>
    </row>
    <row r="31" spans="1:8" x14ac:dyDescent="0.35">
      <c r="A31" s="4" t="s">
        <v>99</v>
      </c>
      <c r="B31" s="6">
        <v>2200</v>
      </c>
      <c r="C31" s="6">
        <v>4080</v>
      </c>
      <c r="D31" s="1">
        <v>0.46</v>
      </c>
      <c r="E31" t="s">
        <v>16703</v>
      </c>
      <c r="F31" t="s">
        <v>16703</v>
      </c>
      <c r="H31" s="6">
        <f t="shared" si="0"/>
        <v>1880</v>
      </c>
    </row>
    <row r="32" spans="1:8" x14ac:dyDescent="0.35">
      <c r="A32" s="4" t="s">
        <v>102</v>
      </c>
      <c r="B32" s="6">
        <v>185</v>
      </c>
      <c r="C32" s="6">
        <v>382</v>
      </c>
      <c r="D32" s="1">
        <v>0.52</v>
      </c>
      <c r="E32">
        <v>9</v>
      </c>
      <c r="F32">
        <v>4.3</v>
      </c>
      <c r="G32" t="s">
        <v>16707</v>
      </c>
      <c r="H32" s="6">
        <f t="shared" si="0"/>
        <v>197</v>
      </c>
    </row>
    <row r="33" spans="1:8" x14ac:dyDescent="0.35">
      <c r="A33" s="4" t="s">
        <v>105</v>
      </c>
      <c r="B33" s="6">
        <v>980</v>
      </c>
      <c r="C33" s="6">
        <v>1490</v>
      </c>
      <c r="D33" s="1">
        <v>0.34</v>
      </c>
      <c r="E33">
        <v>12</v>
      </c>
      <c r="F33">
        <v>4.7</v>
      </c>
      <c r="G33" t="s">
        <v>16706</v>
      </c>
      <c r="H33" s="6">
        <f t="shared" si="0"/>
        <v>510</v>
      </c>
    </row>
    <row r="34" spans="1:8" x14ac:dyDescent="0.35">
      <c r="A34" s="4" t="s">
        <v>108</v>
      </c>
      <c r="B34" s="6">
        <v>1820</v>
      </c>
      <c r="C34" s="6">
        <v>3490</v>
      </c>
      <c r="D34" s="1">
        <v>0.48</v>
      </c>
      <c r="E34">
        <v>9</v>
      </c>
      <c r="F34">
        <v>4.3</v>
      </c>
      <c r="G34" t="s">
        <v>16707</v>
      </c>
      <c r="H34" s="6">
        <f t="shared" si="0"/>
        <v>1670</v>
      </c>
    </row>
    <row r="35" spans="1:8" x14ac:dyDescent="0.35">
      <c r="A35" s="4" t="s">
        <v>111</v>
      </c>
      <c r="B35" s="6">
        <v>1940</v>
      </c>
      <c r="C35" s="6">
        <v>2650</v>
      </c>
      <c r="D35" s="1">
        <v>0.27</v>
      </c>
      <c r="E35">
        <v>20</v>
      </c>
      <c r="F35">
        <v>4.7</v>
      </c>
      <c r="G35" t="s">
        <v>16706</v>
      </c>
      <c r="H35" s="6">
        <f t="shared" si="0"/>
        <v>710</v>
      </c>
    </row>
    <row r="36" spans="1:8" x14ac:dyDescent="0.35">
      <c r="A36" s="4" t="s">
        <v>114</v>
      </c>
      <c r="B36" s="6">
        <v>1980</v>
      </c>
      <c r="C36" s="6">
        <v>2699</v>
      </c>
      <c r="D36" s="1">
        <v>0.27</v>
      </c>
      <c r="E36">
        <v>32</v>
      </c>
      <c r="F36">
        <v>4.5</v>
      </c>
      <c r="G36" t="s">
        <v>16706</v>
      </c>
      <c r="H36" s="6">
        <f t="shared" si="0"/>
        <v>719</v>
      </c>
    </row>
    <row r="37" spans="1:8" x14ac:dyDescent="0.35">
      <c r="A37" s="4" t="s">
        <v>117</v>
      </c>
      <c r="B37" s="6">
        <v>1620</v>
      </c>
      <c r="C37" s="6">
        <v>2690</v>
      </c>
      <c r="D37" s="1">
        <v>0.4</v>
      </c>
      <c r="E37">
        <v>1</v>
      </c>
      <c r="F37">
        <v>5</v>
      </c>
      <c r="G37" t="s">
        <v>16706</v>
      </c>
      <c r="H37" s="6">
        <f t="shared" si="0"/>
        <v>1070</v>
      </c>
    </row>
    <row r="38" spans="1:8" x14ac:dyDescent="0.35">
      <c r="A38" s="4" t="s">
        <v>120</v>
      </c>
      <c r="B38" s="6">
        <v>171</v>
      </c>
      <c r="C38" s="6">
        <v>360</v>
      </c>
      <c r="D38" s="1">
        <v>0.53</v>
      </c>
      <c r="E38">
        <v>2</v>
      </c>
      <c r="F38">
        <v>5</v>
      </c>
      <c r="G38" t="s">
        <v>16706</v>
      </c>
      <c r="H38" s="6">
        <f t="shared" si="0"/>
        <v>189</v>
      </c>
    </row>
    <row r="39" spans="1:8" x14ac:dyDescent="0.35">
      <c r="A39" s="4" t="s">
        <v>122</v>
      </c>
      <c r="B39" s="6">
        <v>389</v>
      </c>
      <c r="C39" s="6">
        <v>656</v>
      </c>
      <c r="D39" s="1">
        <v>0.41</v>
      </c>
      <c r="E39">
        <v>36</v>
      </c>
      <c r="F39">
        <v>4.3</v>
      </c>
      <c r="G39" t="s">
        <v>16707</v>
      </c>
      <c r="H39" s="6">
        <f t="shared" si="0"/>
        <v>267</v>
      </c>
    </row>
    <row r="40" spans="1:8" x14ac:dyDescent="0.35">
      <c r="A40" s="4" t="s">
        <v>125</v>
      </c>
      <c r="B40" s="6">
        <v>1980</v>
      </c>
      <c r="C40" s="6">
        <v>3200</v>
      </c>
      <c r="D40" s="1">
        <v>0.38</v>
      </c>
      <c r="E40">
        <v>2</v>
      </c>
      <c r="F40">
        <v>4.5</v>
      </c>
      <c r="G40" t="s">
        <v>16706</v>
      </c>
      <c r="H40" s="6">
        <f t="shared" si="0"/>
        <v>1220</v>
      </c>
    </row>
    <row r="41" spans="1:8" x14ac:dyDescent="0.35">
      <c r="A41" s="4" t="s">
        <v>128</v>
      </c>
      <c r="B41" s="6">
        <v>2750</v>
      </c>
      <c r="C41" s="6">
        <v>4471</v>
      </c>
      <c r="D41" s="1">
        <v>0.38</v>
      </c>
      <c r="E41" t="s">
        <v>16703</v>
      </c>
      <c r="F41" t="s">
        <v>16703</v>
      </c>
      <c r="H41" s="6">
        <f t="shared" si="0"/>
        <v>1721</v>
      </c>
    </row>
    <row r="42" spans="1:8" x14ac:dyDescent="0.35">
      <c r="A42" s="4" t="s">
        <v>131</v>
      </c>
      <c r="B42" s="6">
        <v>475</v>
      </c>
      <c r="C42" s="6">
        <v>931</v>
      </c>
      <c r="D42" s="1">
        <v>0.49</v>
      </c>
      <c r="E42" t="s">
        <v>16703</v>
      </c>
      <c r="F42" t="s">
        <v>16703</v>
      </c>
      <c r="H42" s="6">
        <f t="shared" si="0"/>
        <v>456</v>
      </c>
    </row>
    <row r="43" spans="1:8" x14ac:dyDescent="0.35">
      <c r="A43" s="4" t="s">
        <v>134</v>
      </c>
      <c r="B43" s="6">
        <v>238</v>
      </c>
      <c r="C43" s="6">
        <v>476</v>
      </c>
      <c r="D43" s="1">
        <v>0.5</v>
      </c>
      <c r="E43" t="s">
        <v>16703</v>
      </c>
      <c r="F43" t="s">
        <v>16703</v>
      </c>
      <c r="H43" s="6">
        <f t="shared" si="0"/>
        <v>238</v>
      </c>
    </row>
    <row r="44" spans="1:8" x14ac:dyDescent="0.35">
      <c r="A44" s="4" t="s">
        <v>137</v>
      </c>
      <c r="B44" s="6">
        <v>610</v>
      </c>
      <c r="C44" s="6">
        <v>1060</v>
      </c>
      <c r="D44" s="1">
        <v>0.42</v>
      </c>
      <c r="E44" t="s">
        <v>16703</v>
      </c>
      <c r="F44" t="s">
        <v>16703</v>
      </c>
      <c r="H44" s="6">
        <f t="shared" si="0"/>
        <v>450</v>
      </c>
    </row>
    <row r="45" spans="1:8" x14ac:dyDescent="0.35">
      <c r="A45" s="4" t="s">
        <v>140</v>
      </c>
      <c r="B45" s="6">
        <v>2132</v>
      </c>
      <c r="C45" s="6">
        <v>2169</v>
      </c>
      <c r="D45" s="1">
        <v>0.02</v>
      </c>
      <c r="E45" t="s">
        <v>16703</v>
      </c>
      <c r="F45" t="s">
        <v>16703</v>
      </c>
      <c r="H45" s="6">
        <f t="shared" si="0"/>
        <v>37</v>
      </c>
    </row>
    <row r="46" spans="1:8" x14ac:dyDescent="0.35">
      <c r="A46" s="4" t="s">
        <v>143</v>
      </c>
      <c r="B46" s="6">
        <v>999</v>
      </c>
      <c r="C46" s="6">
        <v>2000</v>
      </c>
      <c r="D46" s="1">
        <v>0.5</v>
      </c>
      <c r="E46" t="s">
        <v>16703</v>
      </c>
      <c r="F46" t="s">
        <v>16703</v>
      </c>
      <c r="H46" s="6">
        <f t="shared" si="0"/>
        <v>1001</v>
      </c>
    </row>
    <row r="47" spans="1:8" x14ac:dyDescent="0.35">
      <c r="A47" s="4" t="s">
        <v>145</v>
      </c>
      <c r="B47" s="6">
        <v>1190</v>
      </c>
      <c r="C47" s="6">
        <v>1785</v>
      </c>
      <c r="D47" s="1">
        <v>0.33</v>
      </c>
      <c r="E47" t="s">
        <v>16703</v>
      </c>
      <c r="F47" t="s">
        <v>16703</v>
      </c>
      <c r="H47" s="6">
        <f t="shared" si="0"/>
        <v>595</v>
      </c>
    </row>
    <row r="48" spans="1:8" x14ac:dyDescent="0.35">
      <c r="A48" s="4" t="s">
        <v>148</v>
      </c>
      <c r="B48" s="6">
        <v>671</v>
      </c>
      <c r="C48" s="6">
        <v>1316</v>
      </c>
      <c r="D48" s="1">
        <v>0.49</v>
      </c>
      <c r="E48" t="s">
        <v>16703</v>
      </c>
      <c r="F48" t="s">
        <v>16703</v>
      </c>
      <c r="H48" s="6">
        <f t="shared" si="0"/>
        <v>645</v>
      </c>
    </row>
    <row r="49" spans="1:8" x14ac:dyDescent="0.35">
      <c r="A49" s="4" t="s">
        <v>151</v>
      </c>
      <c r="B49" s="6">
        <v>1200</v>
      </c>
      <c r="C49" s="6">
        <v>1950</v>
      </c>
      <c r="D49" s="1">
        <v>0.38</v>
      </c>
      <c r="E49" t="s">
        <v>16703</v>
      </c>
      <c r="F49" t="s">
        <v>16703</v>
      </c>
      <c r="H49" s="6">
        <f t="shared" si="0"/>
        <v>750</v>
      </c>
    </row>
    <row r="50" spans="1:8" x14ac:dyDescent="0.35">
      <c r="A50" s="4" t="s">
        <v>154</v>
      </c>
      <c r="B50" s="6">
        <v>199</v>
      </c>
      <c r="C50" s="6">
        <v>504</v>
      </c>
      <c r="D50" s="1">
        <v>0.61</v>
      </c>
      <c r="E50" t="s">
        <v>16703</v>
      </c>
      <c r="F50" t="s">
        <v>16703</v>
      </c>
      <c r="H50" s="6">
        <f t="shared" si="0"/>
        <v>305</v>
      </c>
    </row>
    <row r="51" spans="1:8" x14ac:dyDescent="0.35">
      <c r="A51" s="4" t="s">
        <v>157</v>
      </c>
      <c r="B51" s="6">
        <v>299</v>
      </c>
      <c r="C51" s="6">
        <v>600</v>
      </c>
      <c r="D51" s="1">
        <v>0.5</v>
      </c>
      <c r="E51" t="s">
        <v>16703</v>
      </c>
      <c r="F51" t="s">
        <v>16703</v>
      </c>
      <c r="H51" s="6">
        <f t="shared" si="0"/>
        <v>301</v>
      </c>
    </row>
    <row r="52" spans="1:8" x14ac:dyDescent="0.35">
      <c r="A52" s="4" t="s">
        <v>160</v>
      </c>
      <c r="B52" s="6">
        <v>1660</v>
      </c>
      <c r="C52" s="6">
        <v>1699</v>
      </c>
      <c r="D52" s="1">
        <v>0.02</v>
      </c>
      <c r="E52" t="s">
        <v>16703</v>
      </c>
      <c r="F52" t="s">
        <v>16703</v>
      </c>
      <c r="H52" s="6">
        <f t="shared" si="0"/>
        <v>39</v>
      </c>
    </row>
    <row r="53" spans="1:8" x14ac:dyDescent="0.35">
      <c r="A53" s="4" t="s">
        <v>163</v>
      </c>
      <c r="B53" s="6">
        <v>299</v>
      </c>
      <c r="C53" s="6">
        <v>384</v>
      </c>
      <c r="D53" s="1">
        <v>0.22</v>
      </c>
      <c r="E53" t="s">
        <v>16703</v>
      </c>
      <c r="F53" t="s">
        <v>16703</v>
      </c>
      <c r="H53" s="6">
        <f t="shared" si="0"/>
        <v>85</v>
      </c>
    </row>
    <row r="54" spans="1:8" x14ac:dyDescent="0.35">
      <c r="A54" s="4" t="s">
        <v>165</v>
      </c>
      <c r="B54" s="6">
        <v>1459</v>
      </c>
      <c r="C54" s="6">
        <v>1499</v>
      </c>
      <c r="D54" s="1">
        <v>0.03</v>
      </c>
      <c r="E54" t="s">
        <v>16703</v>
      </c>
      <c r="F54" t="s">
        <v>16703</v>
      </c>
      <c r="H54" s="6">
        <f t="shared" si="0"/>
        <v>40</v>
      </c>
    </row>
    <row r="55" spans="1:8" x14ac:dyDescent="0.35">
      <c r="A55" s="4" t="s">
        <v>168</v>
      </c>
      <c r="B55" s="6">
        <v>799</v>
      </c>
      <c r="C55" s="6">
        <v>1343</v>
      </c>
      <c r="D55" s="1">
        <v>0.41</v>
      </c>
      <c r="E55" t="s">
        <v>16703</v>
      </c>
      <c r="F55" t="s">
        <v>16703</v>
      </c>
      <c r="H55" s="6">
        <f t="shared" si="0"/>
        <v>544</v>
      </c>
    </row>
    <row r="56" spans="1:8" x14ac:dyDescent="0.35">
      <c r="A56" s="4" t="s">
        <v>170</v>
      </c>
      <c r="B56" s="6">
        <v>499</v>
      </c>
      <c r="C56" s="6">
        <v>900</v>
      </c>
      <c r="D56" s="1">
        <v>0.45</v>
      </c>
      <c r="E56" t="s">
        <v>16703</v>
      </c>
      <c r="F56" t="s">
        <v>16703</v>
      </c>
      <c r="H56" s="6">
        <f t="shared" si="0"/>
        <v>401</v>
      </c>
    </row>
    <row r="57" spans="1:8" x14ac:dyDescent="0.35">
      <c r="A57" s="4" t="s">
        <v>173</v>
      </c>
      <c r="B57" s="6">
        <v>699</v>
      </c>
      <c r="C57" s="6">
        <v>1343</v>
      </c>
      <c r="D57" s="1">
        <v>0.48</v>
      </c>
      <c r="E57" t="s">
        <v>16703</v>
      </c>
      <c r="F57" t="s">
        <v>16703</v>
      </c>
      <c r="H57" s="6">
        <f t="shared" si="0"/>
        <v>644</v>
      </c>
    </row>
    <row r="58" spans="1:8" x14ac:dyDescent="0.35">
      <c r="A58" s="4" t="s">
        <v>175</v>
      </c>
      <c r="B58" s="6">
        <v>799</v>
      </c>
      <c r="C58" s="6">
        <v>1567</v>
      </c>
      <c r="D58" s="1">
        <v>0.49</v>
      </c>
      <c r="E58" t="s">
        <v>16703</v>
      </c>
      <c r="F58" t="s">
        <v>16703</v>
      </c>
      <c r="H58" s="6">
        <f t="shared" si="0"/>
        <v>768</v>
      </c>
    </row>
    <row r="59" spans="1:8" x14ac:dyDescent="0.35">
      <c r="A59" s="4" t="s">
        <v>177</v>
      </c>
      <c r="B59" s="6">
        <v>2799</v>
      </c>
      <c r="C59" s="6">
        <v>3810</v>
      </c>
      <c r="D59" s="1">
        <v>0.27</v>
      </c>
      <c r="E59" t="s">
        <v>16703</v>
      </c>
      <c r="F59" t="s">
        <v>16703</v>
      </c>
      <c r="H59" s="6">
        <f t="shared" si="0"/>
        <v>1011</v>
      </c>
    </row>
    <row r="60" spans="1:8" x14ac:dyDescent="0.35">
      <c r="A60" s="4" t="s">
        <v>170</v>
      </c>
      <c r="B60" s="6">
        <v>399</v>
      </c>
      <c r="C60" s="6">
        <v>896</v>
      </c>
      <c r="D60" s="1">
        <v>0.55000000000000004</v>
      </c>
      <c r="E60" t="s">
        <v>16703</v>
      </c>
      <c r="F60" t="s">
        <v>16703</v>
      </c>
      <c r="H60" s="6">
        <f t="shared" si="0"/>
        <v>497</v>
      </c>
    </row>
    <row r="61" spans="1:8" x14ac:dyDescent="0.35">
      <c r="A61" s="4" t="s">
        <v>182</v>
      </c>
      <c r="B61" s="6">
        <v>2170</v>
      </c>
      <c r="C61" s="6">
        <v>2500</v>
      </c>
      <c r="D61" s="1">
        <v>0.13</v>
      </c>
      <c r="E61">
        <v>6</v>
      </c>
      <c r="F61">
        <v>2.5</v>
      </c>
      <c r="G61" t="s">
        <v>16708</v>
      </c>
      <c r="H61" s="6">
        <f t="shared" si="0"/>
        <v>330</v>
      </c>
    </row>
    <row r="62" spans="1:8" x14ac:dyDescent="0.35">
      <c r="A62" s="4" t="s">
        <v>186</v>
      </c>
      <c r="B62" s="6">
        <v>458</v>
      </c>
      <c r="C62" s="6">
        <v>986</v>
      </c>
      <c r="D62" s="1">
        <v>0.54</v>
      </c>
      <c r="E62">
        <v>10</v>
      </c>
      <c r="F62">
        <v>3</v>
      </c>
      <c r="G62" t="s">
        <v>16707</v>
      </c>
      <c r="H62" s="6">
        <f t="shared" si="0"/>
        <v>528</v>
      </c>
    </row>
    <row r="63" spans="1:8" x14ac:dyDescent="0.35">
      <c r="A63" s="4" t="s">
        <v>190</v>
      </c>
      <c r="B63" s="6">
        <v>2115</v>
      </c>
      <c r="C63" s="6">
        <v>4700</v>
      </c>
      <c r="D63" s="1">
        <v>0.55000000000000004</v>
      </c>
      <c r="E63">
        <v>13</v>
      </c>
      <c r="F63">
        <v>2.1</v>
      </c>
      <c r="G63" t="s">
        <v>16708</v>
      </c>
      <c r="H63" s="6">
        <f t="shared" si="0"/>
        <v>2585</v>
      </c>
    </row>
    <row r="64" spans="1:8" x14ac:dyDescent="0.35">
      <c r="A64" s="4" t="s">
        <v>194</v>
      </c>
      <c r="B64" s="6">
        <v>445</v>
      </c>
      <c r="C64" s="6">
        <v>873</v>
      </c>
      <c r="D64" s="1">
        <v>0.49</v>
      </c>
      <c r="E64">
        <v>69</v>
      </c>
      <c r="F64">
        <v>2.8</v>
      </c>
      <c r="G64" t="s">
        <v>16708</v>
      </c>
      <c r="H64" s="6">
        <f t="shared" si="0"/>
        <v>428</v>
      </c>
    </row>
    <row r="65" spans="1:8" x14ac:dyDescent="0.35">
      <c r="A65" s="4" t="s">
        <v>198</v>
      </c>
      <c r="B65" s="6">
        <v>325</v>
      </c>
      <c r="C65" s="6">
        <v>680</v>
      </c>
      <c r="D65" s="1">
        <v>0.52</v>
      </c>
      <c r="E65">
        <v>15</v>
      </c>
      <c r="F65">
        <v>2.7</v>
      </c>
      <c r="G65" t="s">
        <v>16708</v>
      </c>
      <c r="H65" s="6">
        <f t="shared" si="0"/>
        <v>355</v>
      </c>
    </row>
    <row r="66" spans="1:8" x14ac:dyDescent="0.35">
      <c r="A66" s="4" t="s">
        <v>202</v>
      </c>
      <c r="B66" s="6">
        <v>1220</v>
      </c>
      <c r="C66" s="6">
        <v>1555</v>
      </c>
      <c r="D66" s="1">
        <v>0.22</v>
      </c>
      <c r="E66">
        <v>16</v>
      </c>
      <c r="F66">
        <v>2.9</v>
      </c>
      <c r="G66" t="s">
        <v>16708</v>
      </c>
      <c r="H66" s="6">
        <f t="shared" ref="H66:H113" si="1">C66-B66</f>
        <v>335</v>
      </c>
    </row>
    <row r="67" spans="1:8" x14ac:dyDescent="0.35">
      <c r="A67" s="4" t="s">
        <v>206</v>
      </c>
      <c r="B67" s="6">
        <v>990</v>
      </c>
      <c r="C67" s="6">
        <v>1814</v>
      </c>
      <c r="D67" s="1">
        <v>0.45</v>
      </c>
      <c r="E67">
        <v>6</v>
      </c>
      <c r="F67">
        <v>2.2000000000000002</v>
      </c>
      <c r="G67" t="s">
        <v>16708</v>
      </c>
      <c r="H67" s="6">
        <f t="shared" si="1"/>
        <v>824</v>
      </c>
    </row>
    <row r="68" spans="1:8" x14ac:dyDescent="0.35">
      <c r="A68" s="4" t="s">
        <v>209</v>
      </c>
      <c r="B68" s="6">
        <v>1000</v>
      </c>
      <c r="C68" s="6">
        <v>2000</v>
      </c>
      <c r="D68" s="1">
        <v>0.5</v>
      </c>
      <c r="E68">
        <v>7</v>
      </c>
      <c r="F68">
        <v>2.2999999999999998</v>
      </c>
      <c r="G68" t="s">
        <v>16708</v>
      </c>
      <c r="H68" s="6">
        <f t="shared" si="1"/>
        <v>1000</v>
      </c>
    </row>
    <row r="69" spans="1:8" x14ac:dyDescent="0.35">
      <c r="A69" s="4" t="s">
        <v>212</v>
      </c>
      <c r="B69" s="6">
        <v>3750</v>
      </c>
      <c r="C69" s="6">
        <v>6143</v>
      </c>
      <c r="D69" s="1">
        <v>0.39</v>
      </c>
      <c r="E69">
        <v>5</v>
      </c>
      <c r="F69">
        <v>3</v>
      </c>
      <c r="G69" t="s">
        <v>16707</v>
      </c>
      <c r="H69" s="6">
        <f t="shared" si="1"/>
        <v>2393</v>
      </c>
    </row>
    <row r="70" spans="1:8" x14ac:dyDescent="0.35">
      <c r="A70" s="4" t="s">
        <v>215</v>
      </c>
      <c r="B70" s="6">
        <v>382</v>
      </c>
      <c r="C70" s="6">
        <v>700</v>
      </c>
      <c r="D70" s="1">
        <v>0.45</v>
      </c>
      <c r="E70">
        <v>17</v>
      </c>
      <c r="F70">
        <v>2.6</v>
      </c>
      <c r="G70" t="s">
        <v>16708</v>
      </c>
      <c r="H70" s="6">
        <f t="shared" si="1"/>
        <v>318</v>
      </c>
    </row>
    <row r="71" spans="1:8" x14ac:dyDescent="0.35">
      <c r="A71" s="4" t="s">
        <v>218</v>
      </c>
      <c r="B71" s="6">
        <v>2300</v>
      </c>
      <c r="C71" s="6">
        <v>3240</v>
      </c>
      <c r="D71" s="1">
        <v>0.28999999999999998</v>
      </c>
      <c r="E71">
        <v>5</v>
      </c>
      <c r="F71">
        <v>3</v>
      </c>
      <c r="G71" t="s">
        <v>16707</v>
      </c>
      <c r="H71" s="6">
        <f t="shared" si="1"/>
        <v>940</v>
      </c>
    </row>
    <row r="72" spans="1:8" x14ac:dyDescent="0.35">
      <c r="A72" s="4" t="s">
        <v>221</v>
      </c>
      <c r="B72" s="6">
        <v>345</v>
      </c>
      <c r="C72" s="6">
        <v>602</v>
      </c>
      <c r="D72" s="1">
        <v>0.43</v>
      </c>
      <c r="E72">
        <v>6</v>
      </c>
      <c r="F72">
        <v>2.2999999999999998</v>
      </c>
      <c r="G72" t="s">
        <v>16708</v>
      </c>
      <c r="H72" s="6">
        <f t="shared" si="1"/>
        <v>257</v>
      </c>
    </row>
    <row r="73" spans="1:8" x14ac:dyDescent="0.35">
      <c r="A73" s="4" t="s">
        <v>224</v>
      </c>
      <c r="B73" s="6">
        <v>509</v>
      </c>
      <c r="C73" s="6">
        <v>899</v>
      </c>
      <c r="D73" s="1">
        <v>0.43</v>
      </c>
      <c r="E73">
        <v>5</v>
      </c>
      <c r="F73">
        <v>3</v>
      </c>
      <c r="G73" t="s">
        <v>16707</v>
      </c>
      <c r="H73" s="6">
        <f t="shared" si="1"/>
        <v>390</v>
      </c>
    </row>
    <row r="74" spans="1:8" x14ac:dyDescent="0.35">
      <c r="A74" s="4" t="s">
        <v>227</v>
      </c>
      <c r="B74" s="6">
        <v>968</v>
      </c>
      <c r="C74" s="6">
        <v>1814</v>
      </c>
      <c r="D74" s="1">
        <v>0.47</v>
      </c>
      <c r="E74">
        <v>6</v>
      </c>
      <c r="F74">
        <v>2.2000000000000002</v>
      </c>
      <c r="G74" t="s">
        <v>16708</v>
      </c>
      <c r="H74" s="6">
        <f t="shared" si="1"/>
        <v>846</v>
      </c>
    </row>
    <row r="75" spans="1:8" x14ac:dyDescent="0.35">
      <c r="A75" s="4" t="s">
        <v>229</v>
      </c>
      <c r="B75" s="6">
        <v>1570</v>
      </c>
      <c r="C75" s="6">
        <v>2988</v>
      </c>
      <c r="D75" s="1">
        <v>0.47</v>
      </c>
      <c r="E75">
        <v>7</v>
      </c>
      <c r="F75">
        <v>2.1</v>
      </c>
      <c r="G75" t="s">
        <v>16708</v>
      </c>
      <c r="H75" s="6">
        <f t="shared" si="1"/>
        <v>1418</v>
      </c>
    </row>
    <row r="76" spans="1:8" x14ac:dyDescent="0.35">
      <c r="A76" s="4" t="s">
        <v>232</v>
      </c>
      <c r="B76" s="6">
        <v>790</v>
      </c>
      <c r="C76" s="6">
        <v>1485</v>
      </c>
      <c r="D76" s="1">
        <v>0.47</v>
      </c>
      <c r="E76" t="s">
        <v>16703</v>
      </c>
      <c r="F76" t="s">
        <v>16703</v>
      </c>
      <c r="H76" s="6">
        <f t="shared" si="1"/>
        <v>695</v>
      </c>
    </row>
    <row r="77" spans="1:8" x14ac:dyDescent="0.35">
      <c r="A77" s="4" t="s">
        <v>235</v>
      </c>
      <c r="B77" s="6">
        <v>690</v>
      </c>
      <c r="C77" s="6">
        <v>1200</v>
      </c>
      <c r="D77" s="1">
        <v>0.43</v>
      </c>
      <c r="E77" t="s">
        <v>16703</v>
      </c>
      <c r="F77" t="s">
        <v>16703</v>
      </c>
      <c r="H77" s="6">
        <f t="shared" si="1"/>
        <v>510</v>
      </c>
    </row>
    <row r="78" spans="1:8" x14ac:dyDescent="0.35">
      <c r="A78" s="4" t="s">
        <v>237</v>
      </c>
      <c r="B78" s="6">
        <v>1732</v>
      </c>
      <c r="C78" s="6">
        <v>1799</v>
      </c>
      <c r="D78" s="1">
        <v>0.04</v>
      </c>
      <c r="E78" t="s">
        <v>16703</v>
      </c>
      <c r="F78" t="s">
        <v>16703</v>
      </c>
      <c r="H78" s="6">
        <f t="shared" si="1"/>
        <v>67</v>
      </c>
    </row>
    <row r="79" spans="1:8" x14ac:dyDescent="0.35">
      <c r="A79" s="4" t="s">
        <v>240</v>
      </c>
      <c r="B79" s="6">
        <v>230</v>
      </c>
      <c r="C79" s="6">
        <v>450</v>
      </c>
      <c r="D79" s="1">
        <v>0.49</v>
      </c>
      <c r="E79" t="s">
        <v>16703</v>
      </c>
      <c r="F79" t="s">
        <v>16703</v>
      </c>
      <c r="H79" s="6">
        <f t="shared" si="1"/>
        <v>220</v>
      </c>
    </row>
    <row r="80" spans="1:8" x14ac:dyDescent="0.35">
      <c r="A80" s="4" t="s">
        <v>243</v>
      </c>
      <c r="B80" s="6">
        <v>1189</v>
      </c>
      <c r="C80" s="6">
        <v>2199</v>
      </c>
      <c r="D80" s="1">
        <v>0.46</v>
      </c>
      <c r="E80">
        <v>1</v>
      </c>
      <c r="F80">
        <v>3</v>
      </c>
      <c r="G80" t="s">
        <v>16707</v>
      </c>
      <c r="H80" s="6">
        <f t="shared" si="1"/>
        <v>1010</v>
      </c>
    </row>
    <row r="81" spans="1:8" x14ac:dyDescent="0.35">
      <c r="A81" s="4" t="s">
        <v>245</v>
      </c>
      <c r="B81" s="6">
        <v>979</v>
      </c>
      <c r="C81" s="6">
        <v>1920</v>
      </c>
      <c r="D81" s="1">
        <v>0.49</v>
      </c>
      <c r="E81">
        <v>1</v>
      </c>
      <c r="F81">
        <v>5</v>
      </c>
      <c r="G81" t="s">
        <v>16706</v>
      </c>
      <c r="H81" s="6">
        <f t="shared" si="1"/>
        <v>941</v>
      </c>
    </row>
    <row r="82" spans="1:8" x14ac:dyDescent="0.35">
      <c r="A82" s="4" t="s">
        <v>248</v>
      </c>
      <c r="B82" s="6">
        <v>1460</v>
      </c>
      <c r="C82" s="6">
        <v>2290</v>
      </c>
      <c r="D82" s="1">
        <v>0.36</v>
      </c>
      <c r="E82" t="s">
        <v>16703</v>
      </c>
      <c r="F82" t="s">
        <v>16703</v>
      </c>
      <c r="H82" s="6">
        <f t="shared" si="1"/>
        <v>830</v>
      </c>
    </row>
    <row r="83" spans="1:8" x14ac:dyDescent="0.35">
      <c r="A83" s="4" t="s">
        <v>251</v>
      </c>
      <c r="B83" s="6">
        <v>1666</v>
      </c>
      <c r="C83" s="6">
        <v>1699</v>
      </c>
      <c r="D83" s="1">
        <v>0.02</v>
      </c>
      <c r="E83" t="s">
        <v>16703</v>
      </c>
      <c r="F83" t="s">
        <v>16703</v>
      </c>
      <c r="H83" s="6">
        <f t="shared" si="1"/>
        <v>33</v>
      </c>
    </row>
    <row r="84" spans="1:8" x14ac:dyDescent="0.35">
      <c r="A84" s="4" t="s">
        <v>253</v>
      </c>
      <c r="B84" s="6">
        <v>330</v>
      </c>
      <c r="C84" s="6">
        <v>647</v>
      </c>
      <c r="D84" s="1">
        <v>0.49</v>
      </c>
      <c r="E84">
        <v>1</v>
      </c>
      <c r="F84">
        <v>4</v>
      </c>
      <c r="G84" t="s">
        <v>16707</v>
      </c>
      <c r="H84" s="6">
        <f t="shared" si="1"/>
        <v>317</v>
      </c>
    </row>
    <row r="85" spans="1:8" x14ac:dyDescent="0.35">
      <c r="A85" s="4" t="s">
        <v>154</v>
      </c>
      <c r="B85" s="6">
        <v>176</v>
      </c>
      <c r="C85" s="6">
        <v>345</v>
      </c>
      <c r="D85" s="1">
        <v>0.49</v>
      </c>
      <c r="E85" t="s">
        <v>16703</v>
      </c>
      <c r="F85" t="s">
        <v>16703</v>
      </c>
      <c r="H85" s="6">
        <f t="shared" si="1"/>
        <v>169</v>
      </c>
    </row>
    <row r="86" spans="1:8" x14ac:dyDescent="0.35">
      <c r="A86" s="4" t="s">
        <v>256</v>
      </c>
      <c r="B86" s="6">
        <v>1466</v>
      </c>
      <c r="C86" s="6">
        <v>1699</v>
      </c>
      <c r="D86" s="1">
        <v>0.14000000000000001</v>
      </c>
      <c r="E86" t="s">
        <v>16703</v>
      </c>
      <c r="F86" t="s">
        <v>16703</v>
      </c>
      <c r="H86" s="6">
        <f t="shared" si="1"/>
        <v>233</v>
      </c>
    </row>
    <row r="87" spans="1:8" x14ac:dyDescent="0.35">
      <c r="A87" s="4" t="s">
        <v>258</v>
      </c>
      <c r="B87" s="6">
        <v>274</v>
      </c>
      <c r="C87" s="6">
        <v>537</v>
      </c>
      <c r="D87" s="1">
        <v>0.49</v>
      </c>
      <c r="E87" t="s">
        <v>16703</v>
      </c>
      <c r="F87" t="s">
        <v>16703</v>
      </c>
      <c r="H87" s="6">
        <f t="shared" si="1"/>
        <v>263</v>
      </c>
    </row>
    <row r="88" spans="1:8" x14ac:dyDescent="0.35">
      <c r="A88" s="4" t="s">
        <v>261</v>
      </c>
      <c r="B88" s="6">
        <v>799</v>
      </c>
      <c r="C88" s="6">
        <v>900</v>
      </c>
      <c r="D88" s="1">
        <v>0.11</v>
      </c>
      <c r="E88" t="s">
        <v>16703</v>
      </c>
      <c r="F88" t="s">
        <v>16703</v>
      </c>
      <c r="H88" s="6">
        <f t="shared" si="1"/>
        <v>101</v>
      </c>
    </row>
    <row r="89" spans="1:8" x14ac:dyDescent="0.35">
      <c r="A89" s="4" t="s">
        <v>175</v>
      </c>
      <c r="B89" s="6">
        <v>657</v>
      </c>
      <c r="C89" s="6">
        <v>1288</v>
      </c>
      <c r="D89" s="1">
        <v>0.49</v>
      </c>
      <c r="E89" t="s">
        <v>16703</v>
      </c>
      <c r="F89" t="s">
        <v>16703</v>
      </c>
      <c r="H89" s="6">
        <f t="shared" si="1"/>
        <v>631</v>
      </c>
    </row>
    <row r="90" spans="1:8" x14ac:dyDescent="0.35">
      <c r="A90" s="4" t="s">
        <v>264</v>
      </c>
      <c r="B90" s="6">
        <v>1468</v>
      </c>
      <c r="C90" s="6">
        <v>1699</v>
      </c>
      <c r="D90" s="1">
        <v>0.14000000000000001</v>
      </c>
      <c r="E90" t="s">
        <v>16703</v>
      </c>
      <c r="F90" t="s">
        <v>16703</v>
      </c>
      <c r="H90" s="6">
        <f t="shared" si="1"/>
        <v>231</v>
      </c>
    </row>
    <row r="91" spans="1:8" x14ac:dyDescent="0.35">
      <c r="A91" s="4" t="s">
        <v>266</v>
      </c>
      <c r="B91" s="6">
        <v>630</v>
      </c>
      <c r="C91" s="6">
        <v>1100</v>
      </c>
      <c r="D91" s="1">
        <v>0.43</v>
      </c>
      <c r="E91" t="s">
        <v>16703</v>
      </c>
      <c r="F91" t="s">
        <v>16703</v>
      </c>
      <c r="H91" s="6">
        <f t="shared" si="1"/>
        <v>470</v>
      </c>
    </row>
    <row r="92" spans="1:8" x14ac:dyDescent="0.35">
      <c r="A92" s="4" t="s">
        <v>269</v>
      </c>
      <c r="B92" s="6">
        <v>850</v>
      </c>
      <c r="C92" s="6">
        <v>1700</v>
      </c>
      <c r="D92" s="1">
        <v>0.5</v>
      </c>
      <c r="E92" t="s">
        <v>16703</v>
      </c>
      <c r="F92" t="s">
        <v>16703</v>
      </c>
      <c r="H92" s="6">
        <f t="shared" si="1"/>
        <v>850</v>
      </c>
    </row>
    <row r="93" spans="1:8" x14ac:dyDescent="0.35">
      <c r="A93" s="4" t="s">
        <v>272</v>
      </c>
      <c r="B93" s="6">
        <v>1300</v>
      </c>
      <c r="C93" s="6">
        <v>2500</v>
      </c>
      <c r="D93" s="1">
        <v>0.48</v>
      </c>
      <c r="E93" t="s">
        <v>16703</v>
      </c>
      <c r="F93" t="s">
        <v>16703</v>
      </c>
      <c r="H93" s="6">
        <f t="shared" si="1"/>
        <v>1200</v>
      </c>
    </row>
    <row r="94" spans="1:8" x14ac:dyDescent="0.35">
      <c r="A94" s="4" t="s">
        <v>274</v>
      </c>
      <c r="B94" s="6">
        <v>105</v>
      </c>
      <c r="C94" s="6">
        <v>200</v>
      </c>
      <c r="D94" s="1">
        <v>0.48</v>
      </c>
      <c r="E94" t="s">
        <v>16703</v>
      </c>
      <c r="F94" t="s">
        <v>16703</v>
      </c>
      <c r="H94" s="6">
        <f t="shared" si="1"/>
        <v>95</v>
      </c>
    </row>
    <row r="95" spans="1:8" x14ac:dyDescent="0.35">
      <c r="A95" s="4" t="s">
        <v>277</v>
      </c>
      <c r="B95" s="6">
        <v>899</v>
      </c>
      <c r="C95" s="6">
        <v>1699</v>
      </c>
      <c r="D95" s="1">
        <v>0.47</v>
      </c>
      <c r="E95" t="s">
        <v>16703</v>
      </c>
      <c r="F95" t="s">
        <v>16703</v>
      </c>
      <c r="H95" s="6">
        <f t="shared" si="1"/>
        <v>800</v>
      </c>
    </row>
    <row r="96" spans="1:8" x14ac:dyDescent="0.35">
      <c r="A96" s="4" t="s">
        <v>278</v>
      </c>
      <c r="B96" s="6">
        <v>1200</v>
      </c>
      <c r="C96" s="6">
        <v>2400</v>
      </c>
      <c r="D96" s="1">
        <v>0.5</v>
      </c>
      <c r="E96" t="s">
        <v>16703</v>
      </c>
      <c r="F96" t="s">
        <v>16703</v>
      </c>
      <c r="H96" s="6">
        <f t="shared" si="1"/>
        <v>1200</v>
      </c>
    </row>
    <row r="97" spans="1:8" x14ac:dyDescent="0.35">
      <c r="A97" s="4" t="s">
        <v>280</v>
      </c>
      <c r="B97" s="6">
        <v>1526</v>
      </c>
      <c r="C97" s="6">
        <v>1660</v>
      </c>
      <c r="D97" s="1">
        <v>0.08</v>
      </c>
      <c r="E97" t="s">
        <v>16703</v>
      </c>
      <c r="F97" t="s">
        <v>16703</v>
      </c>
      <c r="H97" s="6">
        <f t="shared" si="1"/>
        <v>134</v>
      </c>
    </row>
    <row r="98" spans="1:8" x14ac:dyDescent="0.35">
      <c r="A98" s="4" t="s">
        <v>282</v>
      </c>
      <c r="B98" s="6">
        <v>1462</v>
      </c>
      <c r="C98" s="6">
        <v>1499</v>
      </c>
      <c r="D98" s="1">
        <v>0.02</v>
      </c>
      <c r="E98" t="s">
        <v>16703</v>
      </c>
      <c r="F98" t="s">
        <v>16703</v>
      </c>
      <c r="H98" s="6">
        <f t="shared" si="1"/>
        <v>37</v>
      </c>
    </row>
    <row r="99" spans="1:8" x14ac:dyDescent="0.35">
      <c r="A99" s="4" t="s">
        <v>284</v>
      </c>
      <c r="B99" s="6">
        <v>248</v>
      </c>
      <c r="C99" s="6">
        <v>486</v>
      </c>
      <c r="D99" s="1">
        <v>0.49</v>
      </c>
      <c r="E99" t="s">
        <v>16703</v>
      </c>
      <c r="F99" t="s">
        <v>16703</v>
      </c>
      <c r="H99" s="6">
        <f t="shared" si="1"/>
        <v>238</v>
      </c>
    </row>
    <row r="100" spans="1:8" x14ac:dyDescent="0.35">
      <c r="A100" s="4" t="s">
        <v>287</v>
      </c>
      <c r="B100" s="6">
        <v>3546</v>
      </c>
      <c r="C100" s="6">
        <v>3699</v>
      </c>
      <c r="D100" s="1">
        <v>0.04</v>
      </c>
      <c r="E100" t="s">
        <v>16703</v>
      </c>
      <c r="F100" t="s">
        <v>16703</v>
      </c>
      <c r="H100" s="6">
        <f t="shared" si="1"/>
        <v>153</v>
      </c>
    </row>
    <row r="101" spans="1:8" x14ac:dyDescent="0.35">
      <c r="A101" s="4" t="s">
        <v>289</v>
      </c>
      <c r="B101" s="6">
        <v>525</v>
      </c>
      <c r="C101" s="6">
        <v>1029</v>
      </c>
      <c r="D101" s="1">
        <v>0.49</v>
      </c>
      <c r="E101" t="s">
        <v>16703</v>
      </c>
      <c r="F101" t="s">
        <v>16703</v>
      </c>
      <c r="H101" s="6">
        <f t="shared" si="1"/>
        <v>504</v>
      </c>
    </row>
    <row r="102" spans="1:8" x14ac:dyDescent="0.35">
      <c r="A102" s="4" t="s">
        <v>292</v>
      </c>
      <c r="B102" s="6">
        <v>1080</v>
      </c>
      <c r="C102" s="6">
        <v>1874</v>
      </c>
      <c r="D102" s="1">
        <v>0.42</v>
      </c>
      <c r="E102" t="s">
        <v>16703</v>
      </c>
      <c r="F102" t="s">
        <v>16703</v>
      </c>
      <c r="H102" s="6">
        <f t="shared" si="1"/>
        <v>794</v>
      </c>
    </row>
    <row r="103" spans="1:8" x14ac:dyDescent="0.35">
      <c r="A103" s="4" t="s">
        <v>295</v>
      </c>
      <c r="B103" s="6">
        <v>3640</v>
      </c>
      <c r="C103" s="6">
        <v>4588</v>
      </c>
      <c r="D103" s="1">
        <v>0.21</v>
      </c>
      <c r="E103">
        <v>1</v>
      </c>
      <c r="F103">
        <v>5</v>
      </c>
      <c r="G103" t="s">
        <v>16706</v>
      </c>
      <c r="H103" s="6">
        <f t="shared" si="1"/>
        <v>948</v>
      </c>
    </row>
    <row r="104" spans="1:8" x14ac:dyDescent="0.35">
      <c r="A104" s="4" t="s">
        <v>298</v>
      </c>
      <c r="B104" s="6">
        <v>1420</v>
      </c>
      <c r="C104" s="6">
        <v>2420</v>
      </c>
      <c r="D104" s="1">
        <v>0.41</v>
      </c>
      <c r="E104" t="s">
        <v>16703</v>
      </c>
      <c r="F104" t="s">
        <v>16703</v>
      </c>
      <c r="H104" s="6">
        <f t="shared" si="1"/>
        <v>1000</v>
      </c>
    </row>
    <row r="105" spans="1:8" x14ac:dyDescent="0.35">
      <c r="A105" s="4" t="s">
        <v>301</v>
      </c>
      <c r="B105" s="6">
        <v>1875</v>
      </c>
      <c r="C105" s="6">
        <v>1899</v>
      </c>
      <c r="D105" s="1">
        <v>0.01</v>
      </c>
      <c r="E105" t="s">
        <v>16703</v>
      </c>
      <c r="F105" t="s">
        <v>16703</v>
      </c>
      <c r="H105" s="6">
        <f t="shared" si="1"/>
        <v>24</v>
      </c>
    </row>
    <row r="106" spans="1:8" x14ac:dyDescent="0.35">
      <c r="A106" s="4" t="s">
        <v>304</v>
      </c>
      <c r="B106" s="6">
        <v>198</v>
      </c>
      <c r="C106" s="6">
        <v>260</v>
      </c>
      <c r="D106" s="1">
        <v>0.24</v>
      </c>
      <c r="E106" t="s">
        <v>16703</v>
      </c>
      <c r="F106" t="s">
        <v>16703</v>
      </c>
      <c r="H106" s="6">
        <f t="shared" si="1"/>
        <v>62</v>
      </c>
    </row>
    <row r="107" spans="1:8" x14ac:dyDescent="0.35">
      <c r="A107" s="4" t="s">
        <v>307</v>
      </c>
      <c r="B107" s="6">
        <v>1150</v>
      </c>
      <c r="C107" s="6">
        <v>1737</v>
      </c>
      <c r="D107" s="1">
        <v>0.34</v>
      </c>
      <c r="E107" t="s">
        <v>16703</v>
      </c>
      <c r="F107" t="s">
        <v>16703</v>
      </c>
      <c r="H107" s="6">
        <f t="shared" si="1"/>
        <v>587</v>
      </c>
    </row>
    <row r="108" spans="1:8" x14ac:dyDescent="0.35">
      <c r="A108" s="4" t="s">
        <v>310</v>
      </c>
      <c r="B108" s="6">
        <v>1190</v>
      </c>
      <c r="C108" s="6">
        <v>1810</v>
      </c>
      <c r="D108" s="1">
        <v>0.34</v>
      </c>
      <c r="E108" t="s">
        <v>16703</v>
      </c>
      <c r="F108" t="s">
        <v>16703</v>
      </c>
      <c r="H108" s="6">
        <f t="shared" si="1"/>
        <v>620</v>
      </c>
    </row>
    <row r="109" spans="1:8" x14ac:dyDescent="0.35">
      <c r="A109" s="4" t="s">
        <v>312</v>
      </c>
      <c r="B109" s="6">
        <v>1658</v>
      </c>
      <c r="C109" s="6">
        <v>1699</v>
      </c>
      <c r="D109" s="1">
        <v>0.02</v>
      </c>
      <c r="E109" t="s">
        <v>16703</v>
      </c>
      <c r="F109" t="s">
        <v>16703</v>
      </c>
      <c r="H109" s="6">
        <f t="shared" si="1"/>
        <v>41</v>
      </c>
    </row>
    <row r="110" spans="1:8" x14ac:dyDescent="0.35">
      <c r="A110" s="4" t="s">
        <v>314</v>
      </c>
      <c r="B110" s="6">
        <v>1768</v>
      </c>
      <c r="C110" s="6">
        <v>1799</v>
      </c>
      <c r="D110" s="1">
        <v>0.02</v>
      </c>
      <c r="E110" t="s">
        <v>16703</v>
      </c>
      <c r="F110" t="s">
        <v>16703</v>
      </c>
      <c r="H110" s="6">
        <f t="shared" si="1"/>
        <v>31</v>
      </c>
    </row>
    <row r="111" spans="1:8" x14ac:dyDescent="0.35">
      <c r="A111" s="4" t="s">
        <v>316</v>
      </c>
      <c r="B111" s="6">
        <v>199</v>
      </c>
      <c r="C111" s="6">
        <v>553</v>
      </c>
      <c r="D111" s="1">
        <v>0.64</v>
      </c>
      <c r="E111" t="s">
        <v>16703</v>
      </c>
      <c r="F111" t="s">
        <v>16703</v>
      </c>
      <c r="H111" s="6">
        <f t="shared" si="1"/>
        <v>354</v>
      </c>
    </row>
    <row r="112" spans="1:8" x14ac:dyDescent="0.35">
      <c r="A112" s="4" t="s">
        <v>318</v>
      </c>
      <c r="B112" s="6">
        <v>450</v>
      </c>
      <c r="C112" s="6">
        <v>900</v>
      </c>
      <c r="D112" s="1">
        <v>0.5</v>
      </c>
      <c r="E112">
        <v>1</v>
      </c>
      <c r="F112">
        <v>2</v>
      </c>
      <c r="G112" t="s">
        <v>16708</v>
      </c>
      <c r="H112" s="6">
        <f t="shared" si="1"/>
        <v>450</v>
      </c>
    </row>
    <row r="113" spans="1:8" x14ac:dyDescent="0.35">
      <c r="A113" s="4" t="s">
        <v>320</v>
      </c>
      <c r="B113" s="6">
        <v>169</v>
      </c>
      <c r="C113" s="6">
        <v>320</v>
      </c>
      <c r="D113" s="1">
        <v>0.47</v>
      </c>
      <c r="E113" t="s">
        <v>16703</v>
      </c>
      <c r="F113" t="s">
        <v>16703</v>
      </c>
      <c r="H113" s="6">
        <f t="shared" si="1"/>
        <v>151</v>
      </c>
    </row>
    <row r="115" spans="1:8" ht="16" x14ac:dyDescent="0.35">
      <c r="A115" s="9">
        <f>COUNTA(_xlfn.UNIQUE(A2:A113))</f>
        <v>109</v>
      </c>
      <c r="B115" s="6">
        <f>AVERAGE(B2:B113)</f>
        <v>1188.5</v>
      </c>
      <c r="C115" s="6">
        <f>AVERAGE(C2:C113)</f>
        <v>1815.5714285714287</v>
      </c>
      <c r="D115" s="1">
        <f>AVERAGE(D2:D113)</f>
        <v>0.36776785714285715</v>
      </c>
      <c r="E115">
        <f>SUM(E2:E113)</f>
        <v>723</v>
      </c>
      <c r="F115">
        <f>AVERAGE(F2:F113)</f>
        <v>3.8894736842105258</v>
      </c>
    </row>
    <row r="117" spans="1:8" x14ac:dyDescent="0.35">
      <c r="B117" s="6">
        <f>MAX(B2:B113)</f>
        <v>3750</v>
      </c>
      <c r="E117">
        <f>SUM(E2:E113)</f>
        <v>723</v>
      </c>
    </row>
    <row r="118" spans="1:8" x14ac:dyDescent="0.35">
      <c r="B118" s="6">
        <f>MIN(B2:B113)</f>
        <v>38</v>
      </c>
    </row>
    <row r="119" spans="1:8" x14ac:dyDescent="0.35">
      <c r="B119" s="6" t="str">
        <f>_xlfn.XLOOKUP(MAX(B2:B113),B2:B113,A2:A113)</f>
        <v>32PCS Portable Cordless Drill Set With Cyclic Battery Drive -26 Variable Speed</v>
      </c>
    </row>
    <row r="120" spans="1:8" x14ac:dyDescent="0.35">
      <c r="B120" t="str">
        <f>_xlfn.XLOOKUP(MIN(B2:B113),B2:B113,A2:A113)</f>
        <v>3PCS Single Head Knitting Crochet Sweater Needle Set</v>
      </c>
    </row>
    <row r="121" spans="1:8" x14ac:dyDescent="0.35">
      <c r="A121" s="4" t="s">
        <v>16714</v>
      </c>
      <c r="B121" s="6">
        <v>1189</v>
      </c>
    </row>
    <row r="122" spans="1:8" x14ac:dyDescent="0.35">
      <c r="A122" s="4" t="s">
        <v>16715</v>
      </c>
      <c r="B122" s="6">
        <v>1816</v>
      </c>
    </row>
    <row r="123" spans="1:8" x14ac:dyDescent="0.35">
      <c r="A123" s="4" t="s">
        <v>16716</v>
      </c>
      <c r="B123" s="1">
        <v>0.37</v>
      </c>
    </row>
    <row r="124" spans="1:8" x14ac:dyDescent="0.35">
      <c r="A124" s="4" t="s">
        <v>16717</v>
      </c>
      <c r="B124" s="8">
        <v>3.8894736999999999</v>
      </c>
    </row>
    <row r="125" spans="1:8" x14ac:dyDescent="0.35">
      <c r="A125" s="4" t="s">
        <v>16718</v>
      </c>
      <c r="B125" s="6">
        <v>109</v>
      </c>
    </row>
    <row r="126" spans="1:8" x14ac:dyDescent="0.35">
      <c r="A126" s="4" t="s">
        <v>16719</v>
      </c>
      <c r="B126" s="6">
        <v>723</v>
      </c>
    </row>
    <row r="127" spans="1:8" x14ac:dyDescent="0.35">
      <c r="A127" s="4" t="s">
        <v>16720</v>
      </c>
      <c r="B127" s="6" t="str">
        <f>_xlfn.XLOOKUP(MAX(B10:B121),B10:B121,A10:A121)</f>
        <v>32PCS Portable Cordless Drill Set With Cyclic Battery Drive -26 Variable Speed</v>
      </c>
    </row>
    <row r="128" spans="1:8" x14ac:dyDescent="0.35">
      <c r="A128" s="4" t="s">
        <v>16721</v>
      </c>
      <c r="B128" t="str">
        <f>_xlfn.XLOOKUP(MIN(B10:B121),B10:B121,A10:A121)</f>
        <v>3PCS Single Head Knitting Crochet Sweater Needle Set</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00BD2-8AFF-47F6-BAAB-B7E063BEE987}">
  <dimension ref="A3:B114"/>
  <sheetViews>
    <sheetView topLeftCell="A37" workbookViewId="0">
      <selection activeCell="A51" sqref="A3:B114"/>
    </sheetView>
  </sheetViews>
  <sheetFormatPr defaultRowHeight="14.5" x14ac:dyDescent="0.35"/>
  <cols>
    <col min="1" max="1" width="86.1796875" bestFit="1" customWidth="1"/>
    <col min="2" max="2" width="13.36328125" bestFit="1" customWidth="1"/>
    <col min="3" max="3" width="14.6328125" bestFit="1" customWidth="1"/>
  </cols>
  <sheetData>
    <row r="3" spans="1:2" x14ac:dyDescent="0.35">
      <c r="A3" s="10" t="s">
        <v>16722</v>
      </c>
      <c r="B3" t="s">
        <v>16736</v>
      </c>
    </row>
    <row r="4" spans="1:2" x14ac:dyDescent="0.35">
      <c r="A4" s="11" t="s">
        <v>125</v>
      </c>
      <c r="B4" s="12">
        <v>5</v>
      </c>
    </row>
    <row r="5" spans="1:2" x14ac:dyDescent="0.35">
      <c r="A5" s="11" t="s">
        <v>44</v>
      </c>
      <c r="B5" s="12">
        <v>3</v>
      </c>
    </row>
    <row r="6" spans="1:2" x14ac:dyDescent="0.35">
      <c r="A6" s="11" t="s">
        <v>6</v>
      </c>
      <c r="B6" s="12">
        <v>5</v>
      </c>
    </row>
    <row r="7" spans="1:2" x14ac:dyDescent="0.35">
      <c r="A7" s="11" t="s">
        <v>95</v>
      </c>
      <c r="B7" s="12">
        <v>12</v>
      </c>
    </row>
    <row r="8" spans="1:2" x14ac:dyDescent="0.35">
      <c r="A8" s="11" t="s">
        <v>105</v>
      </c>
      <c r="B8" s="12">
        <v>3</v>
      </c>
    </row>
    <row r="9" spans="1:2" x14ac:dyDescent="0.35">
      <c r="A9" s="11" t="s">
        <v>194</v>
      </c>
      <c r="B9" s="12">
        <v>16</v>
      </c>
    </row>
    <row r="10" spans="1:2" x14ac:dyDescent="0.35">
      <c r="A10" s="11" t="s">
        <v>177</v>
      </c>
      <c r="B10" s="12">
        <v>24</v>
      </c>
    </row>
    <row r="11" spans="1:2" x14ac:dyDescent="0.35">
      <c r="A11" s="11" t="s">
        <v>38</v>
      </c>
      <c r="B11" s="12">
        <v>12</v>
      </c>
    </row>
    <row r="12" spans="1:2" x14ac:dyDescent="0.35">
      <c r="A12" s="11" t="s">
        <v>30</v>
      </c>
      <c r="B12" s="12">
        <v>4</v>
      </c>
    </row>
    <row r="13" spans="1:2" x14ac:dyDescent="0.35">
      <c r="A13" s="11" t="s">
        <v>304</v>
      </c>
      <c r="B13" s="12">
        <v>24</v>
      </c>
    </row>
    <row r="14" spans="1:2" x14ac:dyDescent="0.35">
      <c r="A14" s="11" t="s">
        <v>251</v>
      </c>
      <c r="B14" s="12">
        <v>24</v>
      </c>
    </row>
    <row r="15" spans="1:2" x14ac:dyDescent="0.35">
      <c r="A15" s="11" t="s">
        <v>26</v>
      </c>
      <c r="B15" s="12">
        <v>10</v>
      </c>
    </row>
    <row r="16" spans="1:2" x14ac:dyDescent="0.35">
      <c r="A16" s="11" t="s">
        <v>301</v>
      </c>
      <c r="B16" s="12">
        <v>24</v>
      </c>
    </row>
    <row r="17" spans="1:2" x14ac:dyDescent="0.35">
      <c r="A17" s="11" t="s">
        <v>278</v>
      </c>
      <c r="B17" s="12">
        <v>24</v>
      </c>
    </row>
    <row r="18" spans="1:2" x14ac:dyDescent="0.35">
      <c r="A18" s="11" t="s">
        <v>151</v>
      </c>
      <c r="B18" s="12">
        <v>24</v>
      </c>
    </row>
    <row r="19" spans="1:2" x14ac:dyDescent="0.35">
      <c r="A19" s="11" t="s">
        <v>232</v>
      </c>
      <c r="B19" s="12">
        <v>24</v>
      </c>
    </row>
    <row r="20" spans="1:2" x14ac:dyDescent="0.35">
      <c r="A20" s="11" t="s">
        <v>212</v>
      </c>
      <c r="B20" s="12">
        <v>14</v>
      </c>
    </row>
    <row r="21" spans="1:2" x14ac:dyDescent="0.35">
      <c r="A21" s="11" t="s">
        <v>209</v>
      </c>
      <c r="B21" s="12">
        <v>20</v>
      </c>
    </row>
    <row r="22" spans="1:2" x14ac:dyDescent="0.35">
      <c r="A22" s="11" t="s">
        <v>68</v>
      </c>
      <c r="B22" s="12">
        <v>4</v>
      </c>
    </row>
    <row r="23" spans="1:2" x14ac:dyDescent="0.35">
      <c r="A23" s="11" t="s">
        <v>235</v>
      </c>
      <c r="B23" s="12">
        <v>24</v>
      </c>
    </row>
    <row r="24" spans="1:2" x14ac:dyDescent="0.35">
      <c r="A24" s="11" t="s">
        <v>71</v>
      </c>
      <c r="B24" s="12">
        <v>13</v>
      </c>
    </row>
    <row r="25" spans="1:2" x14ac:dyDescent="0.35">
      <c r="A25" s="11" t="s">
        <v>284</v>
      </c>
      <c r="B25" s="12">
        <v>24</v>
      </c>
    </row>
    <row r="26" spans="1:2" x14ac:dyDescent="0.35">
      <c r="A26" s="11" t="s">
        <v>47</v>
      </c>
      <c r="B26" s="12">
        <v>2</v>
      </c>
    </row>
    <row r="27" spans="1:2" x14ac:dyDescent="0.35">
      <c r="A27" s="11" t="s">
        <v>131</v>
      </c>
      <c r="B27" s="12">
        <v>24</v>
      </c>
    </row>
    <row r="28" spans="1:2" x14ac:dyDescent="0.35">
      <c r="A28" s="11" t="s">
        <v>75</v>
      </c>
      <c r="B28" s="12">
        <v>24</v>
      </c>
    </row>
    <row r="29" spans="1:2" x14ac:dyDescent="0.35">
      <c r="A29" s="11" t="s">
        <v>182</v>
      </c>
      <c r="B29" s="12">
        <v>19</v>
      </c>
    </row>
    <row r="30" spans="1:2" x14ac:dyDescent="0.35">
      <c r="A30" s="11" t="s">
        <v>97</v>
      </c>
      <c r="B30" s="12">
        <v>9</v>
      </c>
    </row>
    <row r="31" spans="1:2" x14ac:dyDescent="0.35">
      <c r="A31" s="11" t="s">
        <v>114</v>
      </c>
      <c r="B31" s="12">
        <v>5</v>
      </c>
    </row>
    <row r="32" spans="1:2" x14ac:dyDescent="0.35">
      <c r="A32" s="11" t="s">
        <v>111</v>
      </c>
      <c r="B32" s="12">
        <v>3</v>
      </c>
    </row>
    <row r="33" spans="1:2" x14ac:dyDescent="0.35">
      <c r="A33" s="11" t="s">
        <v>248</v>
      </c>
      <c r="B33" s="12">
        <v>24</v>
      </c>
    </row>
    <row r="34" spans="1:2" x14ac:dyDescent="0.35">
      <c r="A34" s="11" t="s">
        <v>190</v>
      </c>
      <c r="B34" s="12">
        <v>22</v>
      </c>
    </row>
    <row r="35" spans="1:2" x14ac:dyDescent="0.35">
      <c r="A35" s="11" t="s">
        <v>316</v>
      </c>
      <c r="B35" s="12">
        <v>24</v>
      </c>
    </row>
    <row r="36" spans="1:2" x14ac:dyDescent="0.35">
      <c r="A36" s="11" t="s">
        <v>277</v>
      </c>
      <c r="B36" s="12">
        <v>24</v>
      </c>
    </row>
    <row r="37" spans="1:2" x14ac:dyDescent="0.35">
      <c r="A37" s="11" t="s">
        <v>145</v>
      </c>
      <c r="B37" s="12">
        <v>24</v>
      </c>
    </row>
    <row r="38" spans="1:2" x14ac:dyDescent="0.35">
      <c r="A38" s="11" t="s">
        <v>240</v>
      </c>
      <c r="B38" s="12">
        <v>24</v>
      </c>
    </row>
    <row r="39" spans="1:2" x14ac:dyDescent="0.35">
      <c r="A39" s="11" t="s">
        <v>227</v>
      </c>
      <c r="B39" s="12">
        <v>21</v>
      </c>
    </row>
    <row r="40" spans="1:2" x14ac:dyDescent="0.35">
      <c r="A40" s="11" t="s">
        <v>292</v>
      </c>
      <c r="B40" s="12">
        <v>24</v>
      </c>
    </row>
    <row r="41" spans="1:2" x14ac:dyDescent="0.35">
      <c r="A41" s="11" t="s">
        <v>298</v>
      </c>
      <c r="B41" s="12">
        <v>24</v>
      </c>
    </row>
    <row r="42" spans="1:2" x14ac:dyDescent="0.35">
      <c r="A42" s="11" t="s">
        <v>215</v>
      </c>
      <c r="B42" s="12">
        <v>18</v>
      </c>
    </row>
    <row r="43" spans="1:2" x14ac:dyDescent="0.35">
      <c r="A43" s="11" t="s">
        <v>175</v>
      </c>
      <c r="B43" s="12">
        <v>24</v>
      </c>
    </row>
    <row r="44" spans="1:2" x14ac:dyDescent="0.35">
      <c r="A44" s="11" t="s">
        <v>56</v>
      </c>
      <c r="B44" s="12">
        <v>1</v>
      </c>
    </row>
    <row r="45" spans="1:2" x14ac:dyDescent="0.35">
      <c r="A45" s="11" t="s">
        <v>206</v>
      </c>
      <c r="B45" s="12">
        <v>21</v>
      </c>
    </row>
    <row r="46" spans="1:2" x14ac:dyDescent="0.35">
      <c r="A46" s="11" t="s">
        <v>289</v>
      </c>
      <c r="B46" s="12">
        <v>24</v>
      </c>
    </row>
    <row r="47" spans="1:2" x14ac:dyDescent="0.35">
      <c r="A47" s="11" t="s">
        <v>137</v>
      </c>
      <c r="B47" s="12">
        <v>24</v>
      </c>
    </row>
    <row r="48" spans="1:2" x14ac:dyDescent="0.35">
      <c r="A48" s="11" t="s">
        <v>245</v>
      </c>
      <c r="B48" s="12">
        <v>1</v>
      </c>
    </row>
    <row r="49" spans="1:2" x14ac:dyDescent="0.35">
      <c r="A49" s="11" t="s">
        <v>320</v>
      </c>
      <c r="B49" s="12">
        <v>24</v>
      </c>
    </row>
    <row r="50" spans="1:2" x14ac:dyDescent="0.35">
      <c r="A50" s="11" t="s">
        <v>157</v>
      </c>
      <c r="B50" s="12">
        <v>24</v>
      </c>
    </row>
    <row r="51" spans="1:2" x14ac:dyDescent="0.35">
      <c r="A51" s="11" t="s">
        <v>148</v>
      </c>
      <c r="B51" s="12">
        <v>24</v>
      </c>
    </row>
    <row r="52" spans="1:2" x14ac:dyDescent="0.35">
      <c r="A52" s="11" t="s">
        <v>258</v>
      </c>
      <c r="B52" s="12">
        <v>24</v>
      </c>
    </row>
    <row r="53" spans="1:2" x14ac:dyDescent="0.35">
      <c r="A53" s="11" t="s">
        <v>310</v>
      </c>
      <c r="B53" s="12">
        <v>24</v>
      </c>
    </row>
    <row r="54" spans="1:2" x14ac:dyDescent="0.35">
      <c r="A54" s="11" t="s">
        <v>143</v>
      </c>
      <c r="B54" s="12">
        <v>24</v>
      </c>
    </row>
    <row r="55" spans="1:2" x14ac:dyDescent="0.35">
      <c r="A55" s="11" t="s">
        <v>173</v>
      </c>
      <c r="B55" s="12">
        <v>24</v>
      </c>
    </row>
    <row r="56" spans="1:2" x14ac:dyDescent="0.35">
      <c r="A56" s="11" t="s">
        <v>120</v>
      </c>
      <c r="B56" s="12">
        <v>1</v>
      </c>
    </row>
    <row r="57" spans="1:2" x14ac:dyDescent="0.35">
      <c r="A57" s="11" t="s">
        <v>154</v>
      </c>
      <c r="B57" s="12">
        <v>24</v>
      </c>
    </row>
    <row r="58" spans="1:2" x14ac:dyDescent="0.35">
      <c r="A58" s="11" t="s">
        <v>237</v>
      </c>
      <c r="B58" s="12">
        <v>24</v>
      </c>
    </row>
    <row r="59" spans="1:2" x14ac:dyDescent="0.35">
      <c r="A59" s="11" t="s">
        <v>168</v>
      </c>
      <c r="B59" s="12">
        <v>24</v>
      </c>
    </row>
    <row r="60" spans="1:2" x14ac:dyDescent="0.35">
      <c r="A60" s="11" t="s">
        <v>33</v>
      </c>
      <c r="B60" s="12">
        <v>10</v>
      </c>
    </row>
    <row r="61" spans="1:2" x14ac:dyDescent="0.35">
      <c r="A61" s="11" t="s">
        <v>117</v>
      </c>
      <c r="B61" s="12">
        <v>1</v>
      </c>
    </row>
    <row r="62" spans="1:2" x14ac:dyDescent="0.35">
      <c r="A62" s="11" t="s">
        <v>229</v>
      </c>
      <c r="B62" s="12">
        <v>22</v>
      </c>
    </row>
    <row r="63" spans="1:2" x14ac:dyDescent="0.35">
      <c r="A63" s="11" t="s">
        <v>89</v>
      </c>
      <c r="B63" s="12">
        <v>4</v>
      </c>
    </row>
    <row r="64" spans="1:2" x14ac:dyDescent="0.35">
      <c r="A64" s="11" t="s">
        <v>102</v>
      </c>
      <c r="B64" s="12">
        <v>7</v>
      </c>
    </row>
    <row r="65" spans="1:2" x14ac:dyDescent="0.35">
      <c r="A65" s="11" t="s">
        <v>81</v>
      </c>
      <c r="B65" s="12">
        <v>6</v>
      </c>
    </row>
    <row r="66" spans="1:2" x14ac:dyDescent="0.35">
      <c r="A66" s="11" t="s">
        <v>42</v>
      </c>
      <c r="B66" s="12">
        <v>9</v>
      </c>
    </row>
    <row r="67" spans="1:2" x14ac:dyDescent="0.35">
      <c r="A67" s="11" t="s">
        <v>253</v>
      </c>
      <c r="B67" s="12">
        <v>10</v>
      </c>
    </row>
    <row r="68" spans="1:2" x14ac:dyDescent="0.35">
      <c r="A68" s="11" t="s">
        <v>198</v>
      </c>
      <c r="B68" s="12">
        <v>17</v>
      </c>
    </row>
    <row r="69" spans="1:2" x14ac:dyDescent="0.35">
      <c r="A69" s="11" t="s">
        <v>295</v>
      </c>
      <c r="B69" s="12">
        <v>1</v>
      </c>
    </row>
    <row r="70" spans="1:2" x14ac:dyDescent="0.35">
      <c r="A70" s="11" t="s">
        <v>218</v>
      </c>
      <c r="B70" s="12">
        <v>14</v>
      </c>
    </row>
    <row r="71" spans="1:2" x14ac:dyDescent="0.35">
      <c r="A71" s="11" t="s">
        <v>85</v>
      </c>
      <c r="B71" s="12">
        <v>7</v>
      </c>
    </row>
    <row r="72" spans="1:2" x14ac:dyDescent="0.35">
      <c r="A72" s="11" t="s">
        <v>63</v>
      </c>
      <c r="B72" s="12">
        <v>1</v>
      </c>
    </row>
    <row r="73" spans="1:2" x14ac:dyDescent="0.35">
      <c r="A73" s="11" t="s">
        <v>50</v>
      </c>
      <c r="B73" s="12">
        <v>5</v>
      </c>
    </row>
    <row r="74" spans="1:2" x14ac:dyDescent="0.35">
      <c r="A74" s="11" t="s">
        <v>35</v>
      </c>
      <c r="B74" s="12">
        <v>2</v>
      </c>
    </row>
    <row r="75" spans="1:2" x14ac:dyDescent="0.35">
      <c r="A75" s="11" t="s">
        <v>128</v>
      </c>
      <c r="B75" s="12">
        <v>24</v>
      </c>
    </row>
    <row r="76" spans="1:2" x14ac:dyDescent="0.35">
      <c r="A76" s="11" t="s">
        <v>108</v>
      </c>
      <c r="B76" s="12">
        <v>7</v>
      </c>
    </row>
    <row r="77" spans="1:2" x14ac:dyDescent="0.35">
      <c r="A77" s="11" t="s">
        <v>78</v>
      </c>
      <c r="B77" s="12">
        <v>10</v>
      </c>
    </row>
    <row r="78" spans="1:2" x14ac:dyDescent="0.35">
      <c r="A78" s="11" t="s">
        <v>307</v>
      </c>
      <c r="B78" s="12">
        <v>24</v>
      </c>
    </row>
    <row r="79" spans="1:2" x14ac:dyDescent="0.35">
      <c r="A79" s="11" t="s">
        <v>66</v>
      </c>
      <c r="B79" s="12">
        <v>4</v>
      </c>
    </row>
    <row r="80" spans="1:2" x14ac:dyDescent="0.35">
      <c r="A80" s="11" t="s">
        <v>243</v>
      </c>
      <c r="B80" s="12">
        <v>14</v>
      </c>
    </row>
    <row r="81" spans="1:2" x14ac:dyDescent="0.35">
      <c r="A81" s="11" t="s">
        <v>10</v>
      </c>
      <c r="B81" s="12">
        <v>9</v>
      </c>
    </row>
    <row r="82" spans="1:2" x14ac:dyDescent="0.35">
      <c r="A82" s="11" t="s">
        <v>287</v>
      </c>
      <c r="B82" s="12">
        <v>24</v>
      </c>
    </row>
    <row r="83" spans="1:2" x14ac:dyDescent="0.35">
      <c r="A83" s="11" t="s">
        <v>134</v>
      </c>
      <c r="B83" s="12">
        <v>24</v>
      </c>
    </row>
    <row r="84" spans="1:2" x14ac:dyDescent="0.35">
      <c r="A84" s="11" t="s">
        <v>53</v>
      </c>
      <c r="B84" s="12">
        <v>8</v>
      </c>
    </row>
    <row r="85" spans="1:2" x14ac:dyDescent="0.35">
      <c r="A85" s="11" t="s">
        <v>266</v>
      </c>
      <c r="B85" s="12">
        <v>24</v>
      </c>
    </row>
    <row r="86" spans="1:2" x14ac:dyDescent="0.35">
      <c r="A86" s="11" t="s">
        <v>99</v>
      </c>
      <c r="B86" s="12">
        <v>24</v>
      </c>
    </row>
    <row r="87" spans="1:2" x14ac:dyDescent="0.35">
      <c r="A87" s="11" t="s">
        <v>165</v>
      </c>
      <c r="B87" s="12">
        <v>24</v>
      </c>
    </row>
    <row r="88" spans="1:2" x14ac:dyDescent="0.35">
      <c r="A88" s="11" t="s">
        <v>186</v>
      </c>
      <c r="B88" s="12">
        <v>14</v>
      </c>
    </row>
    <row r="89" spans="1:2" x14ac:dyDescent="0.35">
      <c r="A89" s="11" t="s">
        <v>256</v>
      </c>
      <c r="B89" s="12">
        <v>24</v>
      </c>
    </row>
    <row r="90" spans="1:2" x14ac:dyDescent="0.35">
      <c r="A90" s="11" t="s">
        <v>261</v>
      </c>
      <c r="B90" s="12">
        <v>24</v>
      </c>
    </row>
    <row r="91" spans="1:2" x14ac:dyDescent="0.35">
      <c r="A91" s="11" t="s">
        <v>60</v>
      </c>
      <c r="B91" s="12">
        <v>1</v>
      </c>
    </row>
    <row r="92" spans="1:2" x14ac:dyDescent="0.35">
      <c r="A92" s="11" t="s">
        <v>160</v>
      </c>
      <c r="B92" s="12">
        <v>24</v>
      </c>
    </row>
    <row r="93" spans="1:2" x14ac:dyDescent="0.35">
      <c r="A93" s="11" t="s">
        <v>163</v>
      </c>
      <c r="B93" s="12">
        <v>24</v>
      </c>
    </row>
    <row r="94" spans="1:2" x14ac:dyDescent="0.35">
      <c r="A94" s="11" t="s">
        <v>22</v>
      </c>
      <c r="B94" s="12">
        <v>2</v>
      </c>
    </row>
    <row r="95" spans="1:2" x14ac:dyDescent="0.35">
      <c r="A95" s="11" t="s">
        <v>14</v>
      </c>
      <c r="B95" s="12">
        <v>4</v>
      </c>
    </row>
    <row r="96" spans="1:2" x14ac:dyDescent="0.35">
      <c r="A96" s="11" t="s">
        <v>282</v>
      </c>
      <c r="B96" s="12">
        <v>24</v>
      </c>
    </row>
    <row r="97" spans="1:2" x14ac:dyDescent="0.35">
      <c r="A97" s="11" t="s">
        <v>92</v>
      </c>
      <c r="B97" s="12">
        <v>12</v>
      </c>
    </row>
    <row r="98" spans="1:2" x14ac:dyDescent="0.35">
      <c r="A98" s="11" t="s">
        <v>272</v>
      </c>
      <c r="B98" s="12">
        <v>24</v>
      </c>
    </row>
    <row r="99" spans="1:2" x14ac:dyDescent="0.35">
      <c r="A99" s="11" t="s">
        <v>122</v>
      </c>
      <c r="B99" s="12">
        <v>7</v>
      </c>
    </row>
    <row r="100" spans="1:2" x14ac:dyDescent="0.35">
      <c r="A100" s="11" t="s">
        <v>274</v>
      </c>
      <c r="B100" s="12">
        <v>24</v>
      </c>
    </row>
    <row r="101" spans="1:2" x14ac:dyDescent="0.35">
      <c r="A101" s="11" t="s">
        <v>140</v>
      </c>
      <c r="B101" s="12">
        <v>24</v>
      </c>
    </row>
    <row r="102" spans="1:2" x14ac:dyDescent="0.35">
      <c r="A102" s="11" t="s">
        <v>312</v>
      </c>
      <c r="B102" s="12">
        <v>24</v>
      </c>
    </row>
    <row r="103" spans="1:2" x14ac:dyDescent="0.35">
      <c r="A103" s="11" t="s">
        <v>170</v>
      </c>
      <c r="B103" s="12">
        <v>24</v>
      </c>
    </row>
    <row r="104" spans="1:2" x14ac:dyDescent="0.35">
      <c r="A104" s="11" t="s">
        <v>314</v>
      </c>
      <c r="B104" s="12">
        <v>24</v>
      </c>
    </row>
    <row r="105" spans="1:2" x14ac:dyDescent="0.35">
      <c r="A105" s="11" t="s">
        <v>202</v>
      </c>
      <c r="B105" s="12">
        <v>15</v>
      </c>
    </row>
    <row r="106" spans="1:2" x14ac:dyDescent="0.35">
      <c r="A106" s="11" t="s">
        <v>269</v>
      </c>
      <c r="B106" s="12">
        <v>24</v>
      </c>
    </row>
    <row r="107" spans="1:2" x14ac:dyDescent="0.35">
      <c r="A107" s="11" t="s">
        <v>280</v>
      </c>
      <c r="B107" s="12">
        <v>24</v>
      </c>
    </row>
    <row r="108" spans="1:2" x14ac:dyDescent="0.35">
      <c r="A108" s="11" t="s">
        <v>318</v>
      </c>
      <c r="B108" s="12">
        <v>23</v>
      </c>
    </row>
    <row r="109" spans="1:2" x14ac:dyDescent="0.35">
      <c r="A109" s="11" t="s">
        <v>264</v>
      </c>
      <c r="B109" s="12">
        <v>24</v>
      </c>
    </row>
    <row r="110" spans="1:2" x14ac:dyDescent="0.35">
      <c r="A110" s="11" t="s">
        <v>221</v>
      </c>
      <c r="B110" s="12">
        <v>20</v>
      </c>
    </row>
    <row r="111" spans="1:2" x14ac:dyDescent="0.35">
      <c r="A111" s="11" t="s">
        <v>18</v>
      </c>
      <c r="B111" s="12">
        <v>3</v>
      </c>
    </row>
    <row r="112" spans="1:2" x14ac:dyDescent="0.35">
      <c r="A112" s="11" t="s">
        <v>224</v>
      </c>
      <c r="B112" s="12">
        <v>14</v>
      </c>
    </row>
    <row r="113" spans="1:2" x14ac:dyDescent="0.35">
      <c r="A113" s="11" t="s">
        <v>16723</v>
      </c>
      <c r="B113" s="12">
        <v>11</v>
      </c>
    </row>
    <row r="114" spans="1:2" x14ac:dyDescent="0.35">
      <c r="A114" s="11" t="s">
        <v>16724</v>
      </c>
      <c r="B114"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0A0FF-C013-4C2B-B033-3110D7554EE2}">
  <sheetPr filterMode="1"/>
  <dimension ref="A1:J118"/>
  <sheetViews>
    <sheetView workbookViewId="0">
      <selection sqref="A1:XFD1048576"/>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7" width="9.6328125" customWidth="1"/>
    <col min="8"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16705</v>
      </c>
      <c r="H1" s="2" t="s">
        <v>16704</v>
      </c>
      <c r="I1" s="2" t="s">
        <v>16710</v>
      </c>
      <c r="J1" s="2" t="s">
        <v>16709</v>
      </c>
    </row>
    <row r="2" spans="1:10" hidden="1" x14ac:dyDescent="0.35">
      <c r="A2" s="4" t="s">
        <v>6</v>
      </c>
      <c r="B2" s="6">
        <v>950</v>
      </c>
      <c r="C2" s="6">
        <v>1525</v>
      </c>
      <c r="D2" s="1">
        <v>0.38</v>
      </c>
      <c r="E2">
        <v>2</v>
      </c>
      <c r="F2">
        <v>4.5</v>
      </c>
      <c r="G2" t="s">
        <v>16706</v>
      </c>
      <c r="H2" s="6">
        <f t="shared" ref="H2:H65" si="0">C2-B2</f>
        <v>575</v>
      </c>
    </row>
    <row r="3" spans="1:10" hidden="1" x14ac:dyDescent="0.35">
      <c r="A3" s="4" t="s">
        <v>10</v>
      </c>
      <c r="B3" s="6">
        <v>527</v>
      </c>
      <c r="C3" s="6">
        <v>999</v>
      </c>
      <c r="D3" s="1">
        <v>0.47</v>
      </c>
      <c r="E3">
        <v>14</v>
      </c>
      <c r="F3">
        <v>4.0999999999999996</v>
      </c>
      <c r="G3" t="s">
        <v>16707</v>
      </c>
      <c r="H3" s="6">
        <f t="shared" si="0"/>
        <v>472</v>
      </c>
    </row>
    <row r="4" spans="1:10" hidden="1" x14ac:dyDescent="0.35">
      <c r="A4" s="4" t="s">
        <v>14</v>
      </c>
      <c r="B4" s="6">
        <v>2199</v>
      </c>
      <c r="C4" s="6">
        <v>2923</v>
      </c>
      <c r="D4" s="1">
        <v>0.25</v>
      </c>
      <c r="E4">
        <v>24</v>
      </c>
      <c r="F4">
        <v>4.5999999999999996</v>
      </c>
      <c r="G4" t="s">
        <v>16706</v>
      </c>
      <c r="H4" s="6">
        <f t="shared" si="0"/>
        <v>724</v>
      </c>
    </row>
    <row r="5" spans="1:10" hidden="1" x14ac:dyDescent="0.35">
      <c r="A5" s="4" t="s">
        <v>18</v>
      </c>
      <c r="B5" s="6">
        <v>1580</v>
      </c>
      <c r="C5" s="6">
        <v>2499</v>
      </c>
      <c r="D5" s="1">
        <v>0.37</v>
      </c>
      <c r="E5">
        <v>7</v>
      </c>
      <c r="F5">
        <v>4.7</v>
      </c>
      <c r="G5" t="s">
        <v>16706</v>
      </c>
      <c r="H5" s="6">
        <f t="shared" si="0"/>
        <v>919</v>
      </c>
    </row>
    <row r="6" spans="1:10" x14ac:dyDescent="0.35">
      <c r="A6" s="4" t="s">
        <v>22</v>
      </c>
      <c r="B6" s="6">
        <v>1740</v>
      </c>
      <c r="C6" s="6">
        <v>2356</v>
      </c>
      <c r="D6" s="1">
        <v>0.26</v>
      </c>
      <c r="E6">
        <v>5</v>
      </c>
      <c r="F6">
        <v>4.8</v>
      </c>
      <c r="G6" t="s">
        <v>16706</v>
      </c>
      <c r="H6" s="6">
        <f t="shared" si="0"/>
        <v>616</v>
      </c>
    </row>
    <row r="7" spans="1:10" hidden="1" x14ac:dyDescent="0.35">
      <c r="A7" s="4" t="s">
        <v>26</v>
      </c>
      <c r="B7" s="6">
        <v>2999</v>
      </c>
      <c r="C7" s="6">
        <v>3290</v>
      </c>
      <c r="D7" s="1">
        <v>0.09</v>
      </c>
      <c r="E7">
        <v>15</v>
      </c>
      <c r="F7">
        <v>4</v>
      </c>
      <c r="G7" t="s">
        <v>16707</v>
      </c>
      <c r="H7" s="6">
        <f t="shared" si="0"/>
        <v>291</v>
      </c>
    </row>
    <row r="8" spans="1:10" hidden="1" x14ac:dyDescent="0.35">
      <c r="A8" s="4" t="s">
        <v>30</v>
      </c>
      <c r="B8" s="6">
        <v>2319</v>
      </c>
      <c r="C8" s="6">
        <v>3032</v>
      </c>
      <c r="D8" s="1">
        <v>0.24</v>
      </c>
      <c r="E8">
        <v>55</v>
      </c>
      <c r="F8">
        <v>4.5999999999999996</v>
      </c>
      <c r="G8" t="s">
        <v>16706</v>
      </c>
      <c r="H8" s="6">
        <f t="shared" si="0"/>
        <v>713</v>
      </c>
    </row>
    <row r="9" spans="1:10" hidden="1" x14ac:dyDescent="0.35">
      <c r="A9" s="4" t="s">
        <v>33</v>
      </c>
      <c r="B9" s="6">
        <v>988</v>
      </c>
      <c r="C9" s="6">
        <v>1580</v>
      </c>
      <c r="D9" s="1">
        <v>0.37</v>
      </c>
      <c r="E9">
        <v>2</v>
      </c>
      <c r="F9">
        <v>4</v>
      </c>
      <c r="G9" t="s">
        <v>16707</v>
      </c>
      <c r="H9" s="6">
        <f t="shared" si="0"/>
        <v>592</v>
      </c>
    </row>
    <row r="10" spans="1:10" x14ac:dyDescent="0.35">
      <c r="A10" s="4" t="s">
        <v>35</v>
      </c>
      <c r="B10" s="6">
        <v>1274</v>
      </c>
      <c r="C10" s="6">
        <v>2800</v>
      </c>
      <c r="D10" s="1">
        <v>0.55000000000000004</v>
      </c>
      <c r="E10">
        <v>5</v>
      </c>
      <c r="F10">
        <v>4.8</v>
      </c>
      <c r="G10" t="s">
        <v>16706</v>
      </c>
      <c r="H10" s="6">
        <f t="shared" si="0"/>
        <v>1526</v>
      </c>
    </row>
    <row r="11" spans="1:10" hidden="1" x14ac:dyDescent="0.35">
      <c r="A11" s="4" t="s">
        <v>38</v>
      </c>
      <c r="B11" s="6">
        <v>1600</v>
      </c>
      <c r="C11" s="6">
        <v>2929</v>
      </c>
      <c r="D11" s="1">
        <v>0.45</v>
      </c>
      <c r="E11">
        <v>5</v>
      </c>
      <c r="F11">
        <v>3.8</v>
      </c>
      <c r="G11" t="s">
        <v>16707</v>
      </c>
      <c r="H11" s="6">
        <f t="shared" si="0"/>
        <v>1329</v>
      </c>
    </row>
    <row r="12" spans="1:10" hidden="1" x14ac:dyDescent="0.35">
      <c r="A12" s="4" t="s">
        <v>42</v>
      </c>
      <c r="B12" s="6">
        <v>799</v>
      </c>
      <c r="C12" s="6">
        <v>999</v>
      </c>
      <c r="D12" s="1">
        <v>0.2</v>
      </c>
      <c r="E12">
        <v>12</v>
      </c>
      <c r="F12">
        <v>4.0999999999999996</v>
      </c>
      <c r="G12" t="s">
        <v>16707</v>
      </c>
      <c r="H12" s="6">
        <f t="shared" si="0"/>
        <v>200</v>
      </c>
    </row>
    <row r="13" spans="1:10" hidden="1" x14ac:dyDescent="0.35">
      <c r="A13" s="4" t="s">
        <v>44</v>
      </c>
      <c r="B13" s="6">
        <v>990</v>
      </c>
      <c r="C13" s="6">
        <v>1500</v>
      </c>
      <c r="D13" s="1">
        <v>0.34</v>
      </c>
      <c r="E13">
        <v>39</v>
      </c>
      <c r="F13">
        <v>4.7</v>
      </c>
      <c r="G13" t="s">
        <v>16706</v>
      </c>
      <c r="H13" s="6">
        <f t="shared" si="0"/>
        <v>510</v>
      </c>
    </row>
    <row r="14" spans="1:10" x14ac:dyDescent="0.35">
      <c r="A14" s="4" t="s">
        <v>47</v>
      </c>
      <c r="B14" s="6">
        <v>552</v>
      </c>
      <c r="C14" s="6">
        <v>1035</v>
      </c>
      <c r="D14" s="1">
        <v>0.47</v>
      </c>
      <c r="E14">
        <v>12</v>
      </c>
      <c r="F14">
        <v>4.8</v>
      </c>
      <c r="G14" t="s">
        <v>16706</v>
      </c>
      <c r="H14" s="6">
        <f t="shared" si="0"/>
        <v>483</v>
      </c>
    </row>
    <row r="15" spans="1:10" hidden="1" x14ac:dyDescent="0.35">
      <c r="A15" s="4" t="s">
        <v>50</v>
      </c>
      <c r="B15" s="6">
        <v>501</v>
      </c>
      <c r="C15" s="6">
        <v>860</v>
      </c>
      <c r="D15" s="1">
        <v>0.42</v>
      </c>
      <c r="E15">
        <v>6</v>
      </c>
      <c r="F15">
        <v>4.5</v>
      </c>
      <c r="G15" t="s">
        <v>16706</v>
      </c>
      <c r="H15" s="6">
        <f t="shared" si="0"/>
        <v>359</v>
      </c>
    </row>
    <row r="16" spans="1:10" hidden="1" x14ac:dyDescent="0.35">
      <c r="A16" s="4" t="s">
        <v>53</v>
      </c>
      <c r="B16" s="6">
        <v>1680</v>
      </c>
      <c r="C16" s="6">
        <v>2499</v>
      </c>
      <c r="D16" s="1">
        <v>0.33</v>
      </c>
      <c r="E16">
        <v>9</v>
      </c>
      <c r="F16">
        <v>4.2</v>
      </c>
      <c r="G16" t="s">
        <v>16707</v>
      </c>
      <c r="H16" s="6">
        <f t="shared" si="0"/>
        <v>819</v>
      </c>
    </row>
    <row r="17" spans="1:8" x14ac:dyDescent="0.35">
      <c r="A17" s="4" t="s">
        <v>56</v>
      </c>
      <c r="B17" s="6">
        <v>332</v>
      </c>
      <c r="C17" s="6">
        <v>684</v>
      </c>
      <c r="D17" s="1">
        <v>0.51</v>
      </c>
      <c r="E17">
        <v>2</v>
      </c>
      <c r="F17">
        <v>5</v>
      </c>
      <c r="G17" t="s">
        <v>16706</v>
      </c>
      <c r="H17" s="6">
        <f t="shared" si="0"/>
        <v>352</v>
      </c>
    </row>
    <row r="18" spans="1:8" x14ac:dyDescent="0.35">
      <c r="A18" s="4" t="s">
        <v>60</v>
      </c>
      <c r="B18" s="6">
        <v>195</v>
      </c>
      <c r="C18" s="6">
        <v>360</v>
      </c>
      <c r="D18" s="1">
        <v>0.46</v>
      </c>
      <c r="E18">
        <v>2</v>
      </c>
      <c r="F18">
        <v>5</v>
      </c>
      <c r="G18" t="s">
        <v>16706</v>
      </c>
      <c r="H18" s="6">
        <f t="shared" si="0"/>
        <v>165</v>
      </c>
    </row>
    <row r="19" spans="1:8" x14ac:dyDescent="0.35">
      <c r="A19" s="4" t="s">
        <v>63</v>
      </c>
      <c r="B19" s="6">
        <v>2025</v>
      </c>
      <c r="C19" s="6">
        <v>3971</v>
      </c>
      <c r="D19" s="1">
        <v>0.49</v>
      </c>
      <c r="E19">
        <v>3</v>
      </c>
      <c r="F19">
        <v>5</v>
      </c>
      <c r="G19" t="s">
        <v>16706</v>
      </c>
      <c r="H19" s="6">
        <f t="shared" si="0"/>
        <v>1946</v>
      </c>
    </row>
    <row r="20" spans="1:8" hidden="1" x14ac:dyDescent="0.35">
      <c r="A20" s="4" t="s">
        <v>66</v>
      </c>
      <c r="B20" s="6">
        <v>2999</v>
      </c>
      <c r="C20" s="6">
        <v>3699</v>
      </c>
      <c r="D20" s="1">
        <v>0.19</v>
      </c>
      <c r="E20">
        <v>5</v>
      </c>
      <c r="F20">
        <v>4.5999999999999996</v>
      </c>
      <c r="G20" t="s">
        <v>16706</v>
      </c>
      <c r="H20" s="6">
        <f t="shared" si="0"/>
        <v>700</v>
      </c>
    </row>
    <row r="21" spans="1:8" hidden="1" x14ac:dyDescent="0.35">
      <c r="A21" s="4" t="s">
        <v>68</v>
      </c>
      <c r="B21" s="6">
        <v>998</v>
      </c>
      <c r="C21" s="6">
        <v>1966</v>
      </c>
      <c r="D21" s="1">
        <v>0.49</v>
      </c>
      <c r="E21">
        <v>44</v>
      </c>
      <c r="F21">
        <v>4.5999999999999996</v>
      </c>
      <c r="G21" t="s">
        <v>16706</v>
      </c>
      <c r="H21" s="6">
        <f t="shared" si="0"/>
        <v>968</v>
      </c>
    </row>
    <row r="22" spans="1:8" hidden="1" x14ac:dyDescent="0.35">
      <c r="A22" s="4" t="s">
        <v>71</v>
      </c>
      <c r="B22" s="6">
        <v>38</v>
      </c>
      <c r="C22" s="6">
        <v>80</v>
      </c>
      <c r="D22" s="1">
        <v>0.53</v>
      </c>
      <c r="E22">
        <v>13</v>
      </c>
      <c r="F22">
        <v>3.3</v>
      </c>
      <c r="G22" t="s">
        <v>16707</v>
      </c>
      <c r="H22" s="6">
        <f t="shared" si="0"/>
        <v>42</v>
      </c>
    </row>
    <row r="23" spans="1:8" hidden="1" x14ac:dyDescent="0.35">
      <c r="A23" s="4" t="s">
        <v>75</v>
      </c>
      <c r="B23" s="6">
        <v>1860</v>
      </c>
      <c r="C23" s="6">
        <v>3220</v>
      </c>
      <c r="D23" s="1">
        <v>0.42</v>
      </c>
      <c r="E23" t="s">
        <v>16703</v>
      </c>
      <c r="F23" t="s">
        <v>16703</v>
      </c>
      <c r="H23" s="6">
        <f t="shared" si="0"/>
        <v>1360</v>
      </c>
    </row>
    <row r="24" spans="1:8" hidden="1" x14ac:dyDescent="0.35">
      <c r="A24" s="4" t="s">
        <v>78</v>
      </c>
      <c r="B24" s="6">
        <v>880</v>
      </c>
      <c r="C24" s="6">
        <v>1350</v>
      </c>
      <c r="D24" s="1">
        <v>0.35</v>
      </c>
      <c r="E24">
        <v>6</v>
      </c>
      <c r="F24">
        <v>4</v>
      </c>
      <c r="G24" t="s">
        <v>16707</v>
      </c>
      <c r="H24" s="6">
        <f t="shared" si="0"/>
        <v>470</v>
      </c>
    </row>
    <row r="25" spans="1:8" hidden="1" x14ac:dyDescent="0.35">
      <c r="A25" s="4" t="s">
        <v>81</v>
      </c>
      <c r="B25" s="6">
        <v>1650</v>
      </c>
      <c r="C25" s="6">
        <v>2150</v>
      </c>
      <c r="D25" s="1">
        <v>0.23</v>
      </c>
      <c r="E25">
        <v>14</v>
      </c>
      <c r="F25">
        <v>4.4000000000000004</v>
      </c>
      <c r="G25" t="s">
        <v>16707</v>
      </c>
      <c r="H25" s="6">
        <f t="shared" si="0"/>
        <v>500</v>
      </c>
    </row>
    <row r="26" spans="1:8" hidden="1" x14ac:dyDescent="0.35">
      <c r="A26" s="4" t="s">
        <v>85</v>
      </c>
      <c r="B26" s="6">
        <v>2048</v>
      </c>
      <c r="C26" s="6">
        <v>4500</v>
      </c>
      <c r="D26" s="1">
        <v>0.54</v>
      </c>
      <c r="E26">
        <v>7</v>
      </c>
      <c r="F26">
        <v>4.3</v>
      </c>
      <c r="G26" t="s">
        <v>16707</v>
      </c>
      <c r="H26" s="6">
        <f t="shared" si="0"/>
        <v>2452</v>
      </c>
    </row>
    <row r="27" spans="1:8" hidden="1" x14ac:dyDescent="0.35">
      <c r="A27" s="4" t="s">
        <v>89</v>
      </c>
      <c r="B27" s="6">
        <v>420</v>
      </c>
      <c r="C27" s="6">
        <v>647</v>
      </c>
      <c r="D27" s="1">
        <v>0.35</v>
      </c>
      <c r="E27">
        <v>49</v>
      </c>
      <c r="F27">
        <v>4.5999999999999996</v>
      </c>
      <c r="G27" t="s">
        <v>16706</v>
      </c>
      <c r="H27" s="6">
        <f t="shared" si="0"/>
        <v>227</v>
      </c>
    </row>
    <row r="28" spans="1:8" hidden="1" x14ac:dyDescent="0.35">
      <c r="A28" s="4" t="s">
        <v>92</v>
      </c>
      <c r="B28" s="6">
        <v>2880</v>
      </c>
      <c r="C28" s="6">
        <v>3520</v>
      </c>
      <c r="D28" s="1">
        <v>0.18</v>
      </c>
      <c r="E28">
        <v>12</v>
      </c>
      <c r="F28">
        <v>3.8</v>
      </c>
      <c r="G28" t="s">
        <v>16707</v>
      </c>
      <c r="H28" s="6">
        <f t="shared" si="0"/>
        <v>640</v>
      </c>
    </row>
    <row r="29" spans="1:8" hidden="1" x14ac:dyDescent="0.35">
      <c r="A29" s="4" t="s">
        <v>95</v>
      </c>
      <c r="B29" s="6">
        <v>1350</v>
      </c>
      <c r="C29" s="6">
        <v>1990</v>
      </c>
      <c r="D29" s="1">
        <v>0.32</v>
      </c>
      <c r="E29">
        <v>13</v>
      </c>
      <c r="F29">
        <v>3.8</v>
      </c>
      <c r="G29" t="s">
        <v>16707</v>
      </c>
      <c r="H29" s="6">
        <f t="shared" si="0"/>
        <v>640</v>
      </c>
    </row>
    <row r="30" spans="1:8" hidden="1" x14ac:dyDescent="0.35">
      <c r="A30" s="4" t="s">
        <v>97</v>
      </c>
      <c r="B30" s="6">
        <v>1758</v>
      </c>
      <c r="C30" s="6">
        <v>2499</v>
      </c>
      <c r="D30" s="1">
        <v>0.3</v>
      </c>
      <c r="E30">
        <v>20</v>
      </c>
      <c r="F30">
        <v>4.0999999999999996</v>
      </c>
      <c r="G30" t="s">
        <v>16707</v>
      </c>
      <c r="H30" s="6">
        <f t="shared" si="0"/>
        <v>741</v>
      </c>
    </row>
    <row r="31" spans="1:8" hidden="1" x14ac:dyDescent="0.35">
      <c r="A31" s="4" t="s">
        <v>99</v>
      </c>
      <c r="B31" s="6">
        <v>2200</v>
      </c>
      <c r="C31" s="6">
        <v>4080</v>
      </c>
      <c r="D31" s="1">
        <v>0.46</v>
      </c>
      <c r="E31" t="s">
        <v>16703</v>
      </c>
      <c r="F31" t="s">
        <v>16703</v>
      </c>
      <c r="H31" s="6">
        <f t="shared" si="0"/>
        <v>1880</v>
      </c>
    </row>
    <row r="32" spans="1:8" hidden="1" x14ac:dyDescent="0.35">
      <c r="A32" s="4" t="s">
        <v>102</v>
      </c>
      <c r="B32" s="6">
        <v>185</v>
      </c>
      <c r="C32" s="6">
        <v>382</v>
      </c>
      <c r="D32" s="1">
        <v>0.52</v>
      </c>
      <c r="E32">
        <v>9</v>
      </c>
      <c r="F32">
        <v>4.3</v>
      </c>
      <c r="G32" t="s">
        <v>16707</v>
      </c>
      <c r="H32" s="6">
        <f t="shared" si="0"/>
        <v>197</v>
      </c>
    </row>
    <row r="33" spans="1:8" hidden="1" x14ac:dyDescent="0.35">
      <c r="A33" s="4" t="s">
        <v>105</v>
      </c>
      <c r="B33" s="6">
        <v>980</v>
      </c>
      <c r="C33" s="6">
        <v>1490</v>
      </c>
      <c r="D33" s="1">
        <v>0.34</v>
      </c>
      <c r="E33">
        <v>12</v>
      </c>
      <c r="F33">
        <v>4.7</v>
      </c>
      <c r="G33" t="s">
        <v>16706</v>
      </c>
      <c r="H33" s="6">
        <f t="shared" si="0"/>
        <v>510</v>
      </c>
    </row>
    <row r="34" spans="1:8" hidden="1" x14ac:dyDescent="0.35">
      <c r="A34" s="4" t="s">
        <v>108</v>
      </c>
      <c r="B34" s="6">
        <v>1820</v>
      </c>
      <c r="C34" s="6">
        <v>3490</v>
      </c>
      <c r="D34" s="1">
        <v>0.48</v>
      </c>
      <c r="E34">
        <v>9</v>
      </c>
      <c r="F34">
        <v>4.3</v>
      </c>
      <c r="G34" t="s">
        <v>16707</v>
      </c>
      <c r="H34" s="6">
        <f t="shared" si="0"/>
        <v>1670</v>
      </c>
    </row>
    <row r="35" spans="1:8" hidden="1" x14ac:dyDescent="0.35">
      <c r="A35" s="4" t="s">
        <v>111</v>
      </c>
      <c r="B35" s="6">
        <v>1940</v>
      </c>
      <c r="C35" s="6">
        <v>2650</v>
      </c>
      <c r="D35" s="1">
        <v>0.27</v>
      </c>
      <c r="E35">
        <v>20</v>
      </c>
      <c r="F35">
        <v>4.7</v>
      </c>
      <c r="G35" t="s">
        <v>16706</v>
      </c>
      <c r="H35" s="6">
        <f t="shared" si="0"/>
        <v>710</v>
      </c>
    </row>
    <row r="36" spans="1:8" hidden="1" x14ac:dyDescent="0.35">
      <c r="A36" s="4" t="s">
        <v>114</v>
      </c>
      <c r="B36" s="6">
        <v>1980</v>
      </c>
      <c r="C36" s="6">
        <v>2699</v>
      </c>
      <c r="D36" s="1">
        <v>0.27</v>
      </c>
      <c r="E36">
        <v>32</v>
      </c>
      <c r="F36">
        <v>4.5</v>
      </c>
      <c r="G36" t="s">
        <v>16706</v>
      </c>
      <c r="H36" s="6">
        <f t="shared" si="0"/>
        <v>719</v>
      </c>
    </row>
    <row r="37" spans="1:8" x14ac:dyDescent="0.35">
      <c r="A37" s="4" t="s">
        <v>117</v>
      </c>
      <c r="B37" s="6">
        <v>1620</v>
      </c>
      <c r="C37" s="6">
        <v>2690</v>
      </c>
      <c r="D37" s="1">
        <v>0.4</v>
      </c>
      <c r="E37">
        <v>1</v>
      </c>
      <c r="F37">
        <v>5</v>
      </c>
      <c r="G37" t="s">
        <v>16706</v>
      </c>
      <c r="H37" s="6">
        <f t="shared" si="0"/>
        <v>1070</v>
      </c>
    </row>
    <row r="38" spans="1:8" x14ac:dyDescent="0.35">
      <c r="A38" s="4" t="s">
        <v>120</v>
      </c>
      <c r="B38" s="6">
        <v>171</v>
      </c>
      <c r="C38" s="6">
        <v>360</v>
      </c>
      <c r="D38" s="1">
        <v>0.53</v>
      </c>
      <c r="E38">
        <v>2</v>
      </c>
      <c r="F38">
        <v>5</v>
      </c>
      <c r="G38" t="s">
        <v>16706</v>
      </c>
      <c r="H38" s="6">
        <f t="shared" si="0"/>
        <v>189</v>
      </c>
    </row>
    <row r="39" spans="1:8" hidden="1" x14ac:dyDescent="0.35">
      <c r="A39" s="4" t="s">
        <v>122</v>
      </c>
      <c r="B39" s="6">
        <v>389</v>
      </c>
      <c r="C39" s="6">
        <v>656</v>
      </c>
      <c r="D39" s="1">
        <v>0.41</v>
      </c>
      <c r="E39">
        <v>36</v>
      </c>
      <c r="F39">
        <v>4.3</v>
      </c>
      <c r="G39" t="s">
        <v>16707</v>
      </c>
      <c r="H39" s="6">
        <f t="shared" si="0"/>
        <v>267</v>
      </c>
    </row>
    <row r="40" spans="1:8" hidden="1" x14ac:dyDescent="0.35">
      <c r="A40" s="4" t="s">
        <v>125</v>
      </c>
      <c r="B40" s="6">
        <v>1980</v>
      </c>
      <c r="C40" s="6">
        <v>3200</v>
      </c>
      <c r="D40" s="1">
        <v>0.38</v>
      </c>
      <c r="E40">
        <v>2</v>
      </c>
      <c r="F40">
        <v>4.5</v>
      </c>
      <c r="G40" t="s">
        <v>16706</v>
      </c>
      <c r="H40" s="6">
        <f t="shared" si="0"/>
        <v>1220</v>
      </c>
    </row>
    <row r="41" spans="1:8" hidden="1" x14ac:dyDescent="0.35">
      <c r="A41" s="4" t="s">
        <v>128</v>
      </c>
      <c r="B41" s="6">
        <v>2750</v>
      </c>
      <c r="C41" s="6">
        <v>4471</v>
      </c>
      <c r="D41" s="1">
        <v>0.38</v>
      </c>
      <c r="E41" t="s">
        <v>16703</v>
      </c>
      <c r="F41" t="s">
        <v>16703</v>
      </c>
      <c r="H41" s="6">
        <f t="shared" si="0"/>
        <v>1721</v>
      </c>
    </row>
    <row r="42" spans="1:8" hidden="1" x14ac:dyDescent="0.35">
      <c r="A42" s="4" t="s">
        <v>131</v>
      </c>
      <c r="B42" s="6">
        <v>475</v>
      </c>
      <c r="C42" s="6">
        <v>931</v>
      </c>
      <c r="D42" s="1">
        <v>0.49</v>
      </c>
      <c r="E42" t="s">
        <v>16703</v>
      </c>
      <c r="F42" t="s">
        <v>16703</v>
      </c>
      <c r="H42" s="6">
        <f t="shared" si="0"/>
        <v>456</v>
      </c>
    </row>
    <row r="43" spans="1:8" hidden="1" x14ac:dyDescent="0.35">
      <c r="A43" s="4" t="s">
        <v>134</v>
      </c>
      <c r="B43" s="6">
        <v>238</v>
      </c>
      <c r="C43" s="6">
        <v>476</v>
      </c>
      <c r="D43" s="1">
        <v>0.5</v>
      </c>
      <c r="E43" t="s">
        <v>16703</v>
      </c>
      <c r="F43" t="s">
        <v>16703</v>
      </c>
      <c r="H43" s="6">
        <f t="shared" si="0"/>
        <v>238</v>
      </c>
    </row>
    <row r="44" spans="1:8" hidden="1" x14ac:dyDescent="0.35">
      <c r="A44" s="4" t="s">
        <v>137</v>
      </c>
      <c r="B44" s="6">
        <v>610</v>
      </c>
      <c r="C44" s="6">
        <v>1060</v>
      </c>
      <c r="D44" s="1">
        <v>0.42</v>
      </c>
      <c r="E44" t="s">
        <v>16703</v>
      </c>
      <c r="F44" t="s">
        <v>16703</v>
      </c>
      <c r="H44" s="6">
        <f t="shared" si="0"/>
        <v>450</v>
      </c>
    </row>
    <row r="45" spans="1:8" hidden="1" x14ac:dyDescent="0.35">
      <c r="A45" s="4" t="s">
        <v>140</v>
      </c>
      <c r="B45" s="6">
        <v>2132</v>
      </c>
      <c r="C45" s="6">
        <v>2169</v>
      </c>
      <c r="D45" s="1">
        <v>0.02</v>
      </c>
      <c r="E45" t="s">
        <v>16703</v>
      </c>
      <c r="F45" t="s">
        <v>16703</v>
      </c>
      <c r="H45" s="6">
        <f t="shared" si="0"/>
        <v>37</v>
      </c>
    </row>
    <row r="46" spans="1:8" hidden="1" x14ac:dyDescent="0.35">
      <c r="A46" s="4" t="s">
        <v>143</v>
      </c>
      <c r="B46" s="6">
        <v>999</v>
      </c>
      <c r="C46" s="6">
        <v>2000</v>
      </c>
      <c r="D46" s="1">
        <v>0.5</v>
      </c>
      <c r="E46" t="s">
        <v>16703</v>
      </c>
      <c r="F46" t="s">
        <v>16703</v>
      </c>
      <c r="H46" s="6">
        <f t="shared" si="0"/>
        <v>1001</v>
      </c>
    </row>
    <row r="47" spans="1:8" hidden="1" x14ac:dyDescent="0.35">
      <c r="A47" s="4" t="s">
        <v>145</v>
      </c>
      <c r="B47" s="6">
        <v>1190</v>
      </c>
      <c r="C47" s="6">
        <v>1785</v>
      </c>
      <c r="D47" s="1">
        <v>0.33</v>
      </c>
      <c r="E47" t="s">
        <v>16703</v>
      </c>
      <c r="F47" t="s">
        <v>16703</v>
      </c>
      <c r="H47" s="6">
        <f t="shared" si="0"/>
        <v>595</v>
      </c>
    </row>
    <row r="48" spans="1:8" hidden="1" x14ac:dyDescent="0.35">
      <c r="A48" s="4" t="s">
        <v>148</v>
      </c>
      <c r="B48" s="6">
        <v>671</v>
      </c>
      <c r="C48" s="6">
        <v>1316</v>
      </c>
      <c r="D48" s="1">
        <v>0.49</v>
      </c>
      <c r="E48" t="s">
        <v>16703</v>
      </c>
      <c r="F48" t="s">
        <v>16703</v>
      </c>
      <c r="H48" s="6">
        <f t="shared" si="0"/>
        <v>645</v>
      </c>
    </row>
    <row r="49" spans="1:8" hidden="1" x14ac:dyDescent="0.35">
      <c r="A49" s="4" t="s">
        <v>151</v>
      </c>
      <c r="B49" s="6">
        <v>1200</v>
      </c>
      <c r="C49" s="6">
        <v>1950</v>
      </c>
      <c r="D49" s="1">
        <v>0.38</v>
      </c>
      <c r="E49" t="s">
        <v>16703</v>
      </c>
      <c r="F49" t="s">
        <v>16703</v>
      </c>
      <c r="H49" s="6">
        <f t="shared" si="0"/>
        <v>750</v>
      </c>
    </row>
    <row r="50" spans="1:8" hidden="1" x14ac:dyDescent="0.35">
      <c r="A50" s="4" t="s">
        <v>154</v>
      </c>
      <c r="B50" s="6">
        <v>199</v>
      </c>
      <c r="C50" s="6">
        <v>504</v>
      </c>
      <c r="D50" s="1">
        <v>0.61</v>
      </c>
      <c r="E50" t="s">
        <v>16703</v>
      </c>
      <c r="F50" t="s">
        <v>16703</v>
      </c>
      <c r="H50" s="6">
        <f t="shared" si="0"/>
        <v>305</v>
      </c>
    </row>
    <row r="51" spans="1:8" hidden="1" x14ac:dyDescent="0.35">
      <c r="A51" s="4" t="s">
        <v>157</v>
      </c>
      <c r="B51" s="6">
        <v>299</v>
      </c>
      <c r="C51" s="6">
        <v>600</v>
      </c>
      <c r="D51" s="1">
        <v>0.5</v>
      </c>
      <c r="E51" t="s">
        <v>16703</v>
      </c>
      <c r="F51" t="s">
        <v>16703</v>
      </c>
      <c r="H51" s="6">
        <f t="shared" si="0"/>
        <v>301</v>
      </c>
    </row>
    <row r="52" spans="1:8" hidden="1" x14ac:dyDescent="0.35">
      <c r="A52" s="4" t="s">
        <v>160</v>
      </c>
      <c r="B52" s="6">
        <v>1660</v>
      </c>
      <c r="C52" s="6">
        <v>1699</v>
      </c>
      <c r="D52" s="1">
        <v>0.02</v>
      </c>
      <c r="E52" t="s">
        <v>16703</v>
      </c>
      <c r="F52" t="s">
        <v>16703</v>
      </c>
      <c r="H52" s="6">
        <f t="shared" si="0"/>
        <v>39</v>
      </c>
    </row>
    <row r="53" spans="1:8" hidden="1" x14ac:dyDescent="0.35">
      <c r="A53" s="4" t="s">
        <v>163</v>
      </c>
      <c r="B53" s="6">
        <v>299</v>
      </c>
      <c r="C53" s="6">
        <v>384</v>
      </c>
      <c r="D53" s="1">
        <v>0.22</v>
      </c>
      <c r="E53" t="s">
        <v>16703</v>
      </c>
      <c r="F53" t="s">
        <v>16703</v>
      </c>
      <c r="H53" s="6">
        <f t="shared" si="0"/>
        <v>85</v>
      </c>
    </row>
    <row r="54" spans="1:8" hidden="1" x14ac:dyDescent="0.35">
      <c r="A54" s="4" t="s">
        <v>165</v>
      </c>
      <c r="B54" s="6">
        <v>1459</v>
      </c>
      <c r="C54" s="6">
        <v>1499</v>
      </c>
      <c r="D54" s="1">
        <v>0.03</v>
      </c>
      <c r="E54" t="s">
        <v>16703</v>
      </c>
      <c r="F54" t="s">
        <v>16703</v>
      </c>
      <c r="H54" s="6">
        <f t="shared" si="0"/>
        <v>40</v>
      </c>
    </row>
    <row r="55" spans="1:8" hidden="1" x14ac:dyDescent="0.35">
      <c r="A55" s="4" t="s">
        <v>168</v>
      </c>
      <c r="B55" s="6">
        <v>799</v>
      </c>
      <c r="C55" s="6">
        <v>1343</v>
      </c>
      <c r="D55" s="1">
        <v>0.41</v>
      </c>
      <c r="E55" t="s">
        <v>16703</v>
      </c>
      <c r="F55" t="s">
        <v>16703</v>
      </c>
      <c r="H55" s="6">
        <f t="shared" si="0"/>
        <v>544</v>
      </c>
    </row>
    <row r="56" spans="1:8" hidden="1" x14ac:dyDescent="0.35">
      <c r="A56" s="4" t="s">
        <v>170</v>
      </c>
      <c r="B56" s="6">
        <v>499</v>
      </c>
      <c r="C56" s="6">
        <v>900</v>
      </c>
      <c r="D56" s="1">
        <v>0.45</v>
      </c>
      <c r="E56" t="s">
        <v>16703</v>
      </c>
      <c r="F56" t="s">
        <v>16703</v>
      </c>
      <c r="H56" s="6">
        <f t="shared" si="0"/>
        <v>401</v>
      </c>
    </row>
    <row r="57" spans="1:8" hidden="1" x14ac:dyDescent="0.35">
      <c r="A57" s="4" t="s">
        <v>173</v>
      </c>
      <c r="B57" s="6">
        <v>699</v>
      </c>
      <c r="C57" s="6">
        <v>1343</v>
      </c>
      <c r="D57" s="1">
        <v>0.48</v>
      </c>
      <c r="E57" t="s">
        <v>16703</v>
      </c>
      <c r="F57" t="s">
        <v>16703</v>
      </c>
      <c r="H57" s="6">
        <f t="shared" si="0"/>
        <v>644</v>
      </c>
    </row>
    <row r="58" spans="1:8" hidden="1" x14ac:dyDescent="0.35">
      <c r="A58" s="4" t="s">
        <v>175</v>
      </c>
      <c r="B58" s="6">
        <v>799</v>
      </c>
      <c r="C58" s="6">
        <v>1567</v>
      </c>
      <c r="D58" s="1">
        <v>0.49</v>
      </c>
      <c r="E58" t="s">
        <v>16703</v>
      </c>
      <c r="F58" t="s">
        <v>16703</v>
      </c>
      <c r="H58" s="6">
        <f t="shared" si="0"/>
        <v>768</v>
      </c>
    </row>
    <row r="59" spans="1:8" hidden="1" x14ac:dyDescent="0.35">
      <c r="A59" s="4" t="s">
        <v>177</v>
      </c>
      <c r="B59" s="6">
        <v>2799</v>
      </c>
      <c r="C59" s="6">
        <v>3810</v>
      </c>
      <c r="D59" s="1">
        <v>0.27</v>
      </c>
      <c r="E59" t="s">
        <v>16703</v>
      </c>
      <c r="F59" t="s">
        <v>16703</v>
      </c>
      <c r="H59" s="6">
        <f t="shared" si="0"/>
        <v>1011</v>
      </c>
    </row>
    <row r="60" spans="1:8" hidden="1" x14ac:dyDescent="0.35">
      <c r="A60" s="4" t="s">
        <v>170</v>
      </c>
      <c r="B60" s="6">
        <v>399</v>
      </c>
      <c r="C60" s="6">
        <v>896</v>
      </c>
      <c r="D60" s="1">
        <v>0.55000000000000004</v>
      </c>
      <c r="E60" t="s">
        <v>16703</v>
      </c>
      <c r="F60" t="s">
        <v>16703</v>
      </c>
      <c r="H60" s="6">
        <f t="shared" si="0"/>
        <v>497</v>
      </c>
    </row>
    <row r="61" spans="1:8" hidden="1" x14ac:dyDescent="0.35">
      <c r="A61" s="4" t="s">
        <v>182</v>
      </c>
      <c r="B61" s="6">
        <v>2170</v>
      </c>
      <c r="C61" s="6">
        <v>2500</v>
      </c>
      <c r="D61" s="1">
        <v>0.13</v>
      </c>
      <c r="E61">
        <v>6</v>
      </c>
      <c r="F61">
        <v>2.5</v>
      </c>
      <c r="G61" t="s">
        <v>16708</v>
      </c>
      <c r="H61" s="6">
        <f t="shared" si="0"/>
        <v>330</v>
      </c>
    </row>
    <row r="62" spans="1:8" hidden="1" x14ac:dyDescent="0.35">
      <c r="A62" s="4" t="s">
        <v>186</v>
      </c>
      <c r="B62" s="6">
        <v>458</v>
      </c>
      <c r="C62" s="6">
        <v>986</v>
      </c>
      <c r="D62" s="1">
        <v>0.54</v>
      </c>
      <c r="E62">
        <v>10</v>
      </c>
      <c r="F62">
        <v>3</v>
      </c>
      <c r="G62" t="s">
        <v>16707</v>
      </c>
      <c r="H62" s="6">
        <f t="shared" si="0"/>
        <v>528</v>
      </c>
    </row>
    <row r="63" spans="1:8" hidden="1" x14ac:dyDescent="0.35">
      <c r="A63" s="4" t="s">
        <v>190</v>
      </c>
      <c r="B63" s="6">
        <v>2115</v>
      </c>
      <c r="C63" s="6">
        <v>4700</v>
      </c>
      <c r="D63" s="1">
        <v>0.55000000000000004</v>
      </c>
      <c r="E63">
        <v>13</v>
      </c>
      <c r="F63">
        <v>2.1</v>
      </c>
      <c r="G63" t="s">
        <v>16708</v>
      </c>
      <c r="H63" s="6">
        <f t="shared" si="0"/>
        <v>2585</v>
      </c>
    </row>
    <row r="64" spans="1:8" hidden="1" x14ac:dyDescent="0.35">
      <c r="A64" s="4" t="s">
        <v>194</v>
      </c>
      <c r="B64" s="6">
        <v>445</v>
      </c>
      <c r="C64" s="6">
        <v>873</v>
      </c>
      <c r="D64" s="1">
        <v>0.49</v>
      </c>
      <c r="E64">
        <v>69</v>
      </c>
      <c r="F64">
        <v>2.8</v>
      </c>
      <c r="G64" t="s">
        <v>16708</v>
      </c>
      <c r="H64" s="6">
        <f t="shared" si="0"/>
        <v>428</v>
      </c>
    </row>
    <row r="65" spans="1:8" hidden="1" x14ac:dyDescent="0.35">
      <c r="A65" s="4" t="s">
        <v>198</v>
      </c>
      <c r="B65" s="6">
        <v>325</v>
      </c>
      <c r="C65" s="6">
        <v>680</v>
      </c>
      <c r="D65" s="1">
        <v>0.52</v>
      </c>
      <c r="E65">
        <v>15</v>
      </c>
      <c r="F65">
        <v>2.7</v>
      </c>
      <c r="G65" t="s">
        <v>16708</v>
      </c>
      <c r="H65" s="6">
        <f t="shared" si="0"/>
        <v>355</v>
      </c>
    </row>
    <row r="66" spans="1:8" hidden="1" x14ac:dyDescent="0.35">
      <c r="A66" s="4" t="s">
        <v>202</v>
      </c>
      <c r="B66" s="6">
        <v>1220</v>
      </c>
      <c r="C66" s="6">
        <v>1555</v>
      </c>
      <c r="D66" s="1">
        <v>0.22</v>
      </c>
      <c r="E66">
        <v>16</v>
      </c>
      <c r="F66">
        <v>2.9</v>
      </c>
      <c r="G66" t="s">
        <v>16708</v>
      </c>
      <c r="H66" s="6">
        <f t="shared" ref="H66:H113" si="1">C66-B66</f>
        <v>335</v>
      </c>
    </row>
    <row r="67" spans="1:8" hidden="1" x14ac:dyDescent="0.35">
      <c r="A67" s="4" t="s">
        <v>206</v>
      </c>
      <c r="B67" s="6">
        <v>990</v>
      </c>
      <c r="C67" s="6">
        <v>1814</v>
      </c>
      <c r="D67" s="1">
        <v>0.45</v>
      </c>
      <c r="E67">
        <v>6</v>
      </c>
      <c r="F67">
        <v>2.2000000000000002</v>
      </c>
      <c r="G67" t="s">
        <v>16708</v>
      </c>
      <c r="H67" s="6">
        <f t="shared" si="1"/>
        <v>824</v>
      </c>
    </row>
    <row r="68" spans="1:8" hidden="1" x14ac:dyDescent="0.35">
      <c r="A68" s="4" t="s">
        <v>209</v>
      </c>
      <c r="B68" s="6">
        <v>1000</v>
      </c>
      <c r="C68" s="6">
        <v>2000</v>
      </c>
      <c r="D68" s="1">
        <v>0.5</v>
      </c>
      <c r="E68">
        <v>7</v>
      </c>
      <c r="F68">
        <v>2.2999999999999998</v>
      </c>
      <c r="G68" t="s">
        <v>16708</v>
      </c>
      <c r="H68" s="6">
        <f t="shared" si="1"/>
        <v>1000</v>
      </c>
    </row>
    <row r="69" spans="1:8" hidden="1" x14ac:dyDescent="0.35">
      <c r="A69" s="4" t="s">
        <v>212</v>
      </c>
      <c r="B69" s="6">
        <v>3750</v>
      </c>
      <c r="C69" s="6">
        <v>6143</v>
      </c>
      <c r="D69" s="1">
        <v>0.39</v>
      </c>
      <c r="E69">
        <v>5</v>
      </c>
      <c r="F69">
        <v>3</v>
      </c>
      <c r="G69" t="s">
        <v>16707</v>
      </c>
      <c r="H69" s="6">
        <f t="shared" si="1"/>
        <v>2393</v>
      </c>
    </row>
    <row r="70" spans="1:8" hidden="1" x14ac:dyDescent="0.35">
      <c r="A70" s="4" t="s">
        <v>215</v>
      </c>
      <c r="B70" s="6">
        <v>382</v>
      </c>
      <c r="C70" s="6">
        <v>700</v>
      </c>
      <c r="D70" s="1">
        <v>0.45</v>
      </c>
      <c r="E70">
        <v>17</v>
      </c>
      <c r="F70">
        <v>2.6</v>
      </c>
      <c r="G70" t="s">
        <v>16708</v>
      </c>
      <c r="H70" s="6">
        <f t="shared" si="1"/>
        <v>318</v>
      </c>
    </row>
    <row r="71" spans="1:8" hidden="1" x14ac:dyDescent="0.35">
      <c r="A71" s="4" t="s">
        <v>218</v>
      </c>
      <c r="B71" s="6">
        <v>2300</v>
      </c>
      <c r="C71" s="6">
        <v>3240</v>
      </c>
      <c r="D71" s="1">
        <v>0.28999999999999998</v>
      </c>
      <c r="E71">
        <v>5</v>
      </c>
      <c r="F71">
        <v>3</v>
      </c>
      <c r="G71" t="s">
        <v>16707</v>
      </c>
      <c r="H71" s="6">
        <f t="shared" si="1"/>
        <v>940</v>
      </c>
    </row>
    <row r="72" spans="1:8" hidden="1" x14ac:dyDescent="0.35">
      <c r="A72" s="4" t="s">
        <v>221</v>
      </c>
      <c r="B72" s="6">
        <v>345</v>
      </c>
      <c r="C72" s="6">
        <v>602</v>
      </c>
      <c r="D72" s="1">
        <v>0.43</v>
      </c>
      <c r="E72">
        <v>6</v>
      </c>
      <c r="F72">
        <v>2.2999999999999998</v>
      </c>
      <c r="G72" t="s">
        <v>16708</v>
      </c>
      <c r="H72" s="6">
        <f t="shared" si="1"/>
        <v>257</v>
      </c>
    </row>
    <row r="73" spans="1:8" hidden="1" x14ac:dyDescent="0.35">
      <c r="A73" s="4" t="s">
        <v>224</v>
      </c>
      <c r="B73" s="6">
        <v>509</v>
      </c>
      <c r="C73" s="6">
        <v>899</v>
      </c>
      <c r="D73" s="1">
        <v>0.43</v>
      </c>
      <c r="E73">
        <v>5</v>
      </c>
      <c r="F73">
        <v>3</v>
      </c>
      <c r="G73" t="s">
        <v>16707</v>
      </c>
      <c r="H73" s="6">
        <f t="shared" si="1"/>
        <v>390</v>
      </c>
    </row>
    <row r="74" spans="1:8" hidden="1" x14ac:dyDescent="0.35">
      <c r="A74" s="4" t="s">
        <v>227</v>
      </c>
      <c r="B74" s="6">
        <v>968</v>
      </c>
      <c r="C74" s="6">
        <v>1814</v>
      </c>
      <c r="D74" s="1">
        <v>0.47</v>
      </c>
      <c r="E74">
        <v>6</v>
      </c>
      <c r="F74">
        <v>2.2000000000000002</v>
      </c>
      <c r="G74" t="s">
        <v>16708</v>
      </c>
      <c r="H74" s="6">
        <f t="shared" si="1"/>
        <v>846</v>
      </c>
    </row>
    <row r="75" spans="1:8" hidden="1" x14ac:dyDescent="0.35">
      <c r="A75" s="4" t="s">
        <v>229</v>
      </c>
      <c r="B75" s="6">
        <v>1570</v>
      </c>
      <c r="C75" s="6">
        <v>2988</v>
      </c>
      <c r="D75" s="1">
        <v>0.47</v>
      </c>
      <c r="E75">
        <v>7</v>
      </c>
      <c r="F75">
        <v>2.1</v>
      </c>
      <c r="G75" t="s">
        <v>16708</v>
      </c>
      <c r="H75" s="6">
        <f t="shared" si="1"/>
        <v>1418</v>
      </c>
    </row>
    <row r="76" spans="1:8" hidden="1" x14ac:dyDescent="0.35">
      <c r="A76" s="4" t="s">
        <v>232</v>
      </c>
      <c r="B76" s="6">
        <v>790</v>
      </c>
      <c r="C76" s="6">
        <v>1485</v>
      </c>
      <c r="D76" s="1">
        <v>0.47</v>
      </c>
      <c r="E76" t="s">
        <v>16703</v>
      </c>
      <c r="F76" t="s">
        <v>16703</v>
      </c>
      <c r="H76" s="6">
        <f t="shared" si="1"/>
        <v>695</v>
      </c>
    </row>
    <row r="77" spans="1:8" hidden="1" x14ac:dyDescent="0.35">
      <c r="A77" s="4" t="s">
        <v>235</v>
      </c>
      <c r="B77" s="6">
        <v>690</v>
      </c>
      <c r="C77" s="6">
        <v>1200</v>
      </c>
      <c r="D77" s="1">
        <v>0.43</v>
      </c>
      <c r="E77" t="s">
        <v>16703</v>
      </c>
      <c r="F77" t="s">
        <v>16703</v>
      </c>
      <c r="H77" s="6">
        <f t="shared" si="1"/>
        <v>510</v>
      </c>
    </row>
    <row r="78" spans="1:8" hidden="1" x14ac:dyDescent="0.35">
      <c r="A78" s="4" t="s">
        <v>237</v>
      </c>
      <c r="B78" s="6">
        <v>1732</v>
      </c>
      <c r="C78" s="6">
        <v>1799</v>
      </c>
      <c r="D78" s="1">
        <v>0.04</v>
      </c>
      <c r="E78" t="s">
        <v>16703</v>
      </c>
      <c r="F78" t="s">
        <v>16703</v>
      </c>
      <c r="H78" s="6">
        <f t="shared" si="1"/>
        <v>67</v>
      </c>
    </row>
    <row r="79" spans="1:8" hidden="1" x14ac:dyDescent="0.35">
      <c r="A79" s="4" t="s">
        <v>240</v>
      </c>
      <c r="B79" s="6">
        <v>230</v>
      </c>
      <c r="C79" s="6">
        <v>450</v>
      </c>
      <c r="D79" s="1">
        <v>0.49</v>
      </c>
      <c r="E79" t="s">
        <v>16703</v>
      </c>
      <c r="F79" t="s">
        <v>16703</v>
      </c>
      <c r="H79" s="6">
        <f t="shared" si="1"/>
        <v>220</v>
      </c>
    </row>
    <row r="80" spans="1:8" hidden="1" x14ac:dyDescent="0.35">
      <c r="A80" s="4" t="s">
        <v>243</v>
      </c>
      <c r="B80" s="6">
        <v>1189</v>
      </c>
      <c r="C80" s="6">
        <v>2199</v>
      </c>
      <c r="D80" s="1">
        <v>0.46</v>
      </c>
      <c r="E80">
        <v>1</v>
      </c>
      <c r="F80">
        <v>3</v>
      </c>
      <c r="G80" t="s">
        <v>16707</v>
      </c>
      <c r="H80" s="6">
        <f t="shared" si="1"/>
        <v>1010</v>
      </c>
    </row>
    <row r="81" spans="1:8" x14ac:dyDescent="0.35">
      <c r="A81" s="4" t="s">
        <v>245</v>
      </c>
      <c r="B81" s="6">
        <v>979</v>
      </c>
      <c r="C81" s="6">
        <v>1920</v>
      </c>
      <c r="D81" s="1">
        <v>0.49</v>
      </c>
      <c r="E81">
        <v>1</v>
      </c>
      <c r="F81">
        <v>5</v>
      </c>
      <c r="G81" t="s">
        <v>16706</v>
      </c>
      <c r="H81" s="6">
        <f t="shared" si="1"/>
        <v>941</v>
      </c>
    </row>
    <row r="82" spans="1:8" hidden="1" x14ac:dyDescent="0.35">
      <c r="A82" s="4" t="s">
        <v>248</v>
      </c>
      <c r="B82" s="6">
        <v>1460</v>
      </c>
      <c r="C82" s="6">
        <v>2290</v>
      </c>
      <c r="D82" s="1">
        <v>0.36</v>
      </c>
      <c r="E82" t="s">
        <v>16703</v>
      </c>
      <c r="F82" t="s">
        <v>16703</v>
      </c>
      <c r="H82" s="6">
        <f t="shared" si="1"/>
        <v>830</v>
      </c>
    </row>
    <row r="83" spans="1:8" hidden="1" x14ac:dyDescent="0.35">
      <c r="A83" s="4" t="s">
        <v>251</v>
      </c>
      <c r="B83" s="6">
        <v>1666</v>
      </c>
      <c r="C83" s="6">
        <v>1699</v>
      </c>
      <c r="D83" s="1">
        <v>0.02</v>
      </c>
      <c r="E83" t="s">
        <v>16703</v>
      </c>
      <c r="F83" t="s">
        <v>16703</v>
      </c>
      <c r="H83" s="6">
        <f t="shared" si="1"/>
        <v>33</v>
      </c>
    </row>
    <row r="84" spans="1:8" hidden="1" x14ac:dyDescent="0.35">
      <c r="A84" s="4" t="s">
        <v>253</v>
      </c>
      <c r="B84" s="6">
        <v>330</v>
      </c>
      <c r="C84" s="6">
        <v>647</v>
      </c>
      <c r="D84" s="1">
        <v>0.49</v>
      </c>
      <c r="E84">
        <v>1</v>
      </c>
      <c r="F84">
        <v>4</v>
      </c>
      <c r="G84" t="s">
        <v>16707</v>
      </c>
      <c r="H84" s="6">
        <f t="shared" si="1"/>
        <v>317</v>
      </c>
    </row>
    <row r="85" spans="1:8" hidden="1" x14ac:dyDescent="0.35">
      <c r="A85" s="4" t="s">
        <v>154</v>
      </c>
      <c r="B85" s="6">
        <v>176</v>
      </c>
      <c r="C85" s="6">
        <v>345</v>
      </c>
      <c r="D85" s="1">
        <v>0.49</v>
      </c>
      <c r="E85" t="s">
        <v>16703</v>
      </c>
      <c r="F85" t="s">
        <v>16703</v>
      </c>
      <c r="H85" s="6">
        <f t="shared" si="1"/>
        <v>169</v>
      </c>
    </row>
    <row r="86" spans="1:8" hidden="1" x14ac:dyDescent="0.35">
      <c r="A86" s="4" t="s">
        <v>256</v>
      </c>
      <c r="B86" s="6">
        <v>1466</v>
      </c>
      <c r="C86" s="6">
        <v>1699</v>
      </c>
      <c r="D86" s="1">
        <v>0.14000000000000001</v>
      </c>
      <c r="E86" t="s">
        <v>16703</v>
      </c>
      <c r="F86" t="s">
        <v>16703</v>
      </c>
      <c r="H86" s="6">
        <f t="shared" si="1"/>
        <v>233</v>
      </c>
    </row>
    <row r="87" spans="1:8" hidden="1" x14ac:dyDescent="0.35">
      <c r="A87" s="4" t="s">
        <v>258</v>
      </c>
      <c r="B87" s="6">
        <v>274</v>
      </c>
      <c r="C87" s="6">
        <v>537</v>
      </c>
      <c r="D87" s="1">
        <v>0.49</v>
      </c>
      <c r="E87" t="s">
        <v>16703</v>
      </c>
      <c r="F87" t="s">
        <v>16703</v>
      </c>
      <c r="H87" s="6">
        <f t="shared" si="1"/>
        <v>263</v>
      </c>
    </row>
    <row r="88" spans="1:8" hidden="1" x14ac:dyDescent="0.35">
      <c r="A88" s="4" t="s">
        <v>261</v>
      </c>
      <c r="B88" s="6">
        <v>799</v>
      </c>
      <c r="C88" s="6">
        <v>900</v>
      </c>
      <c r="D88" s="1">
        <v>0.11</v>
      </c>
      <c r="E88" t="s">
        <v>16703</v>
      </c>
      <c r="F88" t="s">
        <v>16703</v>
      </c>
      <c r="H88" s="6">
        <f t="shared" si="1"/>
        <v>101</v>
      </c>
    </row>
    <row r="89" spans="1:8" hidden="1" x14ac:dyDescent="0.35">
      <c r="A89" s="4" t="s">
        <v>175</v>
      </c>
      <c r="B89" s="6">
        <v>657</v>
      </c>
      <c r="C89" s="6">
        <v>1288</v>
      </c>
      <c r="D89" s="1">
        <v>0.49</v>
      </c>
      <c r="E89" t="s">
        <v>16703</v>
      </c>
      <c r="F89" t="s">
        <v>16703</v>
      </c>
      <c r="H89" s="6">
        <f t="shared" si="1"/>
        <v>631</v>
      </c>
    </row>
    <row r="90" spans="1:8" hidden="1" x14ac:dyDescent="0.35">
      <c r="A90" s="4" t="s">
        <v>264</v>
      </c>
      <c r="B90" s="6">
        <v>1468</v>
      </c>
      <c r="C90" s="6">
        <v>1699</v>
      </c>
      <c r="D90" s="1">
        <v>0.14000000000000001</v>
      </c>
      <c r="E90" t="s">
        <v>16703</v>
      </c>
      <c r="F90" t="s">
        <v>16703</v>
      </c>
      <c r="H90" s="6">
        <f t="shared" si="1"/>
        <v>231</v>
      </c>
    </row>
    <row r="91" spans="1:8" hidden="1" x14ac:dyDescent="0.35">
      <c r="A91" s="4" t="s">
        <v>266</v>
      </c>
      <c r="B91" s="6">
        <v>630</v>
      </c>
      <c r="C91" s="6">
        <v>1100</v>
      </c>
      <c r="D91" s="1">
        <v>0.43</v>
      </c>
      <c r="E91" t="s">
        <v>16703</v>
      </c>
      <c r="F91" t="s">
        <v>16703</v>
      </c>
      <c r="H91" s="6">
        <f t="shared" si="1"/>
        <v>470</v>
      </c>
    </row>
    <row r="92" spans="1:8" hidden="1" x14ac:dyDescent="0.35">
      <c r="A92" s="4" t="s">
        <v>269</v>
      </c>
      <c r="B92" s="6">
        <v>850</v>
      </c>
      <c r="C92" s="6">
        <v>1700</v>
      </c>
      <c r="D92" s="1">
        <v>0.5</v>
      </c>
      <c r="E92" t="s">
        <v>16703</v>
      </c>
      <c r="F92" t="s">
        <v>16703</v>
      </c>
      <c r="H92" s="6">
        <f t="shared" si="1"/>
        <v>850</v>
      </c>
    </row>
    <row r="93" spans="1:8" hidden="1" x14ac:dyDescent="0.35">
      <c r="A93" s="4" t="s">
        <v>272</v>
      </c>
      <c r="B93" s="6">
        <v>1300</v>
      </c>
      <c r="C93" s="6">
        <v>2500</v>
      </c>
      <c r="D93" s="1">
        <v>0.48</v>
      </c>
      <c r="E93" t="s">
        <v>16703</v>
      </c>
      <c r="F93" t="s">
        <v>16703</v>
      </c>
      <c r="H93" s="6">
        <f t="shared" si="1"/>
        <v>1200</v>
      </c>
    </row>
    <row r="94" spans="1:8" hidden="1" x14ac:dyDescent="0.35">
      <c r="A94" s="4" t="s">
        <v>274</v>
      </c>
      <c r="B94" s="6">
        <v>105</v>
      </c>
      <c r="C94" s="6">
        <v>200</v>
      </c>
      <c r="D94" s="1">
        <v>0.48</v>
      </c>
      <c r="E94" t="s">
        <v>16703</v>
      </c>
      <c r="F94" t="s">
        <v>16703</v>
      </c>
      <c r="H94" s="6">
        <f t="shared" si="1"/>
        <v>95</v>
      </c>
    </row>
    <row r="95" spans="1:8" hidden="1" x14ac:dyDescent="0.35">
      <c r="A95" s="4" t="s">
        <v>277</v>
      </c>
      <c r="B95" s="6">
        <v>899</v>
      </c>
      <c r="C95" s="6">
        <v>1699</v>
      </c>
      <c r="D95" s="1">
        <v>0.47</v>
      </c>
      <c r="E95" t="s">
        <v>16703</v>
      </c>
      <c r="F95" t="s">
        <v>16703</v>
      </c>
      <c r="H95" s="6">
        <f t="shared" si="1"/>
        <v>800</v>
      </c>
    </row>
    <row r="96" spans="1:8" hidden="1" x14ac:dyDescent="0.35">
      <c r="A96" s="4" t="s">
        <v>278</v>
      </c>
      <c r="B96" s="6">
        <v>1200</v>
      </c>
      <c r="C96" s="6">
        <v>2400</v>
      </c>
      <c r="D96" s="1">
        <v>0.5</v>
      </c>
      <c r="E96" t="s">
        <v>16703</v>
      </c>
      <c r="F96" t="s">
        <v>16703</v>
      </c>
      <c r="H96" s="6">
        <f t="shared" si="1"/>
        <v>1200</v>
      </c>
    </row>
    <row r="97" spans="1:8" hidden="1" x14ac:dyDescent="0.35">
      <c r="A97" s="4" t="s">
        <v>280</v>
      </c>
      <c r="B97" s="6">
        <v>1526</v>
      </c>
      <c r="C97" s="6">
        <v>1660</v>
      </c>
      <c r="D97" s="1">
        <v>0.08</v>
      </c>
      <c r="E97" t="s">
        <v>16703</v>
      </c>
      <c r="F97" t="s">
        <v>16703</v>
      </c>
      <c r="H97" s="6">
        <f t="shared" si="1"/>
        <v>134</v>
      </c>
    </row>
    <row r="98" spans="1:8" hidden="1" x14ac:dyDescent="0.35">
      <c r="A98" s="4" t="s">
        <v>282</v>
      </c>
      <c r="B98" s="6">
        <v>1462</v>
      </c>
      <c r="C98" s="6">
        <v>1499</v>
      </c>
      <c r="D98" s="1">
        <v>0.02</v>
      </c>
      <c r="E98" t="s">
        <v>16703</v>
      </c>
      <c r="F98" t="s">
        <v>16703</v>
      </c>
      <c r="H98" s="6">
        <f t="shared" si="1"/>
        <v>37</v>
      </c>
    </row>
    <row r="99" spans="1:8" hidden="1" x14ac:dyDescent="0.35">
      <c r="A99" s="4" t="s">
        <v>284</v>
      </c>
      <c r="B99" s="6">
        <v>248</v>
      </c>
      <c r="C99" s="6">
        <v>486</v>
      </c>
      <c r="D99" s="1">
        <v>0.49</v>
      </c>
      <c r="E99" t="s">
        <v>16703</v>
      </c>
      <c r="F99" t="s">
        <v>16703</v>
      </c>
      <c r="H99" s="6">
        <f t="shared" si="1"/>
        <v>238</v>
      </c>
    </row>
    <row r="100" spans="1:8" hidden="1" x14ac:dyDescent="0.35">
      <c r="A100" s="4" t="s">
        <v>287</v>
      </c>
      <c r="B100" s="6">
        <v>3546</v>
      </c>
      <c r="C100" s="6">
        <v>3699</v>
      </c>
      <c r="D100" s="1">
        <v>0.04</v>
      </c>
      <c r="E100" t="s">
        <v>16703</v>
      </c>
      <c r="F100" t="s">
        <v>16703</v>
      </c>
      <c r="H100" s="6">
        <f t="shared" si="1"/>
        <v>153</v>
      </c>
    </row>
    <row r="101" spans="1:8" hidden="1" x14ac:dyDescent="0.35">
      <c r="A101" s="4" t="s">
        <v>289</v>
      </c>
      <c r="B101" s="6">
        <v>525</v>
      </c>
      <c r="C101" s="6">
        <v>1029</v>
      </c>
      <c r="D101" s="1">
        <v>0.49</v>
      </c>
      <c r="E101" t="s">
        <v>16703</v>
      </c>
      <c r="F101" t="s">
        <v>16703</v>
      </c>
      <c r="H101" s="6">
        <f t="shared" si="1"/>
        <v>504</v>
      </c>
    </row>
    <row r="102" spans="1:8" hidden="1" x14ac:dyDescent="0.35">
      <c r="A102" s="4" t="s">
        <v>292</v>
      </c>
      <c r="B102" s="6">
        <v>1080</v>
      </c>
      <c r="C102" s="6">
        <v>1874</v>
      </c>
      <c r="D102" s="1">
        <v>0.42</v>
      </c>
      <c r="E102" t="s">
        <v>16703</v>
      </c>
      <c r="F102" t="s">
        <v>16703</v>
      </c>
      <c r="H102" s="6">
        <f t="shared" si="1"/>
        <v>794</v>
      </c>
    </row>
    <row r="103" spans="1:8" x14ac:dyDescent="0.35">
      <c r="A103" s="4" t="s">
        <v>295</v>
      </c>
      <c r="B103" s="6">
        <v>3640</v>
      </c>
      <c r="C103" s="6">
        <v>4588</v>
      </c>
      <c r="D103" s="1">
        <v>0.21</v>
      </c>
      <c r="E103">
        <v>1</v>
      </c>
      <c r="F103">
        <v>5</v>
      </c>
      <c r="G103" t="s">
        <v>16706</v>
      </c>
      <c r="H103" s="6">
        <f t="shared" si="1"/>
        <v>948</v>
      </c>
    </row>
    <row r="104" spans="1:8" hidden="1" x14ac:dyDescent="0.35">
      <c r="A104" s="4" t="s">
        <v>298</v>
      </c>
      <c r="B104" s="6">
        <v>1420</v>
      </c>
      <c r="C104" s="6">
        <v>2420</v>
      </c>
      <c r="D104" s="1">
        <v>0.41</v>
      </c>
      <c r="E104" t="s">
        <v>16703</v>
      </c>
      <c r="F104" t="s">
        <v>16703</v>
      </c>
      <c r="H104" s="6">
        <f t="shared" si="1"/>
        <v>1000</v>
      </c>
    </row>
    <row r="105" spans="1:8" hidden="1" x14ac:dyDescent="0.35">
      <c r="A105" s="4" t="s">
        <v>301</v>
      </c>
      <c r="B105" s="6">
        <v>1875</v>
      </c>
      <c r="C105" s="6">
        <v>1899</v>
      </c>
      <c r="D105" s="1">
        <v>0.01</v>
      </c>
      <c r="E105" t="s">
        <v>16703</v>
      </c>
      <c r="F105" t="s">
        <v>16703</v>
      </c>
      <c r="H105" s="6">
        <f t="shared" si="1"/>
        <v>24</v>
      </c>
    </row>
    <row r="106" spans="1:8" hidden="1" x14ac:dyDescent="0.35">
      <c r="A106" s="4" t="s">
        <v>304</v>
      </c>
      <c r="B106" s="6">
        <v>198</v>
      </c>
      <c r="C106" s="6">
        <v>260</v>
      </c>
      <c r="D106" s="1">
        <v>0.24</v>
      </c>
      <c r="E106" t="s">
        <v>16703</v>
      </c>
      <c r="F106" t="s">
        <v>16703</v>
      </c>
      <c r="H106" s="6">
        <f t="shared" si="1"/>
        <v>62</v>
      </c>
    </row>
    <row r="107" spans="1:8" hidden="1" x14ac:dyDescent="0.35">
      <c r="A107" s="4" t="s">
        <v>307</v>
      </c>
      <c r="B107" s="6">
        <v>1150</v>
      </c>
      <c r="C107" s="6">
        <v>1737</v>
      </c>
      <c r="D107" s="1">
        <v>0.34</v>
      </c>
      <c r="E107" t="s">
        <v>16703</v>
      </c>
      <c r="F107" t="s">
        <v>16703</v>
      </c>
      <c r="H107" s="6">
        <f t="shared" si="1"/>
        <v>587</v>
      </c>
    </row>
    <row r="108" spans="1:8" hidden="1" x14ac:dyDescent="0.35">
      <c r="A108" s="4" t="s">
        <v>310</v>
      </c>
      <c r="B108" s="6">
        <v>1190</v>
      </c>
      <c r="C108" s="6">
        <v>1810</v>
      </c>
      <c r="D108" s="1">
        <v>0.34</v>
      </c>
      <c r="E108" t="s">
        <v>16703</v>
      </c>
      <c r="F108" t="s">
        <v>16703</v>
      </c>
      <c r="H108" s="6">
        <f t="shared" si="1"/>
        <v>620</v>
      </c>
    </row>
    <row r="109" spans="1:8" hidden="1" x14ac:dyDescent="0.35">
      <c r="A109" s="4" t="s">
        <v>312</v>
      </c>
      <c r="B109" s="6">
        <v>1658</v>
      </c>
      <c r="C109" s="6">
        <v>1699</v>
      </c>
      <c r="D109" s="1">
        <v>0.02</v>
      </c>
      <c r="E109" t="s">
        <v>16703</v>
      </c>
      <c r="F109" t="s">
        <v>16703</v>
      </c>
      <c r="H109" s="6">
        <f t="shared" si="1"/>
        <v>41</v>
      </c>
    </row>
    <row r="110" spans="1:8" hidden="1" x14ac:dyDescent="0.35">
      <c r="A110" s="4" t="s">
        <v>314</v>
      </c>
      <c r="B110" s="6">
        <v>1768</v>
      </c>
      <c r="C110" s="6">
        <v>1799</v>
      </c>
      <c r="D110" s="1">
        <v>0.02</v>
      </c>
      <c r="E110" t="s">
        <v>16703</v>
      </c>
      <c r="F110" t="s">
        <v>16703</v>
      </c>
      <c r="H110" s="6">
        <f t="shared" si="1"/>
        <v>31</v>
      </c>
    </row>
    <row r="111" spans="1:8" hidden="1" x14ac:dyDescent="0.35">
      <c r="A111" s="4" t="s">
        <v>316</v>
      </c>
      <c r="B111" s="6">
        <v>199</v>
      </c>
      <c r="C111" s="6">
        <v>553</v>
      </c>
      <c r="D111" s="1">
        <v>0.64</v>
      </c>
      <c r="E111" t="s">
        <v>16703</v>
      </c>
      <c r="F111" t="s">
        <v>16703</v>
      </c>
      <c r="H111" s="6">
        <f t="shared" si="1"/>
        <v>354</v>
      </c>
    </row>
    <row r="112" spans="1:8" hidden="1" x14ac:dyDescent="0.35">
      <c r="A112" s="4" t="s">
        <v>318</v>
      </c>
      <c r="B112" s="6">
        <v>450</v>
      </c>
      <c r="C112" s="6">
        <v>900</v>
      </c>
      <c r="D112" s="1">
        <v>0.5</v>
      </c>
      <c r="E112">
        <v>1</v>
      </c>
      <c r="F112">
        <v>2</v>
      </c>
      <c r="G112" t="s">
        <v>16708</v>
      </c>
      <c r="H112" s="6">
        <f t="shared" si="1"/>
        <v>450</v>
      </c>
    </row>
    <row r="113" spans="1:8" hidden="1" x14ac:dyDescent="0.35">
      <c r="A113" s="4" t="s">
        <v>320</v>
      </c>
      <c r="B113" s="6">
        <v>169</v>
      </c>
      <c r="C113" s="6">
        <v>320</v>
      </c>
      <c r="D113" s="1">
        <v>0.47</v>
      </c>
      <c r="E113" t="s">
        <v>16703</v>
      </c>
      <c r="F113" t="s">
        <v>16703</v>
      </c>
      <c r="H113" s="6">
        <f t="shared" si="1"/>
        <v>151</v>
      </c>
    </row>
    <row r="114" spans="1:8" hidden="1" x14ac:dyDescent="0.35"/>
    <row r="115" spans="1:8" hidden="1" x14ac:dyDescent="0.35">
      <c r="B115" s="6">
        <f>AVERAGE(B2:B113)</f>
        <v>1188.5</v>
      </c>
      <c r="C115" s="6">
        <f>AVERAGE(C2:C113)</f>
        <v>1815.5714285714287</v>
      </c>
      <c r="D115" s="1">
        <f>AVERAGE(D2:D113)</f>
        <v>0.36776785714285715</v>
      </c>
      <c r="E115">
        <f>SUM(E2:E113)</f>
        <v>723</v>
      </c>
      <c r="F115">
        <f>AVERAGE(F2:F113)</f>
        <v>3.8894736842105258</v>
      </c>
    </row>
    <row r="116" spans="1:8" hidden="1" x14ac:dyDescent="0.35"/>
    <row r="117" spans="1:8" hidden="1" x14ac:dyDescent="0.35">
      <c r="B117" s="6">
        <f>MAX(B2:B113)</f>
        <v>3750</v>
      </c>
    </row>
    <row r="118" spans="1:8" hidden="1" x14ac:dyDescent="0.35">
      <c r="B118" s="6">
        <f>MIN(B2:B113)</f>
        <v>38</v>
      </c>
    </row>
  </sheetData>
  <autoFilter ref="A1:J118" xr:uid="{A560A0FF-C013-4C2B-B033-3110D7554EE2}">
    <filterColumn colId="5">
      <top10 val="10" filterVal="4.8"/>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18279-09A9-4986-A46E-6A86F7BA75D3}">
  <dimension ref="A1:J118"/>
  <sheetViews>
    <sheetView tabSelected="1" topLeftCell="A13" workbookViewId="0">
      <selection activeCell="B22" sqref="B22"/>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16712</v>
      </c>
      <c r="H1" s="2" t="s">
        <v>16711</v>
      </c>
      <c r="I1" s="2" t="s">
        <v>16710</v>
      </c>
      <c r="J1" s="2" t="s">
        <v>16709</v>
      </c>
    </row>
    <row r="2" spans="1:10" x14ac:dyDescent="0.35">
      <c r="A2" s="4" t="s">
        <v>6</v>
      </c>
      <c r="B2" s="6">
        <v>950</v>
      </c>
      <c r="C2" s="6">
        <v>1525</v>
      </c>
      <c r="D2" s="1">
        <v>0.38</v>
      </c>
      <c r="E2">
        <v>2</v>
      </c>
      <c r="F2">
        <v>4.5</v>
      </c>
      <c r="G2" t="str">
        <f>IF(F2&lt;3,"Poor",IF(F2&lt;=4.5,"Average","Excellent"))</f>
        <v>Average</v>
      </c>
      <c r="H2" s="6">
        <f t="shared" ref="H2:H33" si="0">C2-B2</f>
        <v>575</v>
      </c>
      <c r="J2" t="str">
        <f>IF(D2&lt;20%,"Low Discount",IF(D2&lt;=40%,"Medium Discount","High Discount"))</f>
        <v>Medium Discount</v>
      </c>
    </row>
    <row r="3" spans="1:10" x14ac:dyDescent="0.35">
      <c r="A3" s="4" t="s">
        <v>10</v>
      </c>
      <c r="B3" s="6">
        <v>527</v>
      </c>
      <c r="C3" s="6">
        <v>999</v>
      </c>
      <c r="D3" s="1">
        <v>0.47</v>
      </c>
      <c r="E3">
        <v>14</v>
      </c>
      <c r="F3">
        <v>4.0999999999999996</v>
      </c>
      <c r="G3" t="str">
        <f t="shared" ref="G3:G66" si="1">IF(F3&lt;3,"Poor",IF(F3&lt;=4.5,"Average","Excellent"))</f>
        <v>Average</v>
      </c>
      <c r="H3" s="6">
        <f t="shared" si="0"/>
        <v>472</v>
      </c>
      <c r="J3" t="str">
        <f t="shared" ref="J3:J66" si="2">IF(D3&lt;20%,"Low Discount",IF(D3&lt;=40%,"Medium Discount","High Discount"))</f>
        <v>High Discount</v>
      </c>
    </row>
    <row r="4" spans="1:10" x14ac:dyDescent="0.35">
      <c r="A4" s="4" t="s">
        <v>14</v>
      </c>
      <c r="B4" s="6">
        <v>2199</v>
      </c>
      <c r="C4" s="6">
        <v>2923</v>
      </c>
      <c r="D4" s="1">
        <v>0.25</v>
      </c>
      <c r="E4">
        <v>24</v>
      </c>
      <c r="F4">
        <v>4.5999999999999996</v>
      </c>
      <c r="G4" t="str">
        <f t="shared" si="1"/>
        <v>Excellent</v>
      </c>
      <c r="H4" s="6">
        <f t="shared" si="0"/>
        <v>724</v>
      </c>
      <c r="J4" t="str">
        <f t="shared" si="2"/>
        <v>Medium Discount</v>
      </c>
    </row>
    <row r="5" spans="1:10" x14ac:dyDescent="0.35">
      <c r="A5" s="4" t="s">
        <v>18</v>
      </c>
      <c r="B5" s="6">
        <v>1580</v>
      </c>
      <c r="C5" s="6">
        <v>2499</v>
      </c>
      <c r="D5" s="1">
        <v>0.37</v>
      </c>
      <c r="E5">
        <v>7</v>
      </c>
      <c r="F5">
        <v>4.7</v>
      </c>
      <c r="G5" t="str">
        <f t="shared" si="1"/>
        <v>Excellent</v>
      </c>
      <c r="H5" s="6">
        <f t="shared" si="0"/>
        <v>919</v>
      </c>
      <c r="J5" t="str">
        <f t="shared" si="2"/>
        <v>Medium Discount</v>
      </c>
    </row>
    <row r="6" spans="1:10" x14ac:dyDescent="0.35">
      <c r="A6" s="4" t="s">
        <v>22</v>
      </c>
      <c r="B6" s="6">
        <v>1740</v>
      </c>
      <c r="C6" s="6">
        <v>2356</v>
      </c>
      <c r="D6" s="1">
        <v>0.26</v>
      </c>
      <c r="E6">
        <v>5</v>
      </c>
      <c r="F6">
        <v>4.8</v>
      </c>
      <c r="G6" t="str">
        <f t="shared" si="1"/>
        <v>Excellent</v>
      </c>
      <c r="H6" s="6">
        <f t="shared" si="0"/>
        <v>616</v>
      </c>
      <c r="J6" t="str">
        <f t="shared" si="2"/>
        <v>Medium Discount</v>
      </c>
    </row>
    <row r="7" spans="1:10" x14ac:dyDescent="0.35">
      <c r="A7" s="4" t="s">
        <v>26</v>
      </c>
      <c r="B7" s="6">
        <v>2999</v>
      </c>
      <c r="C7" s="6">
        <v>3290</v>
      </c>
      <c r="D7" s="1">
        <v>0.09</v>
      </c>
      <c r="E7">
        <v>15</v>
      </c>
      <c r="F7">
        <v>4</v>
      </c>
      <c r="G7" t="str">
        <f t="shared" si="1"/>
        <v>Average</v>
      </c>
      <c r="H7" s="6">
        <f t="shared" si="0"/>
        <v>291</v>
      </c>
      <c r="J7" t="str">
        <f t="shared" si="2"/>
        <v>Low Discount</v>
      </c>
    </row>
    <row r="8" spans="1:10" x14ac:dyDescent="0.35">
      <c r="A8" s="4" t="s">
        <v>30</v>
      </c>
      <c r="B8" s="6">
        <v>2319</v>
      </c>
      <c r="C8" s="6">
        <v>3032</v>
      </c>
      <c r="D8" s="1">
        <v>0.24</v>
      </c>
      <c r="E8">
        <v>55</v>
      </c>
      <c r="F8">
        <v>4.5999999999999996</v>
      </c>
      <c r="G8" t="str">
        <f t="shared" si="1"/>
        <v>Excellent</v>
      </c>
      <c r="H8" s="6">
        <f t="shared" si="0"/>
        <v>713</v>
      </c>
      <c r="J8" t="str">
        <f t="shared" si="2"/>
        <v>Medium Discount</v>
      </c>
    </row>
    <row r="9" spans="1:10" x14ac:dyDescent="0.35">
      <c r="A9" s="4" t="s">
        <v>33</v>
      </c>
      <c r="B9" s="6">
        <v>988</v>
      </c>
      <c r="C9" s="6">
        <v>1580</v>
      </c>
      <c r="D9" s="1">
        <v>0.37</v>
      </c>
      <c r="E9">
        <v>2</v>
      </c>
      <c r="F9">
        <v>4</v>
      </c>
      <c r="G9" t="str">
        <f t="shared" si="1"/>
        <v>Average</v>
      </c>
      <c r="H9" s="6">
        <f t="shared" si="0"/>
        <v>592</v>
      </c>
      <c r="J9" t="str">
        <f t="shared" si="2"/>
        <v>Medium Discount</v>
      </c>
    </row>
    <row r="10" spans="1:10" x14ac:dyDescent="0.35">
      <c r="A10" s="4" t="s">
        <v>35</v>
      </c>
      <c r="B10" s="6">
        <v>1274</v>
      </c>
      <c r="C10" s="6">
        <v>2800</v>
      </c>
      <c r="D10" s="1">
        <v>0.55000000000000004</v>
      </c>
      <c r="E10">
        <v>5</v>
      </c>
      <c r="F10">
        <v>4.8</v>
      </c>
      <c r="G10" t="str">
        <f t="shared" si="1"/>
        <v>Excellent</v>
      </c>
      <c r="H10" s="6">
        <f t="shared" si="0"/>
        <v>1526</v>
      </c>
      <c r="J10" t="str">
        <f t="shared" si="2"/>
        <v>High Discount</v>
      </c>
    </row>
    <row r="11" spans="1:10" x14ac:dyDescent="0.35">
      <c r="A11" s="4" t="s">
        <v>38</v>
      </c>
      <c r="B11" s="6">
        <v>1600</v>
      </c>
      <c r="C11" s="6">
        <v>2929</v>
      </c>
      <c r="D11" s="1">
        <v>0.45</v>
      </c>
      <c r="E11">
        <v>5</v>
      </c>
      <c r="F11">
        <v>3.8</v>
      </c>
      <c r="G11" t="str">
        <f t="shared" si="1"/>
        <v>Average</v>
      </c>
      <c r="H11" s="6">
        <f t="shared" si="0"/>
        <v>1329</v>
      </c>
      <c r="J11" t="str">
        <f t="shared" si="2"/>
        <v>High Discount</v>
      </c>
    </row>
    <row r="12" spans="1:10" x14ac:dyDescent="0.35">
      <c r="A12" s="4" t="s">
        <v>42</v>
      </c>
      <c r="B12" s="6">
        <v>799</v>
      </c>
      <c r="C12" s="6">
        <v>999</v>
      </c>
      <c r="D12" s="1">
        <v>0.2</v>
      </c>
      <c r="E12">
        <v>12</v>
      </c>
      <c r="F12">
        <v>4.0999999999999996</v>
      </c>
      <c r="G12" t="str">
        <f t="shared" si="1"/>
        <v>Average</v>
      </c>
      <c r="H12" s="6">
        <f t="shared" si="0"/>
        <v>200</v>
      </c>
      <c r="J12" t="str">
        <f t="shared" si="2"/>
        <v>Medium Discount</v>
      </c>
    </row>
    <row r="13" spans="1:10" x14ac:dyDescent="0.35">
      <c r="A13" s="4" t="s">
        <v>44</v>
      </c>
      <c r="B13" s="6">
        <v>990</v>
      </c>
      <c r="C13" s="6">
        <v>1500</v>
      </c>
      <c r="D13" s="1">
        <v>0.34</v>
      </c>
      <c r="E13">
        <v>39</v>
      </c>
      <c r="F13">
        <v>4.7</v>
      </c>
      <c r="G13" t="str">
        <f t="shared" si="1"/>
        <v>Excellent</v>
      </c>
      <c r="H13" s="6">
        <f t="shared" si="0"/>
        <v>510</v>
      </c>
      <c r="J13" t="str">
        <f t="shared" si="2"/>
        <v>Medium Discount</v>
      </c>
    </row>
    <row r="14" spans="1:10" x14ac:dyDescent="0.35">
      <c r="A14" s="4" t="s">
        <v>47</v>
      </c>
      <c r="B14" s="6">
        <v>552</v>
      </c>
      <c r="C14" s="6">
        <v>1035</v>
      </c>
      <c r="D14" s="1">
        <v>0.47</v>
      </c>
      <c r="E14">
        <v>12</v>
      </c>
      <c r="F14">
        <v>4.8</v>
      </c>
      <c r="G14" t="str">
        <f t="shared" si="1"/>
        <v>Excellent</v>
      </c>
      <c r="H14" s="6">
        <f t="shared" si="0"/>
        <v>483</v>
      </c>
      <c r="J14" t="str">
        <f t="shared" si="2"/>
        <v>High Discount</v>
      </c>
    </row>
    <row r="15" spans="1:10" x14ac:dyDescent="0.35">
      <c r="A15" s="4" t="s">
        <v>50</v>
      </c>
      <c r="B15" s="6">
        <v>501</v>
      </c>
      <c r="C15" s="6">
        <v>860</v>
      </c>
      <c r="D15" s="1">
        <v>0.42</v>
      </c>
      <c r="E15">
        <v>6</v>
      </c>
      <c r="F15">
        <v>4.5</v>
      </c>
      <c r="G15" t="str">
        <f t="shared" si="1"/>
        <v>Average</v>
      </c>
      <c r="H15" s="6">
        <f t="shared" si="0"/>
        <v>359</v>
      </c>
      <c r="J15" t="str">
        <f t="shared" si="2"/>
        <v>High Discount</v>
      </c>
    </row>
    <row r="16" spans="1:10" x14ac:dyDescent="0.35">
      <c r="A16" s="4" t="s">
        <v>53</v>
      </c>
      <c r="B16" s="6">
        <v>1680</v>
      </c>
      <c r="C16" s="6">
        <v>2499</v>
      </c>
      <c r="D16" s="1">
        <v>0.33</v>
      </c>
      <c r="E16">
        <v>9</v>
      </c>
      <c r="F16">
        <v>4.2</v>
      </c>
      <c r="G16" t="str">
        <f t="shared" si="1"/>
        <v>Average</v>
      </c>
      <c r="H16" s="6">
        <f t="shared" si="0"/>
        <v>819</v>
      </c>
      <c r="J16" t="str">
        <f t="shared" si="2"/>
        <v>Medium Discount</v>
      </c>
    </row>
    <row r="17" spans="1:10" x14ac:dyDescent="0.35">
      <c r="A17" s="4" t="s">
        <v>56</v>
      </c>
      <c r="B17" s="6">
        <v>332</v>
      </c>
      <c r="C17" s="6">
        <v>684</v>
      </c>
      <c r="D17" s="1">
        <v>0.51</v>
      </c>
      <c r="E17">
        <v>2</v>
      </c>
      <c r="F17">
        <v>5</v>
      </c>
      <c r="G17" t="str">
        <f t="shared" si="1"/>
        <v>Excellent</v>
      </c>
      <c r="H17" s="6">
        <f t="shared" si="0"/>
        <v>352</v>
      </c>
      <c r="J17" t="str">
        <f t="shared" si="2"/>
        <v>High Discount</v>
      </c>
    </row>
    <row r="18" spans="1:10" x14ac:dyDescent="0.35">
      <c r="A18" s="4" t="s">
        <v>60</v>
      </c>
      <c r="B18" s="6">
        <v>195</v>
      </c>
      <c r="C18" s="6">
        <v>360</v>
      </c>
      <c r="D18" s="1">
        <v>0.46</v>
      </c>
      <c r="E18">
        <v>2</v>
      </c>
      <c r="F18">
        <v>5</v>
      </c>
      <c r="G18" t="str">
        <f t="shared" si="1"/>
        <v>Excellent</v>
      </c>
      <c r="H18" s="6">
        <f t="shared" si="0"/>
        <v>165</v>
      </c>
      <c r="J18" t="str">
        <f t="shared" si="2"/>
        <v>High Discount</v>
      </c>
    </row>
    <row r="19" spans="1:10" x14ac:dyDescent="0.35">
      <c r="A19" s="4" t="s">
        <v>63</v>
      </c>
      <c r="B19" s="6">
        <v>2025</v>
      </c>
      <c r="C19" s="6">
        <v>3971</v>
      </c>
      <c r="D19" s="1">
        <v>0.49</v>
      </c>
      <c r="E19">
        <v>3</v>
      </c>
      <c r="F19">
        <v>5</v>
      </c>
      <c r="G19" t="str">
        <f t="shared" si="1"/>
        <v>Excellent</v>
      </c>
      <c r="H19" s="6">
        <f t="shared" si="0"/>
        <v>1946</v>
      </c>
      <c r="J19" t="str">
        <f t="shared" si="2"/>
        <v>High Discount</v>
      </c>
    </row>
    <row r="20" spans="1:10" x14ac:dyDescent="0.35">
      <c r="A20" s="4" t="s">
        <v>66</v>
      </c>
      <c r="B20" s="6">
        <v>2999</v>
      </c>
      <c r="C20" s="6">
        <v>3699</v>
      </c>
      <c r="D20" s="1">
        <v>0.19</v>
      </c>
      <c r="E20">
        <v>5</v>
      </c>
      <c r="F20">
        <v>4.5999999999999996</v>
      </c>
      <c r="G20" t="str">
        <f t="shared" si="1"/>
        <v>Excellent</v>
      </c>
      <c r="H20" s="6">
        <f t="shared" si="0"/>
        <v>700</v>
      </c>
      <c r="J20" t="str">
        <f t="shared" si="2"/>
        <v>Low Discount</v>
      </c>
    </row>
    <row r="21" spans="1:10" x14ac:dyDescent="0.35">
      <c r="A21" s="4" t="s">
        <v>68</v>
      </c>
      <c r="B21" s="6">
        <v>998</v>
      </c>
      <c r="C21" s="6">
        <v>1966</v>
      </c>
      <c r="D21" s="1">
        <v>0.49</v>
      </c>
      <c r="E21">
        <v>44</v>
      </c>
      <c r="F21">
        <v>4.5999999999999996</v>
      </c>
      <c r="G21" t="str">
        <f t="shared" si="1"/>
        <v>Excellent</v>
      </c>
      <c r="H21" s="6">
        <f t="shared" si="0"/>
        <v>968</v>
      </c>
      <c r="J21" t="str">
        <f t="shared" si="2"/>
        <v>High Discount</v>
      </c>
    </row>
    <row r="22" spans="1:10" x14ac:dyDescent="0.35">
      <c r="A22" s="4" t="s">
        <v>71</v>
      </c>
      <c r="B22" s="6">
        <v>38</v>
      </c>
      <c r="C22" s="6">
        <v>80</v>
      </c>
      <c r="D22" s="1">
        <v>0.53</v>
      </c>
      <c r="E22">
        <v>13</v>
      </c>
      <c r="F22">
        <v>3.3</v>
      </c>
      <c r="G22" t="str">
        <f t="shared" si="1"/>
        <v>Average</v>
      </c>
      <c r="H22" s="6">
        <f t="shared" si="0"/>
        <v>42</v>
      </c>
      <c r="J22" t="str">
        <f t="shared" si="2"/>
        <v>High Discount</v>
      </c>
    </row>
    <row r="23" spans="1:10" x14ac:dyDescent="0.35">
      <c r="A23" s="4" t="s">
        <v>75</v>
      </c>
      <c r="B23" s="6">
        <v>1860</v>
      </c>
      <c r="C23" s="6">
        <v>3220</v>
      </c>
      <c r="D23" s="1">
        <v>0.42</v>
      </c>
      <c r="E23" t="s">
        <v>16703</v>
      </c>
      <c r="F23" t="s">
        <v>16703</v>
      </c>
      <c r="G23" t="str">
        <f t="shared" si="1"/>
        <v>Excellent</v>
      </c>
      <c r="H23" s="6">
        <f t="shared" si="0"/>
        <v>1360</v>
      </c>
      <c r="J23" t="str">
        <f t="shared" si="2"/>
        <v>High Discount</v>
      </c>
    </row>
    <row r="24" spans="1:10" x14ac:dyDescent="0.35">
      <c r="A24" s="4" t="s">
        <v>78</v>
      </c>
      <c r="B24" s="6">
        <v>880</v>
      </c>
      <c r="C24" s="6">
        <v>1350</v>
      </c>
      <c r="D24" s="1">
        <v>0.35</v>
      </c>
      <c r="E24">
        <v>6</v>
      </c>
      <c r="F24">
        <v>4</v>
      </c>
      <c r="G24" t="str">
        <f t="shared" si="1"/>
        <v>Average</v>
      </c>
      <c r="H24" s="6">
        <f t="shared" si="0"/>
        <v>470</v>
      </c>
      <c r="J24" t="str">
        <f t="shared" si="2"/>
        <v>Medium Discount</v>
      </c>
    </row>
    <row r="25" spans="1:10" x14ac:dyDescent="0.35">
      <c r="A25" s="4" t="s">
        <v>81</v>
      </c>
      <c r="B25" s="6">
        <v>1650</v>
      </c>
      <c r="C25" s="6">
        <v>2150</v>
      </c>
      <c r="D25" s="1">
        <v>0.23</v>
      </c>
      <c r="E25">
        <v>14</v>
      </c>
      <c r="F25">
        <v>4.4000000000000004</v>
      </c>
      <c r="G25" t="str">
        <f t="shared" si="1"/>
        <v>Average</v>
      </c>
      <c r="H25" s="6">
        <f t="shared" si="0"/>
        <v>500</v>
      </c>
      <c r="J25" t="str">
        <f t="shared" si="2"/>
        <v>Medium Discount</v>
      </c>
    </row>
    <row r="26" spans="1:10" x14ac:dyDescent="0.35">
      <c r="A26" s="4" t="s">
        <v>85</v>
      </c>
      <c r="B26" s="6">
        <v>2048</v>
      </c>
      <c r="C26" s="6">
        <v>4500</v>
      </c>
      <c r="D26" s="1">
        <v>0.54</v>
      </c>
      <c r="E26">
        <v>7</v>
      </c>
      <c r="F26">
        <v>4.3</v>
      </c>
      <c r="G26" t="str">
        <f t="shared" si="1"/>
        <v>Average</v>
      </c>
      <c r="H26" s="6">
        <f t="shared" si="0"/>
        <v>2452</v>
      </c>
      <c r="J26" t="str">
        <f t="shared" si="2"/>
        <v>High Discount</v>
      </c>
    </row>
    <row r="27" spans="1:10" x14ac:dyDescent="0.35">
      <c r="A27" s="4" t="s">
        <v>89</v>
      </c>
      <c r="B27" s="6">
        <v>420</v>
      </c>
      <c r="C27" s="6">
        <v>647</v>
      </c>
      <c r="D27" s="1">
        <v>0.35</v>
      </c>
      <c r="E27">
        <v>49</v>
      </c>
      <c r="F27">
        <v>4.5999999999999996</v>
      </c>
      <c r="G27" t="str">
        <f t="shared" si="1"/>
        <v>Excellent</v>
      </c>
      <c r="H27" s="6">
        <f t="shared" si="0"/>
        <v>227</v>
      </c>
      <c r="J27" t="str">
        <f t="shared" si="2"/>
        <v>Medium Discount</v>
      </c>
    </row>
    <row r="28" spans="1:10" x14ac:dyDescent="0.35">
      <c r="A28" s="4" t="s">
        <v>92</v>
      </c>
      <c r="B28" s="6">
        <v>2880</v>
      </c>
      <c r="C28" s="6">
        <v>3520</v>
      </c>
      <c r="D28" s="1">
        <v>0.18</v>
      </c>
      <c r="E28">
        <v>12</v>
      </c>
      <c r="F28">
        <v>3.8</v>
      </c>
      <c r="G28" t="str">
        <f t="shared" si="1"/>
        <v>Average</v>
      </c>
      <c r="H28" s="6">
        <f t="shared" si="0"/>
        <v>640</v>
      </c>
      <c r="J28" t="str">
        <f t="shared" si="2"/>
        <v>Low Discount</v>
      </c>
    </row>
    <row r="29" spans="1:10" x14ac:dyDescent="0.35">
      <c r="A29" s="4" t="s">
        <v>95</v>
      </c>
      <c r="B29" s="6">
        <v>1350</v>
      </c>
      <c r="C29" s="6">
        <v>1990</v>
      </c>
      <c r="D29" s="1">
        <v>0.32</v>
      </c>
      <c r="E29">
        <v>13</v>
      </c>
      <c r="F29">
        <v>3.8</v>
      </c>
      <c r="G29" t="str">
        <f t="shared" si="1"/>
        <v>Average</v>
      </c>
      <c r="H29" s="6">
        <f t="shared" si="0"/>
        <v>640</v>
      </c>
      <c r="J29" t="str">
        <f t="shared" si="2"/>
        <v>Medium Discount</v>
      </c>
    </row>
    <row r="30" spans="1:10" x14ac:dyDescent="0.35">
      <c r="A30" s="4" t="s">
        <v>97</v>
      </c>
      <c r="B30" s="6">
        <v>1758</v>
      </c>
      <c r="C30" s="6">
        <v>2499</v>
      </c>
      <c r="D30" s="1">
        <v>0.3</v>
      </c>
      <c r="E30">
        <v>20</v>
      </c>
      <c r="F30">
        <v>4.0999999999999996</v>
      </c>
      <c r="G30" t="str">
        <f t="shared" si="1"/>
        <v>Average</v>
      </c>
      <c r="H30" s="6">
        <f t="shared" si="0"/>
        <v>741</v>
      </c>
      <c r="J30" t="str">
        <f t="shared" si="2"/>
        <v>Medium Discount</v>
      </c>
    </row>
    <row r="31" spans="1:10" x14ac:dyDescent="0.35">
      <c r="A31" s="4" t="s">
        <v>99</v>
      </c>
      <c r="B31" s="6">
        <v>2200</v>
      </c>
      <c r="C31" s="6">
        <v>4080</v>
      </c>
      <c r="D31" s="1">
        <v>0.46</v>
      </c>
      <c r="E31" t="s">
        <v>16703</v>
      </c>
      <c r="F31" t="s">
        <v>16703</v>
      </c>
      <c r="G31" t="str">
        <f t="shared" si="1"/>
        <v>Excellent</v>
      </c>
      <c r="H31" s="6">
        <f t="shared" si="0"/>
        <v>1880</v>
      </c>
      <c r="J31" t="str">
        <f t="shared" si="2"/>
        <v>High Discount</v>
      </c>
    </row>
    <row r="32" spans="1:10" x14ac:dyDescent="0.35">
      <c r="A32" s="4" t="s">
        <v>102</v>
      </c>
      <c r="B32" s="6">
        <v>185</v>
      </c>
      <c r="C32" s="6">
        <v>382</v>
      </c>
      <c r="D32" s="1">
        <v>0.52</v>
      </c>
      <c r="E32">
        <v>9</v>
      </c>
      <c r="F32">
        <v>4.3</v>
      </c>
      <c r="G32" t="str">
        <f t="shared" si="1"/>
        <v>Average</v>
      </c>
      <c r="H32" s="6">
        <f t="shared" si="0"/>
        <v>197</v>
      </c>
      <c r="J32" t="str">
        <f t="shared" si="2"/>
        <v>High Discount</v>
      </c>
    </row>
    <row r="33" spans="1:10" x14ac:dyDescent="0.35">
      <c r="A33" s="4" t="s">
        <v>105</v>
      </c>
      <c r="B33" s="6">
        <v>980</v>
      </c>
      <c r="C33" s="6">
        <v>1490</v>
      </c>
      <c r="D33" s="1">
        <v>0.34</v>
      </c>
      <c r="E33">
        <v>12</v>
      </c>
      <c r="F33">
        <v>4.7</v>
      </c>
      <c r="G33" t="str">
        <f t="shared" si="1"/>
        <v>Excellent</v>
      </c>
      <c r="H33" s="6">
        <f t="shared" si="0"/>
        <v>510</v>
      </c>
      <c r="J33" t="str">
        <f t="shared" si="2"/>
        <v>Medium Discount</v>
      </c>
    </row>
    <row r="34" spans="1:10" x14ac:dyDescent="0.35">
      <c r="A34" s="4" t="s">
        <v>108</v>
      </c>
      <c r="B34" s="6">
        <v>1820</v>
      </c>
      <c r="C34" s="6">
        <v>3490</v>
      </c>
      <c r="D34" s="1">
        <v>0.48</v>
      </c>
      <c r="E34">
        <v>9</v>
      </c>
      <c r="F34">
        <v>4.3</v>
      </c>
      <c r="G34" t="str">
        <f t="shared" si="1"/>
        <v>Average</v>
      </c>
      <c r="H34" s="6">
        <f t="shared" ref="H34:H65" si="3">C34-B34</f>
        <v>1670</v>
      </c>
      <c r="J34" t="str">
        <f t="shared" si="2"/>
        <v>High Discount</v>
      </c>
    </row>
    <row r="35" spans="1:10" x14ac:dyDescent="0.35">
      <c r="A35" s="4" t="s">
        <v>111</v>
      </c>
      <c r="B35" s="6">
        <v>1940</v>
      </c>
      <c r="C35" s="6">
        <v>2650</v>
      </c>
      <c r="D35" s="1">
        <v>0.27</v>
      </c>
      <c r="E35">
        <v>20</v>
      </c>
      <c r="F35">
        <v>4.7</v>
      </c>
      <c r="G35" t="str">
        <f t="shared" si="1"/>
        <v>Excellent</v>
      </c>
      <c r="H35" s="6">
        <f t="shared" si="3"/>
        <v>710</v>
      </c>
      <c r="J35" t="str">
        <f t="shared" si="2"/>
        <v>Medium Discount</v>
      </c>
    </row>
    <row r="36" spans="1:10" x14ac:dyDescent="0.35">
      <c r="A36" s="4" t="s">
        <v>114</v>
      </c>
      <c r="B36" s="6">
        <v>1980</v>
      </c>
      <c r="C36" s="6">
        <v>2699</v>
      </c>
      <c r="D36" s="1">
        <v>0.27</v>
      </c>
      <c r="E36">
        <v>32</v>
      </c>
      <c r="F36">
        <v>4.5</v>
      </c>
      <c r="G36" t="str">
        <f t="shared" si="1"/>
        <v>Average</v>
      </c>
      <c r="H36" s="6">
        <f t="shared" si="3"/>
        <v>719</v>
      </c>
      <c r="J36" t="str">
        <f t="shared" si="2"/>
        <v>Medium Discount</v>
      </c>
    </row>
    <row r="37" spans="1:10" x14ac:dyDescent="0.35">
      <c r="A37" s="4" t="s">
        <v>117</v>
      </c>
      <c r="B37" s="6">
        <v>1620</v>
      </c>
      <c r="C37" s="6">
        <v>2690</v>
      </c>
      <c r="D37" s="1">
        <v>0.4</v>
      </c>
      <c r="E37">
        <v>1</v>
      </c>
      <c r="F37">
        <v>5</v>
      </c>
      <c r="G37" t="str">
        <f t="shared" si="1"/>
        <v>Excellent</v>
      </c>
      <c r="H37" s="6">
        <f t="shared" si="3"/>
        <v>1070</v>
      </c>
      <c r="J37" t="str">
        <f t="shared" si="2"/>
        <v>Medium Discount</v>
      </c>
    </row>
    <row r="38" spans="1:10" x14ac:dyDescent="0.35">
      <c r="A38" s="4" t="s">
        <v>120</v>
      </c>
      <c r="B38" s="6">
        <v>171</v>
      </c>
      <c r="C38" s="6">
        <v>360</v>
      </c>
      <c r="D38" s="1">
        <v>0.53</v>
      </c>
      <c r="E38">
        <v>2</v>
      </c>
      <c r="F38">
        <v>5</v>
      </c>
      <c r="G38" t="str">
        <f t="shared" si="1"/>
        <v>Excellent</v>
      </c>
      <c r="H38" s="6">
        <f t="shared" si="3"/>
        <v>189</v>
      </c>
      <c r="J38" t="str">
        <f t="shared" si="2"/>
        <v>High Discount</v>
      </c>
    </row>
    <row r="39" spans="1:10" x14ac:dyDescent="0.35">
      <c r="A39" s="4" t="s">
        <v>122</v>
      </c>
      <c r="B39" s="6">
        <v>389</v>
      </c>
      <c r="C39" s="6">
        <v>656</v>
      </c>
      <c r="D39" s="1">
        <v>0.41</v>
      </c>
      <c r="E39">
        <v>36</v>
      </c>
      <c r="F39">
        <v>4.3</v>
      </c>
      <c r="G39" t="str">
        <f t="shared" si="1"/>
        <v>Average</v>
      </c>
      <c r="H39" s="6">
        <f t="shared" si="3"/>
        <v>267</v>
      </c>
      <c r="J39" t="str">
        <f t="shared" si="2"/>
        <v>High Discount</v>
      </c>
    </row>
    <row r="40" spans="1:10" x14ac:dyDescent="0.35">
      <c r="A40" s="4" t="s">
        <v>125</v>
      </c>
      <c r="B40" s="6">
        <v>1980</v>
      </c>
      <c r="C40" s="6">
        <v>3200</v>
      </c>
      <c r="D40" s="1">
        <v>0.38</v>
      </c>
      <c r="E40">
        <v>2</v>
      </c>
      <c r="F40">
        <v>4.5</v>
      </c>
      <c r="G40" t="str">
        <f t="shared" si="1"/>
        <v>Average</v>
      </c>
      <c r="H40" s="6">
        <f t="shared" si="3"/>
        <v>1220</v>
      </c>
      <c r="J40" t="str">
        <f t="shared" si="2"/>
        <v>Medium Discount</v>
      </c>
    </row>
    <row r="41" spans="1:10" x14ac:dyDescent="0.35">
      <c r="A41" s="4" t="s">
        <v>128</v>
      </c>
      <c r="B41" s="6">
        <v>2750</v>
      </c>
      <c r="C41" s="6">
        <v>4471</v>
      </c>
      <c r="D41" s="1">
        <v>0.38</v>
      </c>
      <c r="E41" t="s">
        <v>16703</v>
      </c>
      <c r="F41" t="s">
        <v>16703</v>
      </c>
      <c r="G41" t="str">
        <f t="shared" si="1"/>
        <v>Excellent</v>
      </c>
      <c r="H41" s="6">
        <f t="shared" si="3"/>
        <v>1721</v>
      </c>
      <c r="J41" t="str">
        <f t="shared" si="2"/>
        <v>Medium Discount</v>
      </c>
    </row>
    <row r="42" spans="1:10" x14ac:dyDescent="0.35">
      <c r="A42" s="4" t="s">
        <v>131</v>
      </c>
      <c r="B42" s="6">
        <v>475</v>
      </c>
      <c r="C42" s="6">
        <v>931</v>
      </c>
      <c r="D42" s="1">
        <v>0.49</v>
      </c>
      <c r="E42" t="s">
        <v>16703</v>
      </c>
      <c r="F42" t="s">
        <v>16703</v>
      </c>
      <c r="G42" t="str">
        <f t="shared" si="1"/>
        <v>Excellent</v>
      </c>
      <c r="H42" s="6">
        <f t="shared" si="3"/>
        <v>456</v>
      </c>
      <c r="J42" t="str">
        <f t="shared" si="2"/>
        <v>High Discount</v>
      </c>
    </row>
    <row r="43" spans="1:10" x14ac:dyDescent="0.35">
      <c r="A43" s="4" t="s">
        <v>134</v>
      </c>
      <c r="B43" s="6">
        <v>238</v>
      </c>
      <c r="C43" s="6">
        <v>476</v>
      </c>
      <c r="D43" s="1">
        <v>0.5</v>
      </c>
      <c r="E43" t="s">
        <v>16703</v>
      </c>
      <c r="F43" t="s">
        <v>16703</v>
      </c>
      <c r="G43" t="str">
        <f t="shared" si="1"/>
        <v>Excellent</v>
      </c>
      <c r="H43" s="6">
        <f t="shared" si="3"/>
        <v>238</v>
      </c>
      <c r="J43" t="str">
        <f t="shared" si="2"/>
        <v>High Discount</v>
      </c>
    </row>
    <row r="44" spans="1:10" x14ac:dyDescent="0.35">
      <c r="A44" s="4" t="s">
        <v>137</v>
      </c>
      <c r="B44" s="6">
        <v>610</v>
      </c>
      <c r="C44" s="6">
        <v>1060</v>
      </c>
      <c r="D44" s="1">
        <v>0.42</v>
      </c>
      <c r="E44" t="s">
        <v>16703</v>
      </c>
      <c r="F44" t="s">
        <v>16703</v>
      </c>
      <c r="G44" t="str">
        <f t="shared" si="1"/>
        <v>Excellent</v>
      </c>
      <c r="H44" s="6">
        <f t="shared" si="3"/>
        <v>450</v>
      </c>
      <c r="J44" t="str">
        <f t="shared" si="2"/>
        <v>High Discount</v>
      </c>
    </row>
    <row r="45" spans="1:10" x14ac:dyDescent="0.35">
      <c r="A45" s="4" t="s">
        <v>140</v>
      </c>
      <c r="B45" s="6">
        <v>2132</v>
      </c>
      <c r="C45" s="6">
        <v>2169</v>
      </c>
      <c r="D45" s="1">
        <v>0.02</v>
      </c>
      <c r="E45" t="s">
        <v>16703</v>
      </c>
      <c r="F45" t="s">
        <v>16703</v>
      </c>
      <c r="G45" t="str">
        <f t="shared" si="1"/>
        <v>Excellent</v>
      </c>
      <c r="H45" s="6">
        <f t="shared" si="3"/>
        <v>37</v>
      </c>
      <c r="J45" t="str">
        <f t="shared" si="2"/>
        <v>Low Discount</v>
      </c>
    </row>
    <row r="46" spans="1:10" x14ac:dyDescent="0.35">
      <c r="A46" s="4" t="s">
        <v>143</v>
      </c>
      <c r="B46" s="6">
        <v>999</v>
      </c>
      <c r="C46" s="6">
        <v>2000</v>
      </c>
      <c r="D46" s="1">
        <v>0.5</v>
      </c>
      <c r="E46" t="s">
        <v>16703</v>
      </c>
      <c r="F46" t="s">
        <v>16703</v>
      </c>
      <c r="G46" t="str">
        <f t="shared" si="1"/>
        <v>Excellent</v>
      </c>
      <c r="H46" s="6">
        <f t="shared" si="3"/>
        <v>1001</v>
      </c>
      <c r="J46" t="str">
        <f t="shared" si="2"/>
        <v>High Discount</v>
      </c>
    </row>
    <row r="47" spans="1:10" x14ac:dyDescent="0.35">
      <c r="A47" s="4" t="s">
        <v>145</v>
      </c>
      <c r="B47" s="6">
        <v>1190</v>
      </c>
      <c r="C47" s="6">
        <v>1785</v>
      </c>
      <c r="D47" s="1">
        <v>0.33</v>
      </c>
      <c r="E47" t="s">
        <v>16703</v>
      </c>
      <c r="F47" t="s">
        <v>16703</v>
      </c>
      <c r="G47" t="str">
        <f t="shared" si="1"/>
        <v>Excellent</v>
      </c>
      <c r="H47" s="6">
        <f t="shared" si="3"/>
        <v>595</v>
      </c>
      <c r="J47" t="str">
        <f t="shared" si="2"/>
        <v>Medium Discount</v>
      </c>
    </row>
    <row r="48" spans="1:10" x14ac:dyDescent="0.35">
      <c r="A48" s="4" t="s">
        <v>148</v>
      </c>
      <c r="B48" s="6">
        <v>671</v>
      </c>
      <c r="C48" s="6">
        <v>1316</v>
      </c>
      <c r="D48" s="1">
        <v>0.49</v>
      </c>
      <c r="E48" t="s">
        <v>16703</v>
      </c>
      <c r="F48" t="s">
        <v>16703</v>
      </c>
      <c r="G48" t="str">
        <f t="shared" si="1"/>
        <v>Excellent</v>
      </c>
      <c r="H48" s="6">
        <f t="shared" si="3"/>
        <v>645</v>
      </c>
      <c r="J48" t="str">
        <f t="shared" si="2"/>
        <v>High Discount</v>
      </c>
    </row>
    <row r="49" spans="1:10" x14ac:dyDescent="0.35">
      <c r="A49" s="4" t="s">
        <v>151</v>
      </c>
      <c r="B49" s="6">
        <v>1200</v>
      </c>
      <c r="C49" s="6">
        <v>1950</v>
      </c>
      <c r="D49" s="1">
        <v>0.38</v>
      </c>
      <c r="E49" t="s">
        <v>16703</v>
      </c>
      <c r="F49" t="s">
        <v>16703</v>
      </c>
      <c r="G49" t="str">
        <f t="shared" si="1"/>
        <v>Excellent</v>
      </c>
      <c r="H49" s="6">
        <f t="shared" si="3"/>
        <v>750</v>
      </c>
      <c r="J49" t="str">
        <f t="shared" si="2"/>
        <v>Medium Discount</v>
      </c>
    </row>
    <row r="50" spans="1:10" x14ac:dyDescent="0.35">
      <c r="A50" s="4" t="s">
        <v>154</v>
      </c>
      <c r="B50" s="6">
        <v>199</v>
      </c>
      <c r="C50" s="6">
        <v>504</v>
      </c>
      <c r="D50" s="1">
        <v>0.61</v>
      </c>
      <c r="E50" t="s">
        <v>16703</v>
      </c>
      <c r="F50" t="s">
        <v>16703</v>
      </c>
      <c r="G50" t="str">
        <f t="shared" si="1"/>
        <v>Excellent</v>
      </c>
      <c r="H50" s="6">
        <f t="shared" si="3"/>
        <v>305</v>
      </c>
      <c r="J50" t="str">
        <f t="shared" si="2"/>
        <v>High Discount</v>
      </c>
    </row>
    <row r="51" spans="1:10" x14ac:dyDescent="0.35">
      <c r="A51" s="4" t="s">
        <v>157</v>
      </c>
      <c r="B51" s="6">
        <v>299</v>
      </c>
      <c r="C51" s="6">
        <v>600</v>
      </c>
      <c r="D51" s="1">
        <v>0.5</v>
      </c>
      <c r="E51" t="s">
        <v>16703</v>
      </c>
      <c r="F51" t="s">
        <v>16703</v>
      </c>
      <c r="G51" t="str">
        <f t="shared" si="1"/>
        <v>Excellent</v>
      </c>
      <c r="H51" s="6">
        <f t="shared" si="3"/>
        <v>301</v>
      </c>
      <c r="J51" t="str">
        <f t="shared" si="2"/>
        <v>High Discount</v>
      </c>
    </row>
    <row r="52" spans="1:10" x14ac:dyDescent="0.35">
      <c r="A52" s="4" t="s">
        <v>160</v>
      </c>
      <c r="B52" s="6">
        <v>1660</v>
      </c>
      <c r="C52" s="6">
        <v>1699</v>
      </c>
      <c r="D52" s="1">
        <v>0.02</v>
      </c>
      <c r="E52" t="s">
        <v>16703</v>
      </c>
      <c r="F52" t="s">
        <v>16703</v>
      </c>
      <c r="G52" t="str">
        <f t="shared" si="1"/>
        <v>Excellent</v>
      </c>
      <c r="H52" s="6">
        <f t="shared" si="3"/>
        <v>39</v>
      </c>
      <c r="J52" t="str">
        <f t="shared" si="2"/>
        <v>Low Discount</v>
      </c>
    </row>
    <row r="53" spans="1:10" x14ac:dyDescent="0.35">
      <c r="A53" s="4" t="s">
        <v>163</v>
      </c>
      <c r="B53" s="6">
        <v>299</v>
      </c>
      <c r="C53" s="6">
        <v>384</v>
      </c>
      <c r="D53" s="1">
        <v>0.22</v>
      </c>
      <c r="E53" t="s">
        <v>16703</v>
      </c>
      <c r="F53" t="s">
        <v>16703</v>
      </c>
      <c r="G53" t="str">
        <f t="shared" si="1"/>
        <v>Excellent</v>
      </c>
      <c r="H53" s="6">
        <f t="shared" si="3"/>
        <v>85</v>
      </c>
      <c r="J53" t="str">
        <f t="shared" si="2"/>
        <v>Medium Discount</v>
      </c>
    </row>
    <row r="54" spans="1:10" x14ac:dyDescent="0.35">
      <c r="A54" s="4" t="s">
        <v>165</v>
      </c>
      <c r="B54" s="6">
        <v>1459</v>
      </c>
      <c r="C54" s="6">
        <v>1499</v>
      </c>
      <c r="D54" s="1">
        <v>0.03</v>
      </c>
      <c r="E54" t="s">
        <v>16703</v>
      </c>
      <c r="F54" t="s">
        <v>16703</v>
      </c>
      <c r="G54" t="str">
        <f t="shared" si="1"/>
        <v>Excellent</v>
      </c>
      <c r="H54" s="6">
        <f t="shared" si="3"/>
        <v>40</v>
      </c>
      <c r="J54" t="str">
        <f t="shared" si="2"/>
        <v>Low Discount</v>
      </c>
    </row>
    <row r="55" spans="1:10" x14ac:dyDescent="0.35">
      <c r="A55" s="4" t="s">
        <v>168</v>
      </c>
      <c r="B55" s="6">
        <v>799</v>
      </c>
      <c r="C55" s="6">
        <v>1343</v>
      </c>
      <c r="D55" s="1">
        <v>0.41</v>
      </c>
      <c r="E55" t="s">
        <v>16703</v>
      </c>
      <c r="F55" t="s">
        <v>16703</v>
      </c>
      <c r="G55" t="str">
        <f t="shared" si="1"/>
        <v>Excellent</v>
      </c>
      <c r="H55" s="6">
        <f t="shared" si="3"/>
        <v>544</v>
      </c>
      <c r="J55" t="str">
        <f t="shared" si="2"/>
        <v>High Discount</v>
      </c>
    </row>
    <row r="56" spans="1:10" x14ac:dyDescent="0.35">
      <c r="A56" s="4" t="s">
        <v>170</v>
      </c>
      <c r="B56" s="6">
        <v>499</v>
      </c>
      <c r="C56" s="6">
        <v>900</v>
      </c>
      <c r="D56" s="1">
        <v>0.45</v>
      </c>
      <c r="E56" t="s">
        <v>16703</v>
      </c>
      <c r="F56" t="s">
        <v>16703</v>
      </c>
      <c r="G56" t="str">
        <f t="shared" si="1"/>
        <v>Excellent</v>
      </c>
      <c r="H56" s="6">
        <f t="shared" si="3"/>
        <v>401</v>
      </c>
      <c r="J56" t="str">
        <f t="shared" si="2"/>
        <v>High Discount</v>
      </c>
    </row>
    <row r="57" spans="1:10" x14ac:dyDescent="0.35">
      <c r="A57" s="4" t="s">
        <v>173</v>
      </c>
      <c r="B57" s="6">
        <v>699</v>
      </c>
      <c r="C57" s="6">
        <v>1343</v>
      </c>
      <c r="D57" s="1">
        <v>0.48</v>
      </c>
      <c r="E57" t="s">
        <v>16703</v>
      </c>
      <c r="F57" t="s">
        <v>16703</v>
      </c>
      <c r="G57" t="str">
        <f t="shared" si="1"/>
        <v>Excellent</v>
      </c>
      <c r="H57" s="6">
        <f t="shared" si="3"/>
        <v>644</v>
      </c>
      <c r="J57" t="str">
        <f t="shared" si="2"/>
        <v>High Discount</v>
      </c>
    </row>
    <row r="58" spans="1:10" x14ac:dyDescent="0.35">
      <c r="A58" s="4" t="s">
        <v>175</v>
      </c>
      <c r="B58" s="6">
        <v>799</v>
      </c>
      <c r="C58" s="6">
        <v>1567</v>
      </c>
      <c r="D58" s="1">
        <v>0.49</v>
      </c>
      <c r="E58" t="s">
        <v>16703</v>
      </c>
      <c r="F58" t="s">
        <v>16703</v>
      </c>
      <c r="G58" t="str">
        <f t="shared" si="1"/>
        <v>Excellent</v>
      </c>
      <c r="H58" s="6">
        <f t="shared" si="3"/>
        <v>768</v>
      </c>
      <c r="J58" t="str">
        <f t="shared" si="2"/>
        <v>High Discount</v>
      </c>
    </row>
    <row r="59" spans="1:10" x14ac:dyDescent="0.35">
      <c r="A59" s="4" t="s">
        <v>177</v>
      </c>
      <c r="B59" s="6">
        <v>2799</v>
      </c>
      <c r="C59" s="6">
        <v>3810</v>
      </c>
      <c r="D59" s="1">
        <v>0.27</v>
      </c>
      <c r="E59" t="s">
        <v>16703</v>
      </c>
      <c r="F59" t="s">
        <v>16703</v>
      </c>
      <c r="G59" t="str">
        <f t="shared" si="1"/>
        <v>Excellent</v>
      </c>
      <c r="H59" s="6">
        <f t="shared" si="3"/>
        <v>1011</v>
      </c>
      <c r="J59" t="str">
        <f t="shared" si="2"/>
        <v>Medium Discount</v>
      </c>
    </row>
    <row r="60" spans="1:10" x14ac:dyDescent="0.35">
      <c r="A60" s="4" t="s">
        <v>170</v>
      </c>
      <c r="B60" s="6">
        <v>399</v>
      </c>
      <c r="C60" s="6">
        <v>896</v>
      </c>
      <c r="D60" s="1">
        <v>0.55000000000000004</v>
      </c>
      <c r="E60" t="s">
        <v>16703</v>
      </c>
      <c r="F60" t="s">
        <v>16703</v>
      </c>
      <c r="G60" t="str">
        <f t="shared" si="1"/>
        <v>Excellent</v>
      </c>
      <c r="H60" s="6">
        <f t="shared" si="3"/>
        <v>497</v>
      </c>
      <c r="J60" t="str">
        <f t="shared" si="2"/>
        <v>High Discount</v>
      </c>
    </row>
    <row r="61" spans="1:10" x14ac:dyDescent="0.35">
      <c r="A61" s="4" t="s">
        <v>182</v>
      </c>
      <c r="B61" s="6">
        <v>2170</v>
      </c>
      <c r="C61" s="6">
        <v>2500</v>
      </c>
      <c r="D61" s="1">
        <v>0.13</v>
      </c>
      <c r="E61">
        <v>6</v>
      </c>
      <c r="F61">
        <v>2.5</v>
      </c>
      <c r="G61" t="str">
        <f t="shared" si="1"/>
        <v>Poor</v>
      </c>
      <c r="H61" s="6">
        <f t="shared" si="3"/>
        <v>330</v>
      </c>
      <c r="J61" t="str">
        <f t="shared" si="2"/>
        <v>Low Discount</v>
      </c>
    </row>
    <row r="62" spans="1:10" x14ac:dyDescent="0.35">
      <c r="A62" s="4" t="s">
        <v>186</v>
      </c>
      <c r="B62" s="6">
        <v>458</v>
      </c>
      <c r="C62" s="6">
        <v>986</v>
      </c>
      <c r="D62" s="1">
        <v>0.54</v>
      </c>
      <c r="E62">
        <v>10</v>
      </c>
      <c r="F62">
        <v>3</v>
      </c>
      <c r="G62" t="str">
        <f t="shared" si="1"/>
        <v>Average</v>
      </c>
      <c r="H62" s="6">
        <f t="shared" si="3"/>
        <v>528</v>
      </c>
      <c r="J62" t="str">
        <f t="shared" si="2"/>
        <v>High Discount</v>
      </c>
    </row>
    <row r="63" spans="1:10" x14ac:dyDescent="0.35">
      <c r="A63" s="4" t="s">
        <v>190</v>
      </c>
      <c r="B63" s="6">
        <v>2115</v>
      </c>
      <c r="C63" s="6">
        <v>4700</v>
      </c>
      <c r="D63" s="1">
        <v>0.55000000000000004</v>
      </c>
      <c r="E63">
        <v>13</v>
      </c>
      <c r="F63">
        <v>2.1</v>
      </c>
      <c r="G63" t="str">
        <f t="shared" si="1"/>
        <v>Poor</v>
      </c>
      <c r="H63" s="6">
        <f t="shared" si="3"/>
        <v>2585</v>
      </c>
      <c r="J63" t="str">
        <f t="shared" si="2"/>
        <v>High Discount</v>
      </c>
    </row>
    <row r="64" spans="1:10" x14ac:dyDescent="0.35">
      <c r="A64" s="4" t="s">
        <v>194</v>
      </c>
      <c r="B64" s="6">
        <v>445</v>
      </c>
      <c r="C64" s="6">
        <v>873</v>
      </c>
      <c r="D64" s="1">
        <v>0.49</v>
      </c>
      <c r="E64">
        <v>69</v>
      </c>
      <c r="F64">
        <v>2.8</v>
      </c>
      <c r="G64" t="str">
        <f t="shared" si="1"/>
        <v>Poor</v>
      </c>
      <c r="H64" s="6">
        <f t="shared" si="3"/>
        <v>428</v>
      </c>
      <c r="J64" t="str">
        <f t="shared" si="2"/>
        <v>High Discount</v>
      </c>
    </row>
    <row r="65" spans="1:10" x14ac:dyDescent="0.35">
      <c r="A65" s="4" t="s">
        <v>198</v>
      </c>
      <c r="B65" s="6">
        <v>325</v>
      </c>
      <c r="C65" s="6">
        <v>680</v>
      </c>
      <c r="D65" s="1">
        <v>0.52</v>
      </c>
      <c r="E65">
        <v>15</v>
      </c>
      <c r="F65">
        <v>2.7</v>
      </c>
      <c r="G65" t="str">
        <f t="shared" si="1"/>
        <v>Poor</v>
      </c>
      <c r="H65" s="6">
        <f t="shared" si="3"/>
        <v>355</v>
      </c>
      <c r="J65" t="str">
        <f t="shared" si="2"/>
        <v>High Discount</v>
      </c>
    </row>
    <row r="66" spans="1:10" x14ac:dyDescent="0.35">
      <c r="A66" s="4" t="s">
        <v>202</v>
      </c>
      <c r="B66" s="6">
        <v>1220</v>
      </c>
      <c r="C66" s="6">
        <v>1555</v>
      </c>
      <c r="D66" s="1">
        <v>0.22</v>
      </c>
      <c r="E66">
        <v>16</v>
      </c>
      <c r="F66">
        <v>2.9</v>
      </c>
      <c r="G66" t="str">
        <f t="shared" si="1"/>
        <v>Poor</v>
      </c>
      <c r="H66" s="6">
        <f t="shared" ref="H66:H97" si="4">C66-B66</f>
        <v>335</v>
      </c>
      <c r="J66" t="str">
        <f t="shared" si="2"/>
        <v>Medium Discount</v>
      </c>
    </row>
    <row r="67" spans="1:10" x14ac:dyDescent="0.35">
      <c r="A67" s="4" t="s">
        <v>206</v>
      </c>
      <c r="B67" s="6">
        <v>990</v>
      </c>
      <c r="C67" s="6">
        <v>1814</v>
      </c>
      <c r="D67" s="1">
        <v>0.45</v>
      </c>
      <c r="E67">
        <v>6</v>
      </c>
      <c r="F67">
        <v>2.2000000000000002</v>
      </c>
      <c r="G67" t="str">
        <f t="shared" ref="G67:G113" si="5">IF(F67&lt;3,"Poor",IF(F67&lt;=4.5,"Average","Excellent"))</f>
        <v>Poor</v>
      </c>
      <c r="H67" s="6">
        <f t="shared" si="4"/>
        <v>824</v>
      </c>
      <c r="J67" t="str">
        <f t="shared" ref="J67:J117" si="6">IF(D67&lt;20%,"Low Discount",IF(D67&lt;=40%,"Medium Discount","High Discount"))</f>
        <v>High Discount</v>
      </c>
    </row>
    <row r="68" spans="1:10" x14ac:dyDescent="0.35">
      <c r="A68" s="4" t="s">
        <v>209</v>
      </c>
      <c r="B68" s="6">
        <v>1000</v>
      </c>
      <c r="C68" s="6">
        <v>2000</v>
      </c>
      <c r="D68" s="1">
        <v>0.5</v>
      </c>
      <c r="E68">
        <v>7</v>
      </c>
      <c r="F68">
        <v>2.2999999999999998</v>
      </c>
      <c r="G68" t="str">
        <f t="shared" si="5"/>
        <v>Poor</v>
      </c>
      <c r="H68" s="6">
        <f t="shared" si="4"/>
        <v>1000</v>
      </c>
      <c r="J68" t="str">
        <f t="shared" si="6"/>
        <v>High Discount</v>
      </c>
    </row>
    <row r="69" spans="1:10" x14ac:dyDescent="0.35">
      <c r="A69" s="4" t="s">
        <v>212</v>
      </c>
      <c r="B69" s="6">
        <v>3750</v>
      </c>
      <c r="C69" s="6">
        <v>6143</v>
      </c>
      <c r="D69" s="1">
        <v>0.39</v>
      </c>
      <c r="E69">
        <v>5</v>
      </c>
      <c r="F69">
        <v>3</v>
      </c>
      <c r="G69" t="str">
        <f t="shared" si="5"/>
        <v>Average</v>
      </c>
      <c r="H69" s="6">
        <f t="shared" si="4"/>
        <v>2393</v>
      </c>
      <c r="J69" t="str">
        <f t="shared" si="6"/>
        <v>Medium Discount</v>
      </c>
    </row>
    <row r="70" spans="1:10" x14ac:dyDescent="0.35">
      <c r="A70" s="4" t="s">
        <v>215</v>
      </c>
      <c r="B70" s="6">
        <v>382</v>
      </c>
      <c r="C70" s="6">
        <v>700</v>
      </c>
      <c r="D70" s="1">
        <v>0.45</v>
      </c>
      <c r="E70">
        <v>17</v>
      </c>
      <c r="F70">
        <v>2.6</v>
      </c>
      <c r="G70" t="str">
        <f t="shared" si="5"/>
        <v>Poor</v>
      </c>
      <c r="H70" s="6">
        <f t="shared" si="4"/>
        <v>318</v>
      </c>
      <c r="J70" t="str">
        <f t="shared" si="6"/>
        <v>High Discount</v>
      </c>
    </row>
    <row r="71" spans="1:10" x14ac:dyDescent="0.35">
      <c r="A71" s="4" t="s">
        <v>218</v>
      </c>
      <c r="B71" s="6">
        <v>2300</v>
      </c>
      <c r="C71" s="6">
        <v>3240</v>
      </c>
      <c r="D71" s="1">
        <v>0.28999999999999998</v>
      </c>
      <c r="E71">
        <v>5</v>
      </c>
      <c r="F71">
        <v>3</v>
      </c>
      <c r="G71" t="str">
        <f t="shared" si="5"/>
        <v>Average</v>
      </c>
      <c r="H71" s="6">
        <f t="shared" si="4"/>
        <v>940</v>
      </c>
      <c r="J71" t="str">
        <f t="shared" si="6"/>
        <v>Medium Discount</v>
      </c>
    </row>
    <row r="72" spans="1:10" x14ac:dyDescent="0.35">
      <c r="A72" s="4" t="s">
        <v>221</v>
      </c>
      <c r="B72" s="6">
        <v>345</v>
      </c>
      <c r="C72" s="6">
        <v>602</v>
      </c>
      <c r="D72" s="1">
        <v>0.43</v>
      </c>
      <c r="E72">
        <v>6</v>
      </c>
      <c r="F72">
        <v>2.2999999999999998</v>
      </c>
      <c r="G72" t="str">
        <f t="shared" si="5"/>
        <v>Poor</v>
      </c>
      <c r="H72" s="6">
        <f t="shared" si="4"/>
        <v>257</v>
      </c>
      <c r="J72" t="str">
        <f t="shared" si="6"/>
        <v>High Discount</v>
      </c>
    </row>
    <row r="73" spans="1:10" x14ac:dyDescent="0.35">
      <c r="A73" s="4" t="s">
        <v>224</v>
      </c>
      <c r="B73" s="6">
        <v>509</v>
      </c>
      <c r="C73" s="6">
        <v>899</v>
      </c>
      <c r="D73" s="1">
        <v>0.43</v>
      </c>
      <c r="E73">
        <v>5</v>
      </c>
      <c r="F73">
        <v>3</v>
      </c>
      <c r="G73" t="str">
        <f t="shared" si="5"/>
        <v>Average</v>
      </c>
      <c r="H73" s="6">
        <f t="shared" si="4"/>
        <v>390</v>
      </c>
      <c r="J73" t="str">
        <f t="shared" si="6"/>
        <v>High Discount</v>
      </c>
    </row>
    <row r="74" spans="1:10" x14ac:dyDescent="0.35">
      <c r="A74" s="4" t="s">
        <v>227</v>
      </c>
      <c r="B74" s="6">
        <v>968</v>
      </c>
      <c r="C74" s="6">
        <v>1814</v>
      </c>
      <c r="D74" s="1">
        <v>0.47</v>
      </c>
      <c r="E74">
        <v>6</v>
      </c>
      <c r="F74">
        <v>2.2000000000000002</v>
      </c>
      <c r="G74" t="str">
        <f t="shared" si="5"/>
        <v>Poor</v>
      </c>
      <c r="H74" s="6">
        <f t="shared" si="4"/>
        <v>846</v>
      </c>
      <c r="J74" t="str">
        <f t="shared" si="6"/>
        <v>High Discount</v>
      </c>
    </row>
    <row r="75" spans="1:10" x14ac:dyDescent="0.35">
      <c r="A75" s="4" t="s">
        <v>229</v>
      </c>
      <c r="B75" s="6">
        <v>1570</v>
      </c>
      <c r="C75" s="6">
        <v>2988</v>
      </c>
      <c r="D75" s="1">
        <v>0.47</v>
      </c>
      <c r="E75">
        <v>7</v>
      </c>
      <c r="F75">
        <v>2.1</v>
      </c>
      <c r="G75" t="str">
        <f t="shared" si="5"/>
        <v>Poor</v>
      </c>
      <c r="H75" s="6">
        <f t="shared" si="4"/>
        <v>1418</v>
      </c>
      <c r="J75" t="str">
        <f t="shared" si="6"/>
        <v>High Discount</v>
      </c>
    </row>
    <row r="76" spans="1:10" x14ac:dyDescent="0.35">
      <c r="A76" s="4" t="s">
        <v>232</v>
      </c>
      <c r="B76" s="6">
        <v>790</v>
      </c>
      <c r="C76" s="6">
        <v>1485</v>
      </c>
      <c r="D76" s="1">
        <v>0.47</v>
      </c>
      <c r="E76" t="s">
        <v>16703</v>
      </c>
      <c r="F76" t="s">
        <v>16703</v>
      </c>
      <c r="G76" t="str">
        <f t="shared" si="5"/>
        <v>Excellent</v>
      </c>
      <c r="H76" s="6">
        <f t="shared" si="4"/>
        <v>695</v>
      </c>
      <c r="J76" t="str">
        <f t="shared" si="6"/>
        <v>High Discount</v>
      </c>
    </row>
    <row r="77" spans="1:10" x14ac:dyDescent="0.35">
      <c r="A77" s="4" t="s">
        <v>235</v>
      </c>
      <c r="B77" s="6">
        <v>690</v>
      </c>
      <c r="C77" s="6">
        <v>1200</v>
      </c>
      <c r="D77" s="1">
        <v>0.43</v>
      </c>
      <c r="E77" t="s">
        <v>16703</v>
      </c>
      <c r="F77" t="s">
        <v>16703</v>
      </c>
      <c r="G77" t="str">
        <f t="shared" si="5"/>
        <v>Excellent</v>
      </c>
      <c r="H77" s="6">
        <f t="shared" si="4"/>
        <v>510</v>
      </c>
      <c r="J77" t="str">
        <f t="shared" si="6"/>
        <v>High Discount</v>
      </c>
    </row>
    <row r="78" spans="1:10" x14ac:dyDescent="0.35">
      <c r="A78" s="4" t="s">
        <v>237</v>
      </c>
      <c r="B78" s="6">
        <v>1732</v>
      </c>
      <c r="C78" s="6">
        <v>1799</v>
      </c>
      <c r="D78" s="1">
        <v>0.04</v>
      </c>
      <c r="E78" t="s">
        <v>16703</v>
      </c>
      <c r="F78" t="s">
        <v>16703</v>
      </c>
      <c r="G78" t="str">
        <f t="shared" si="5"/>
        <v>Excellent</v>
      </c>
      <c r="H78" s="6">
        <f t="shared" si="4"/>
        <v>67</v>
      </c>
      <c r="J78" t="str">
        <f t="shared" si="6"/>
        <v>Low Discount</v>
      </c>
    </row>
    <row r="79" spans="1:10" x14ac:dyDescent="0.35">
      <c r="A79" s="4" t="s">
        <v>240</v>
      </c>
      <c r="B79" s="6">
        <v>230</v>
      </c>
      <c r="C79" s="6">
        <v>450</v>
      </c>
      <c r="D79" s="1">
        <v>0.49</v>
      </c>
      <c r="E79" t="s">
        <v>16703</v>
      </c>
      <c r="F79" t="s">
        <v>16703</v>
      </c>
      <c r="G79" t="str">
        <f t="shared" si="5"/>
        <v>Excellent</v>
      </c>
      <c r="H79" s="6">
        <f t="shared" si="4"/>
        <v>220</v>
      </c>
      <c r="J79" t="str">
        <f t="shared" si="6"/>
        <v>High Discount</v>
      </c>
    </row>
    <row r="80" spans="1:10" x14ac:dyDescent="0.35">
      <c r="A80" s="4" t="s">
        <v>243</v>
      </c>
      <c r="B80" s="6">
        <v>1189</v>
      </c>
      <c r="C80" s="6">
        <v>2199</v>
      </c>
      <c r="D80" s="1">
        <v>0.46</v>
      </c>
      <c r="E80">
        <v>1</v>
      </c>
      <c r="F80">
        <v>3</v>
      </c>
      <c r="G80" t="str">
        <f t="shared" si="5"/>
        <v>Average</v>
      </c>
      <c r="H80" s="6">
        <f t="shared" si="4"/>
        <v>1010</v>
      </c>
      <c r="J80" t="str">
        <f t="shared" si="6"/>
        <v>High Discount</v>
      </c>
    </row>
    <row r="81" spans="1:10" x14ac:dyDescent="0.35">
      <c r="A81" s="4" t="s">
        <v>245</v>
      </c>
      <c r="B81" s="6">
        <v>979</v>
      </c>
      <c r="C81" s="6">
        <v>1920</v>
      </c>
      <c r="D81" s="1">
        <v>0.49</v>
      </c>
      <c r="E81">
        <v>1</v>
      </c>
      <c r="F81">
        <v>5</v>
      </c>
      <c r="G81" t="str">
        <f t="shared" si="5"/>
        <v>Excellent</v>
      </c>
      <c r="H81" s="6">
        <f t="shared" si="4"/>
        <v>941</v>
      </c>
      <c r="J81" t="str">
        <f t="shared" si="6"/>
        <v>High Discount</v>
      </c>
    </row>
    <row r="82" spans="1:10" x14ac:dyDescent="0.35">
      <c r="A82" s="4" t="s">
        <v>248</v>
      </c>
      <c r="B82" s="6">
        <v>1460</v>
      </c>
      <c r="C82" s="6">
        <v>2290</v>
      </c>
      <c r="D82" s="1">
        <v>0.36</v>
      </c>
      <c r="E82" t="s">
        <v>16703</v>
      </c>
      <c r="F82" t="s">
        <v>16703</v>
      </c>
      <c r="G82" t="str">
        <f t="shared" si="5"/>
        <v>Excellent</v>
      </c>
      <c r="H82" s="6">
        <f t="shared" si="4"/>
        <v>830</v>
      </c>
      <c r="J82" t="str">
        <f t="shared" si="6"/>
        <v>Medium Discount</v>
      </c>
    </row>
    <row r="83" spans="1:10" x14ac:dyDescent="0.35">
      <c r="A83" s="4" t="s">
        <v>251</v>
      </c>
      <c r="B83" s="6">
        <v>1666</v>
      </c>
      <c r="C83" s="6">
        <v>1699</v>
      </c>
      <c r="D83" s="1">
        <v>0.02</v>
      </c>
      <c r="E83" t="s">
        <v>16703</v>
      </c>
      <c r="F83" t="s">
        <v>16703</v>
      </c>
      <c r="G83" t="str">
        <f t="shared" si="5"/>
        <v>Excellent</v>
      </c>
      <c r="H83" s="6">
        <f t="shared" si="4"/>
        <v>33</v>
      </c>
      <c r="J83" t="str">
        <f t="shared" si="6"/>
        <v>Low Discount</v>
      </c>
    </row>
    <row r="84" spans="1:10" x14ac:dyDescent="0.35">
      <c r="A84" s="4" t="s">
        <v>253</v>
      </c>
      <c r="B84" s="6">
        <v>330</v>
      </c>
      <c r="C84" s="6">
        <v>647</v>
      </c>
      <c r="D84" s="1">
        <v>0.49</v>
      </c>
      <c r="E84">
        <v>1</v>
      </c>
      <c r="F84">
        <v>4</v>
      </c>
      <c r="G84" t="str">
        <f t="shared" si="5"/>
        <v>Average</v>
      </c>
      <c r="H84" s="6">
        <f t="shared" si="4"/>
        <v>317</v>
      </c>
      <c r="J84" t="str">
        <f t="shared" si="6"/>
        <v>High Discount</v>
      </c>
    </row>
    <row r="85" spans="1:10" x14ac:dyDescent="0.35">
      <c r="A85" s="4" t="s">
        <v>154</v>
      </c>
      <c r="B85" s="6">
        <v>176</v>
      </c>
      <c r="C85" s="6">
        <v>345</v>
      </c>
      <c r="D85" s="1">
        <v>0.49</v>
      </c>
      <c r="E85" t="s">
        <v>16703</v>
      </c>
      <c r="F85" t="s">
        <v>16703</v>
      </c>
      <c r="G85" t="str">
        <f t="shared" si="5"/>
        <v>Excellent</v>
      </c>
      <c r="H85" s="6">
        <f t="shared" si="4"/>
        <v>169</v>
      </c>
      <c r="J85" t="str">
        <f t="shared" si="6"/>
        <v>High Discount</v>
      </c>
    </row>
    <row r="86" spans="1:10" x14ac:dyDescent="0.35">
      <c r="A86" s="4" t="s">
        <v>256</v>
      </c>
      <c r="B86" s="6">
        <v>1466</v>
      </c>
      <c r="C86" s="6">
        <v>1699</v>
      </c>
      <c r="D86" s="1">
        <v>0.14000000000000001</v>
      </c>
      <c r="E86" t="s">
        <v>16703</v>
      </c>
      <c r="F86" t="s">
        <v>16703</v>
      </c>
      <c r="G86" t="str">
        <f t="shared" si="5"/>
        <v>Excellent</v>
      </c>
      <c r="H86" s="6">
        <f t="shared" si="4"/>
        <v>233</v>
      </c>
      <c r="J86" t="str">
        <f t="shared" si="6"/>
        <v>Low Discount</v>
      </c>
    </row>
    <row r="87" spans="1:10" x14ac:dyDescent="0.35">
      <c r="A87" s="4" t="s">
        <v>258</v>
      </c>
      <c r="B87" s="6">
        <v>274</v>
      </c>
      <c r="C87" s="6">
        <v>537</v>
      </c>
      <c r="D87" s="1">
        <v>0.49</v>
      </c>
      <c r="E87" t="s">
        <v>16703</v>
      </c>
      <c r="F87" t="s">
        <v>16703</v>
      </c>
      <c r="G87" t="str">
        <f t="shared" si="5"/>
        <v>Excellent</v>
      </c>
      <c r="H87" s="6">
        <f t="shared" si="4"/>
        <v>263</v>
      </c>
      <c r="J87" t="str">
        <f t="shared" si="6"/>
        <v>High Discount</v>
      </c>
    </row>
    <row r="88" spans="1:10" x14ac:dyDescent="0.35">
      <c r="A88" s="4" t="s">
        <v>261</v>
      </c>
      <c r="B88" s="6">
        <v>799</v>
      </c>
      <c r="C88" s="6">
        <v>900</v>
      </c>
      <c r="D88" s="1">
        <v>0.11</v>
      </c>
      <c r="E88" t="s">
        <v>16703</v>
      </c>
      <c r="F88" t="s">
        <v>16703</v>
      </c>
      <c r="G88" t="str">
        <f t="shared" si="5"/>
        <v>Excellent</v>
      </c>
      <c r="H88" s="6">
        <f t="shared" si="4"/>
        <v>101</v>
      </c>
      <c r="J88" t="str">
        <f t="shared" si="6"/>
        <v>Low Discount</v>
      </c>
    </row>
    <row r="89" spans="1:10" x14ac:dyDescent="0.35">
      <c r="A89" s="4" t="s">
        <v>175</v>
      </c>
      <c r="B89" s="6">
        <v>657</v>
      </c>
      <c r="C89" s="6">
        <v>1288</v>
      </c>
      <c r="D89" s="1">
        <v>0.49</v>
      </c>
      <c r="E89" t="s">
        <v>16703</v>
      </c>
      <c r="F89" t="s">
        <v>16703</v>
      </c>
      <c r="G89" t="str">
        <f t="shared" si="5"/>
        <v>Excellent</v>
      </c>
      <c r="H89" s="6">
        <f t="shared" si="4"/>
        <v>631</v>
      </c>
      <c r="J89" t="str">
        <f t="shared" si="6"/>
        <v>High Discount</v>
      </c>
    </row>
    <row r="90" spans="1:10" x14ac:dyDescent="0.35">
      <c r="A90" s="4" t="s">
        <v>264</v>
      </c>
      <c r="B90" s="6">
        <v>1468</v>
      </c>
      <c r="C90" s="6">
        <v>1699</v>
      </c>
      <c r="D90" s="1">
        <v>0.14000000000000001</v>
      </c>
      <c r="E90" t="s">
        <v>16703</v>
      </c>
      <c r="F90" t="s">
        <v>16703</v>
      </c>
      <c r="G90" t="str">
        <f t="shared" si="5"/>
        <v>Excellent</v>
      </c>
      <c r="H90" s="6">
        <f t="shared" si="4"/>
        <v>231</v>
      </c>
      <c r="J90" t="str">
        <f t="shared" si="6"/>
        <v>Low Discount</v>
      </c>
    </row>
    <row r="91" spans="1:10" x14ac:dyDescent="0.35">
      <c r="A91" s="4" t="s">
        <v>266</v>
      </c>
      <c r="B91" s="6">
        <v>630</v>
      </c>
      <c r="C91" s="6">
        <v>1100</v>
      </c>
      <c r="D91" s="1">
        <v>0.43</v>
      </c>
      <c r="E91" t="s">
        <v>16703</v>
      </c>
      <c r="F91" t="s">
        <v>16703</v>
      </c>
      <c r="G91" t="str">
        <f t="shared" si="5"/>
        <v>Excellent</v>
      </c>
      <c r="H91" s="6">
        <f t="shared" si="4"/>
        <v>470</v>
      </c>
      <c r="J91" t="str">
        <f t="shared" si="6"/>
        <v>High Discount</v>
      </c>
    </row>
    <row r="92" spans="1:10" x14ac:dyDescent="0.35">
      <c r="A92" s="4" t="s">
        <v>269</v>
      </c>
      <c r="B92" s="6">
        <v>850</v>
      </c>
      <c r="C92" s="6">
        <v>1700</v>
      </c>
      <c r="D92" s="1">
        <v>0.5</v>
      </c>
      <c r="E92" t="s">
        <v>16703</v>
      </c>
      <c r="F92" t="s">
        <v>16703</v>
      </c>
      <c r="G92" t="str">
        <f t="shared" si="5"/>
        <v>Excellent</v>
      </c>
      <c r="H92" s="6">
        <f t="shared" si="4"/>
        <v>850</v>
      </c>
      <c r="J92" t="str">
        <f t="shared" si="6"/>
        <v>High Discount</v>
      </c>
    </row>
    <row r="93" spans="1:10" x14ac:dyDescent="0.35">
      <c r="A93" s="4" t="s">
        <v>272</v>
      </c>
      <c r="B93" s="6">
        <v>1300</v>
      </c>
      <c r="C93" s="6">
        <v>2500</v>
      </c>
      <c r="D93" s="1">
        <v>0.48</v>
      </c>
      <c r="E93" t="s">
        <v>16703</v>
      </c>
      <c r="F93" t="s">
        <v>16703</v>
      </c>
      <c r="G93" t="str">
        <f t="shared" si="5"/>
        <v>Excellent</v>
      </c>
      <c r="H93" s="6">
        <f t="shared" si="4"/>
        <v>1200</v>
      </c>
      <c r="J93" t="str">
        <f t="shared" si="6"/>
        <v>High Discount</v>
      </c>
    </row>
    <row r="94" spans="1:10" x14ac:dyDescent="0.35">
      <c r="A94" s="4" t="s">
        <v>274</v>
      </c>
      <c r="B94" s="6">
        <v>105</v>
      </c>
      <c r="C94" s="6">
        <v>200</v>
      </c>
      <c r="D94" s="1">
        <v>0.48</v>
      </c>
      <c r="E94" t="s">
        <v>16703</v>
      </c>
      <c r="F94" t="s">
        <v>16703</v>
      </c>
      <c r="G94" t="str">
        <f t="shared" si="5"/>
        <v>Excellent</v>
      </c>
      <c r="H94" s="6">
        <f t="shared" si="4"/>
        <v>95</v>
      </c>
      <c r="J94" t="str">
        <f t="shared" si="6"/>
        <v>High Discount</v>
      </c>
    </row>
    <row r="95" spans="1:10" x14ac:dyDescent="0.35">
      <c r="A95" s="4" t="s">
        <v>277</v>
      </c>
      <c r="B95" s="6">
        <v>899</v>
      </c>
      <c r="C95" s="6">
        <v>1699</v>
      </c>
      <c r="D95" s="1">
        <v>0.47</v>
      </c>
      <c r="E95" t="s">
        <v>16703</v>
      </c>
      <c r="F95" t="s">
        <v>16703</v>
      </c>
      <c r="G95" t="str">
        <f t="shared" si="5"/>
        <v>Excellent</v>
      </c>
      <c r="H95" s="6">
        <f t="shared" si="4"/>
        <v>800</v>
      </c>
      <c r="J95" t="str">
        <f t="shared" si="6"/>
        <v>High Discount</v>
      </c>
    </row>
    <row r="96" spans="1:10" x14ac:dyDescent="0.35">
      <c r="A96" s="4" t="s">
        <v>278</v>
      </c>
      <c r="B96" s="6">
        <v>1200</v>
      </c>
      <c r="C96" s="6">
        <v>2400</v>
      </c>
      <c r="D96" s="1">
        <v>0.5</v>
      </c>
      <c r="E96" t="s">
        <v>16703</v>
      </c>
      <c r="F96" t="s">
        <v>16703</v>
      </c>
      <c r="G96" t="str">
        <f t="shared" si="5"/>
        <v>Excellent</v>
      </c>
      <c r="H96" s="6">
        <f t="shared" si="4"/>
        <v>1200</v>
      </c>
      <c r="J96" t="str">
        <f t="shared" si="6"/>
        <v>High Discount</v>
      </c>
    </row>
    <row r="97" spans="1:10" x14ac:dyDescent="0.35">
      <c r="A97" s="4" t="s">
        <v>280</v>
      </c>
      <c r="B97" s="6">
        <v>1526</v>
      </c>
      <c r="C97" s="6">
        <v>1660</v>
      </c>
      <c r="D97" s="1">
        <v>0.08</v>
      </c>
      <c r="E97" t="s">
        <v>16703</v>
      </c>
      <c r="F97" t="s">
        <v>16703</v>
      </c>
      <c r="G97" t="str">
        <f t="shared" si="5"/>
        <v>Excellent</v>
      </c>
      <c r="H97" s="6">
        <f t="shared" si="4"/>
        <v>134</v>
      </c>
      <c r="J97" t="str">
        <f t="shared" si="6"/>
        <v>Low Discount</v>
      </c>
    </row>
    <row r="98" spans="1:10" x14ac:dyDescent="0.35">
      <c r="A98" s="4" t="s">
        <v>282</v>
      </c>
      <c r="B98" s="6">
        <v>1462</v>
      </c>
      <c r="C98" s="6">
        <v>1499</v>
      </c>
      <c r="D98" s="1">
        <v>0.02</v>
      </c>
      <c r="E98" t="s">
        <v>16703</v>
      </c>
      <c r="F98" t="s">
        <v>16703</v>
      </c>
      <c r="G98" t="str">
        <f t="shared" si="5"/>
        <v>Excellent</v>
      </c>
      <c r="H98" s="6">
        <f t="shared" ref="H98:H113" si="7">C98-B98</f>
        <v>37</v>
      </c>
      <c r="J98" t="str">
        <f t="shared" si="6"/>
        <v>Low Discount</v>
      </c>
    </row>
    <row r="99" spans="1:10" x14ac:dyDescent="0.35">
      <c r="A99" s="4" t="s">
        <v>284</v>
      </c>
      <c r="B99" s="6">
        <v>248</v>
      </c>
      <c r="C99" s="6">
        <v>486</v>
      </c>
      <c r="D99" s="1">
        <v>0.49</v>
      </c>
      <c r="E99" t="s">
        <v>16703</v>
      </c>
      <c r="F99" t="s">
        <v>16703</v>
      </c>
      <c r="G99" t="str">
        <f t="shared" si="5"/>
        <v>Excellent</v>
      </c>
      <c r="H99" s="6">
        <f t="shared" si="7"/>
        <v>238</v>
      </c>
      <c r="J99" t="str">
        <f t="shared" si="6"/>
        <v>High Discount</v>
      </c>
    </row>
    <row r="100" spans="1:10" x14ac:dyDescent="0.35">
      <c r="A100" s="4" t="s">
        <v>287</v>
      </c>
      <c r="B100" s="6">
        <v>3546</v>
      </c>
      <c r="C100" s="6">
        <v>3699</v>
      </c>
      <c r="D100" s="1">
        <v>0.04</v>
      </c>
      <c r="E100" t="s">
        <v>16703</v>
      </c>
      <c r="F100" t="s">
        <v>16703</v>
      </c>
      <c r="G100" t="str">
        <f t="shared" si="5"/>
        <v>Excellent</v>
      </c>
      <c r="H100" s="6">
        <f t="shared" si="7"/>
        <v>153</v>
      </c>
      <c r="J100" t="str">
        <f t="shared" si="6"/>
        <v>Low Discount</v>
      </c>
    </row>
    <row r="101" spans="1:10" x14ac:dyDescent="0.35">
      <c r="A101" s="4" t="s">
        <v>289</v>
      </c>
      <c r="B101" s="6">
        <v>525</v>
      </c>
      <c r="C101" s="6">
        <v>1029</v>
      </c>
      <c r="D101" s="1">
        <v>0.49</v>
      </c>
      <c r="E101" t="s">
        <v>16703</v>
      </c>
      <c r="F101" t="s">
        <v>16703</v>
      </c>
      <c r="G101" t="str">
        <f t="shared" si="5"/>
        <v>Excellent</v>
      </c>
      <c r="H101" s="6">
        <f t="shared" si="7"/>
        <v>504</v>
      </c>
      <c r="J101" t="str">
        <f t="shared" si="6"/>
        <v>High Discount</v>
      </c>
    </row>
    <row r="102" spans="1:10" x14ac:dyDescent="0.35">
      <c r="A102" s="4" t="s">
        <v>292</v>
      </c>
      <c r="B102" s="6">
        <v>1080</v>
      </c>
      <c r="C102" s="6">
        <v>1874</v>
      </c>
      <c r="D102" s="1">
        <v>0.42</v>
      </c>
      <c r="E102" t="s">
        <v>16703</v>
      </c>
      <c r="F102" t="s">
        <v>16703</v>
      </c>
      <c r="G102" t="str">
        <f t="shared" si="5"/>
        <v>Excellent</v>
      </c>
      <c r="H102" s="6">
        <f t="shared" si="7"/>
        <v>794</v>
      </c>
      <c r="J102" t="str">
        <f t="shared" si="6"/>
        <v>High Discount</v>
      </c>
    </row>
    <row r="103" spans="1:10" x14ac:dyDescent="0.35">
      <c r="A103" s="4" t="s">
        <v>295</v>
      </c>
      <c r="B103" s="6">
        <v>3640</v>
      </c>
      <c r="C103" s="6">
        <v>4588</v>
      </c>
      <c r="D103" s="1">
        <v>0.21</v>
      </c>
      <c r="E103">
        <v>1</v>
      </c>
      <c r="F103">
        <v>5</v>
      </c>
      <c r="G103" t="str">
        <f t="shared" si="5"/>
        <v>Excellent</v>
      </c>
      <c r="H103" s="6">
        <f t="shared" si="7"/>
        <v>948</v>
      </c>
      <c r="J103" t="str">
        <f t="shared" si="6"/>
        <v>Medium Discount</v>
      </c>
    </row>
    <row r="104" spans="1:10" x14ac:dyDescent="0.35">
      <c r="A104" s="4" t="s">
        <v>298</v>
      </c>
      <c r="B104" s="6">
        <v>1420</v>
      </c>
      <c r="C104" s="6">
        <v>2420</v>
      </c>
      <c r="D104" s="1">
        <v>0.41</v>
      </c>
      <c r="E104" t="s">
        <v>16703</v>
      </c>
      <c r="F104" t="s">
        <v>16703</v>
      </c>
      <c r="G104" t="str">
        <f t="shared" si="5"/>
        <v>Excellent</v>
      </c>
      <c r="H104" s="6">
        <f t="shared" si="7"/>
        <v>1000</v>
      </c>
      <c r="J104" t="str">
        <f t="shared" si="6"/>
        <v>High Discount</v>
      </c>
    </row>
    <row r="105" spans="1:10" x14ac:dyDescent="0.35">
      <c r="A105" s="4" t="s">
        <v>301</v>
      </c>
      <c r="B105" s="6">
        <v>1875</v>
      </c>
      <c r="C105" s="6">
        <v>1899</v>
      </c>
      <c r="D105" s="1">
        <v>0.01</v>
      </c>
      <c r="E105" t="s">
        <v>16703</v>
      </c>
      <c r="F105" t="s">
        <v>16703</v>
      </c>
      <c r="G105" t="str">
        <f t="shared" si="5"/>
        <v>Excellent</v>
      </c>
      <c r="H105" s="6">
        <f t="shared" si="7"/>
        <v>24</v>
      </c>
      <c r="J105" t="str">
        <f t="shared" si="6"/>
        <v>Low Discount</v>
      </c>
    </row>
    <row r="106" spans="1:10" x14ac:dyDescent="0.35">
      <c r="A106" s="4" t="s">
        <v>304</v>
      </c>
      <c r="B106" s="6">
        <v>198</v>
      </c>
      <c r="C106" s="6">
        <v>260</v>
      </c>
      <c r="D106" s="1">
        <v>0.24</v>
      </c>
      <c r="E106" t="s">
        <v>16703</v>
      </c>
      <c r="F106" t="s">
        <v>16703</v>
      </c>
      <c r="G106" t="str">
        <f t="shared" si="5"/>
        <v>Excellent</v>
      </c>
      <c r="H106" s="6">
        <f t="shared" si="7"/>
        <v>62</v>
      </c>
      <c r="J106" t="str">
        <f t="shared" si="6"/>
        <v>Medium Discount</v>
      </c>
    </row>
    <row r="107" spans="1:10" x14ac:dyDescent="0.35">
      <c r="A107" s="4" t="s">
        <v>307</v>
      </c>
      <c r="B107" s="6">
        <v>1150</v>
      </c>
      <c r="C107" s="6">
        <v>1737</v>
      </c>
      <c r="D107" s="1">
        <v>0.34</v>
      </c>
      <c r="E107" t="s">
        <v>16703</v>
      </c>
      <c r="F107" t="s">
        <v>16703</v>
      </c>
      <c r="G107" t="str">
        <f t="shared" si="5"/>
        <v>Excellent</v>
      </c>
      <c r="H107" s="6">
        <f t="shared" si="7"/>
        <v>587</v>
      </c>
      <c r="J107" t="str">
        <f t="shared" si="6"/>
        <v>Medium Discount</v>
      </c>
    </row>
    <row r="108" spans="1:10" x14ac:dyDescent="0.35">
      <c r="A108" s="4" t="s">
        <v>310</v>
      </c>
      <c r="B108" s="6">
        <v>1190</v>
      </c>
      <c r="C108" s="6">
        <v>1810</v>
      </c>
      <c r="D108" s="1">
        <v>0.34</v>
      </c>
      <c r="E108" t="s">
        <v>16703</v>
      </c>
      <c r="F108" t="s">
        <v>16703</v>
      </c>
      <c r="G108" t="str">
        <f t="shared" si="5"/>
        <v>Excellent</v>
      </c>
      <c r="H108" s="6">
        <f t="shared" si="7"/>
        <v>620</v>
      </c>
      <c r="J108" t="str">
        <f t="shared" si="6"/>
        <v>Medium Discount</v>
      </c>
    </row>
    <row r="109" spans="1:10" x14ac:dyDescent="0.35">
      <c r="A109" s="4" t="s">
        <v>312</v>
      </c>
      <c r="B109" s="6">
        <v>1658</v>
      </c>
      <c r="C109" s="6">
        <v>1699</v>
      </c>
      <c r="D109" s="1">
        <v>0.02</v>
      </c>
      <c r="E109" t="s">
        <v>16703</v>
      </c>
      <c r="F109" t="s">
        <v>16703</v>
      </c>
      <c r="G109" t="str">
        <f t="shared" si="5"/>
        <v>Excellent</v>
      </c>
      <c r="H109" s="6">
        <f t="shared" si="7"/>
        <v>41</v>
      </c>
      <c r="J109" t="str">
        <f t="shared" si="6"/>
        <v>Low Discount</v>
      </c>
    </row>
    <row r="110" spans="1:10" x14ac:dyDescent="0.35">
      <c r="A110" s="4" t="s">
        <v>314</v>
      </c>
      <c r="B110" s="6">
        <v>1768</v>
      </c>
      <c r="C110" s="6">
        <v>1799</v>
      </c>
      <c r="D110" s="1">
        <v>0.02</v>
      </c>
      <c r="E110" t="s">
        <v>16703</v>
      </c>
      <c r="F110" t="s">
        <v>16703</v>
      </c>
      <c r="G110" t="str">
        <f t="shared" si="5"/>
        <v>Excellent</v>
      </c>
      <c r="H110" s="6">
        <f t="shared" si="7"/>
        <v>31</v>
      </c>
      <c r="J110" t="str">
        <f t="shared" si="6"/>
        <v>Low Discount</v>
      </c>
    </row>
    <row r="111" spans="1:10" x14ac:dyDescent="0.35">
      <c r="A111" s="4" t="s">
        <v>316</v>
      </c>
      <c r="B111" s="6">
        <v>199</v>
      </c>
      <c r="C111" s="6">
        <v>553</v>
      </c>
      <c r="D111" s="1">
        <v>0.64</v>
      </c>
      <c r="E111" t="s">
        <v>16703</v>
      </c>
      <c r="F111" t="s">
        <v>16703</v>
      </c>
      <c r="G111" t="str">
        <f t="shared" si="5"/>
        <v>Excellent</v>
      </c>
      <c r="H111" s="6">
        <f t="shared" si="7"/>
        <v>354</v>
      </c>
      <c r="J111" t="str">
        <f t="shared" si="6"/>
        <v>High Discount</v>
      </c>
    </row>
    <row r="112" spans="1:10" x14ac:dyDescent="0.35">
      <c r="A112" s="4" t="s">
        <v>318</v>
      </c>
      <c r="B112" s="6">
        <v>450</v>
      </c>
      <c r="C112" s="6">
        <v>900</v>
      </c>
      <c r="D112" s="1">
        <v>0.5</v>
      </c>
      <c r="E112">
        <v>1</v>
      </c>
      <c r="F112">
        <v>2</v>
      </c>
      <c r="G112" t="str">
        <f t="shared" si="5"/>
        <v>Poor</v>
      </c>
      <c r="H112" s="6">
        <f t="shared" si="7"/>
        <v>450</v>
      </c>
      <c r="J112" t="str">
        <f t="shared" si="6"/>
        <v>High Discount</v>
      </c>
    </row>
    <row r="113" spans="1:10" x14ac:dyDescent="0.35">
      <c r="A113" s="4" t="s">
        <v>320</v>
      </c>
      <c r="B113" s="6">
        <v>169</v>
      </c>
      <c r="C113" s="6">
        <v>320</v>
      </c>
      <c r="D113" s="1">
        <v>0.47</v>
      </c>
      <c r="E113" t="s">
        <v>16703</v>
      </c>
      <c r="F113" t="s">
        <v>16703</v>
      </c>
      <c r="G113" t="str">
        <f t="shared" si="5"/>
        <v>Excellent</v>
      </c>
      <c r="H113" s="6">
        <f t="shared" si="7"/>
        <v>151</v>
      </c>
      <c r="J113" t="str">
        <f t="shared" si="6"/>
        <v>High Discount</v>
      </c>
    </row>
    <row r="114" spans="1:10" x14ac:dyDescent="0.35">
      <c r="J114" t="str">
        <f t="shared" si="6"/>
        <v>Low Discount</v>
      </c>
    </row>
    <row r="115" spans="1:10" x14ac:dyDescent="0.35">
      <c r="A115" s="4" t="s">
        <v>16713</v>
      </c>
      <c r="B115" s="6">
        <f>AVERAGE(B2:B113)</f>
        <v>1188.5</v>
      </c>
      <c r="C115" s="6">
        <f>AVERAGE(C2:C113)</f>
        <v>1815.5714285714287</v>
      </c>
      <c r="D115" s="1">
        <f>AVERAGE(D2:D113)</f>
        <v>0.36776785714285715</v>
      </c>
      <c r="E115">
        <f>SUM(E2:E113)</f>
        <v>723</v>
      </c>
      <c r="F115">
        <f>AVERAGE(F2:F113)</f>
        <v>3.8894736842105258</v>
      </c>
      <c r="J115" t="str">
        <f t="shared" si="6"/>
        <v>Medium Discount</v>
      </c>
    </row>
    <row r="116" spans="1:10" x14ac:dyDescent="0.35">
      <c r="J116" t="str">
        <f t="shared" si="6"/>
        <v>Low Discount</v>
      </c>
    </row>
    <row r="117" spans="1:10" x14ac:dyDescent="0.35">
      <c r="B117" s="6">
        <f>MAX(A119)</f>
        <v>0</v>
      </c>
      <c r="J117" t="str">
        <f t="shared" si="6"/>
        <v>Low Discount</v>
      </c>
    </row>
    <row r="118" spans="1:10" x14ac:dyDescent="0.35">
      <c r="B118" s="6" t="e">
        <f>MIN(A69+A70)</f>
        <v>#VALUE!</v>
      </c>
    </row>
  </sheetData>
  <autoFilter ref="A1:J118" xr:uid="{BA418279-09A9-4986-A46E-6A86F7BA75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14FC-5023-408B-9C06-98FC7EF6E294}">
  <dimension ref="A3:F113"/>
  <sheetViews>
    <sheetView topLeftCell="A4" workbookViewId="0">
      <selection activeCell="C10" sqref="C10"/>
    </sheetView>
  </sheetViews>
  <sheetFormatPr defaultRowHeight="14.5" x14ac:dyDescent="0.35"/>
  <cols>
    <col min="1" max="1" width="86.1796875" bestFit="1" customWidth="1"/>
    <col min="2" max="2" width="13.08984375" bestFit="1" customWidth="1"/>
    <col min="3" max="3" width="16.08984375" style="17" bestFit="1" customWidth="1"/>
    <col min="4" max="4" width="17.453125" bestFit="1" customWidth="1"/>
    <col min="5" max="5" width="20.90625" bestFit="1" customWidth="1"/>
    <col min="6" max="6" width="14.90625" bestFit="1" customWidth="1"/>
    <col min="7" max="52" width="3.81640625" bestFit="1" customWidth="1"/>
    <col min="53" max="103" width="5.36328125" bestFit="1" customWidth="1"/>
    <col min="104" max="104" width="10.36328125" bestFit="1" customWidth="1"/>
  </cols>
  <sheetData>
    <row r="3" spans="1:6" x14ac:dyDescent="0.35">
      <c r="A3" s="10" t="s">
        <v>16722</v>
      </c>
      <c r="B3" t="s">
        <v>16734</v>
      </c>
      <c r="C3" s="17" t="s">
        <v>16732</v>
      </c>
      <c r="D3" t="s">
        <v>16730</v>
      </c>
      <c r="E3" t="s">
        <v>16728</v>
      </c>
      <c r="F3" t="s">
        <v>16725</v>
      </c>
    </row>
    <row r="4" spans="1:6" x14ac:dyDescent="0.35">
      <c r="A4" s="11" t="s">
        <v>125</v>
      </c>
      <c r="B4" s="12">
        <v>2</v>
      </c>
      <c r="C4" s="17">
        <v>4.5</v>
      </c>
      <c r="D4" s="1">
        <v>0.38</v>
      </c>
      <c r="E4" s="6">
        <v>1980</v>
      </c>
      <c r="F4" s="12">
        <v>1</v>
      </c>
    </row>
    <row r="5" spans="1:6" x14ac:dyDescent="0.35">
      <c r="A5" s="11" t="s">
        <v>44</v>
      </c>
      <c r="B5" s="12">
        <v>39</v>
      </c>
      <c r="C5" s="17">
        <v>4.7</v>
      </c>
      <c r="D5" s="1">
        <v>0.34</v>
      </c>
      <c r="E5" s="6">
        <v>990</v>
      </c>
      <c r="F5" s="12">
        <v>1</v>
      </c>
    </row>
    <row r="6" spans="1:6" x14ac:dyDescent="0.35">
      <c r="A6" s="11" t="s">
        <v>6</v>
      </c>
      <c r="B6" s="12">
        <v>2</v>
      </c>
      <c r="C6" s="17">
        <v>4.5</v>
      </c>
      <c r="D6" s="1">
        <v>0.38</v>
      </c>
      <c r="E6" s="6">
        <v>950</v>
      </c>
      <c r="F6" s="12">
        <v>1</v>
      </c>
    </row>
    <row r="7" spans="1:6" x14ac:dyDescent="0.35">
      <c r="A7" s="11" t="s">
        <v>95</v>
      </c>
      <c r="B7" s="12">
        <v>13</v>
      </c>
      <c r="C7" s="17">
        <v>3.8</v>
      </c>
      <c r="D7" s="1">
        <v>0.32</v>
      </c>
      <c r="E7" s="6">
        <v>1350</v>
      </c>
      <c r="F7" s="12">
        <v>1</v>
      </c>
    </row>
    <row r="8" spans="1:6" x14ac:dyDescent="0.35">
      <c r="A8" s="11" t="s">
        <v>105</v>
      </c>
      <c r="B8" s="12">
        <v>12</v>
      </c>
      <c r="C8" s="17">
        <v>4.7</v>
      </c>
      <c r="D8" s="1">
        <v>0.34</v>
      </c>
      <c r="E8" s="6">
        <v>980</v>
      </c>
      <c r="F8" s="12">
        <v>1</v>
      </c>
    </row>
    <row r="9" spans="1:6" x14ac:dyDescent="0.35">
      <c r="A9" s="11" t="s">
        <v>194</v>
      </c>
      <c r="B9" s="12">
        <v>69</v>
      </c>
      <c r="C9" s="17">
        <v>2.8</v>
      </c>
      <c r="D9" s="1">
        <v>0.49</v>
      </c>
      <c r="E9" s="6">
        <v>445</v>
      </c>
      <c r="F9" s="12">
        <v>1</v>
      </c>
    </row>
    <row r="10" spans="1:6" x14ac:dyDescent="0.35">
      <c r="A10" s="11" t="s">
        <v>177</v>
      </c>
      <c r="B10" s="12">
        <v>0</v>
      </c>
      <c r="C10" s="17" t="e">
        <v>#DIV/0!</v>
      </c>
      <c r="D10" s="1">
        <v>0.27</v>
      </c>
      <c r="E10" s="6">
        <v>2799</v>
      </c>
      <c r="F10" s="12">
        <v>1</v>
      </c>
    </row>
    <row r="11" spans="1:6" x14ac:dyDescent="0.35">
      <c r="A11" s="11" t="s">
        <v>38</v>
      </c>
      <c r="B11" s="12">
        <v>5</v>
      </c>
      <c r="C11" s="17">
        <v>3.8</v>
      </c>
      <c r="D11" s="1">
        <v>0.45</v>
      </c>
      <c r="E11" s="6">
        <v>1600</v>
      </c>
      <c r="F11" s="12">
        <v>1</v>
      </c>
    </row>
    <row r="12" spans="1:6" x14ac:dyDescent="0.35">
      <c r="A12" s="11" t="s">
        <v>30</v>
      </c>
      <c r="B12" s="12">
        <v>55</v>
      </c>
      <c r="C12" s="17">
        <v>4.5999999999999996</v>
      </c>
      <c r="D12" s="1">
        <v>0.24</v>
      </c>
      <c r="E12" s="6">
        <v>2319</v>
      </c>
      <c r="F12" s="12">
        <v>1</v>
      </c>
    </row>
    <row r="13" spans="1:6" x14ac:dyDescent="0.35">
      <c r="A13" s="11" t="s">
        <v>304</v>
      </c>
      <c r="B13" s="12">
        <v>0</v>
      </c>
      <c r="C13" s="17" t="e">
        <v>#DIV/0!</v>
      </c>
      <c r="D13" s="1">
        <v>0.24</v>
      </c>
      <c r="E13" s="6">
        <v>198</v>
      </c>
      <c r="F13" s="12">
        <v>1</v>
      </c>
    </row>
    <row r="14" spans="1:6" x14ac:dyDescent="0.35">
      <c r="A14" s="11" t="s">
        <v>251</v>
      </c>
      <c r="B14" s="12">
        <v>0</v>
      </c>
      <c r="C14" s="17" t="e">
        <v>#DIV/0!</v>
      </c>
      <c r="D14" s="1">
        <v>0.02</v>
      </c>
      <c r="E14" s="6">
        <v>1666</v>
      </c>
      <c r="F14" s="12">
        <v>1</v>
      </c>
    </row>
    <row r="15" spans="1:6" x14ac:dyDescent="0.35">
      <c r="A15" s="11" t="s">
        <v>26</v>
      </c>
      <c r="B15" s="12">
        <v>15</v>
      </c>
      <c r="C15" s="17">
        <v>4</v>
      </c>
      <c r="D15" s="1">
        <v>0.09</v>
      </c>
      <c r="E15" s="6">
        <v>2999</v>
      </c>
      <c r="F15" s="12">
        <v>1</v>
      </c>
    </row>
    <row r="16" spans="1:6" x14ac:dyDescent="0.35">
      <c r="A16" s="11" t="s">
        <v>301</v>
      </c>
      <c r="B16" s="12">
        <v>0</v>
      </c>
      <c r="C16" s="17" t="e">
        <v>#DIV/0!</v>
      </c>
      <c r="D16" s="1">
        <v>0.01</v>
      </c>
      <c r="E16" s="6">
        <v>1875</v>
      </c>
      <c r="F16" s="12">
        <v>1</v>
      </c>
    </row>
    <row r="17" spans="1:6" x14ac:dyDescent="0.35">
      <c r="A17" s="11" t="s">
        <v>278</v>
      </c>
      <c r="B17" s="12">
        <v>0</v>
      </c>
      <c r="C17" s="17" t="e">
        <v>#DIV/0!</v>
      </c>
      <c r="D17" s="1">
        <v>0.5</v>
      </c>
      <c r="E17" s="6">
        <v>1200</v>
      </c>
      <c r="F17" s="12">
        <v>1</v>
      </c>
    </row>
    <row r="18" spans="1:6" x14ac:dyDescent="0.35">
      <c r="A18" s="11" t="s">
        <v>151</v>
      </c>
      <c r="B18" s="12">
        <v>0</v>
      </c>
      <c r="C18" s="17" t="e">
        <v>#DIV/0!</v>
      </c>
      <c r="D18" s="1">
        <v>0.38</v>
      </c>
      <c r="E18" s="6">
        <v>1200</v>
      </c>
      <c r="F18" s="12">
        <v>1</v>
      </c>
    </row>
    <row r="19" spans="1:6" x14ac:dyDescent="0.35">
      <c r="A19" s="11" t="s">
        <v>232</v>
      </c>
      <c r="B19" s="12">
        <v>0</v>
      </c>
      <c r="C19" s="17" t="e">
        <v>#DIV/0!</v>
      </c>
      <c r="D19" s="1">
        <v>0.47</v>
      </c>
      <c r="E19" s="6">
        <v>790</v>
      </c>
      <c r="F19" s="12">
        <v>1</v>
      </c>
    </row>
    <row r="20" spans="1:6" x14ac:dyDescent="0.35">
      <c r="A20" s="11" t="s">
        <v>212</v>
      </c>
      <c r="B20" s="12">
        <v>5</v>
      </c>
      <c r="C20" s="17">
        <v>3</v>
      </c>
      <c r="D20" s="1">
        <v>0.39</v>
      </c>
      <c r="E20" s="6">
        <v>3750</v>
      </c>
      <c r="F20" s="12">
        <v>1</v>
      </c>
    </row>
    <row r="21" spans="1:6" x14ac:dyDescent="0.35">
      <c r="A21" s="11" t="s">
        <v>209</v>
      </c>
      <c r="B21" s="12">
        <v>7</v>
      </c>
      <c r="C21" s="17">
        <v>2.2999999999999998</v>
      </c>
      <c r="D21" s="1">
        <v>0.5</v>
      </c>
      <c r="E21" s="6">
        <v>1000</v>
      </c>
      <c r="F21" s="12">
        <v>1</v>
      </c>
    </row>
    <row r="22" spans="1:6" x14ac:dyDescent="0.35">
      <c r="A22" s="11" t="s">
        <v>68</v>
      </c>
      <c r="B22" s="12">
        <v>44</v>
      </c>
      <c r="C22" s="17">
        <v>4.5999999999999996</v>
      </c>
      <c r="D22" s="1">
        <v>0.49</v>
      </c>
      <c r="E22" s="6">
        <v>998</v>
      </c>
      <c r="F22" s="12">
        <v>1</v>
      </c>
    </row>
    <row r="23" spans="1:6" x14ac:dyDescent="0.35">
      <c r="A23" s="11" t="s">
        <v>235</v>
      </c>
      <c r="B23" s="12">
        <v>0</v>
      </c>
      <c r="C23" s="17" t="e">
        <v>#DIV/0!</v>
      </c>
      <c r="D23" s="1">
        <v>0.43</v>
      </c>
      <c r="E23" s="6">
        <v>690</v>
      </c>
      <c r="F23" s="12">
        <v>1</v>
      </c>
    </row>
    <row r="24" spans="1:6" x14ac:dyDescent="0.35">
      <c r="A24" s="11" t="s">
        <v>71</v>
      </c>
      <c r="B24" s="12">
        <v>13</v>
      </c>
      <c r="C24" s="17">
        <v>3.3</v>
      </c>
      <c r="D24" s="1">
        <v>0.53</v>
      </c>
      <c r="E24" s="6">
        <v>38</v>
      </c>
      <c r="F24" s="12">
        <v>1</v>
      </c>
    </row>
    <row r="25" spans="1:6" x14ac:dyDescent="0.35">
      <c r="A25" s="11" t="s">
        <v>284</v>
      </c>
      <c r="B25" s="12">
        <v>0</v>
      </c>
      <c r="C25" s="17" t="e">
        <v>#DIV/0!</v>
      </c>
      <c r="D25" s="1">
        <v>0.49</v>
      </c>
      <c r="E25" s="6">
        <v>248</v>
      </c>
      <c r="F25" s="12">
        <v>1</v>
      </c>
    </row>
    <row r="26" spans="1:6" x14ac:dyDescent="0.35">
      <c r="A26" s="11" t="s">
        <v>47</v>
      </c>
      <c r="B26" s="12">
        <v>12</v>
      </c>
      <c r="C26" s="17">
        <v>4.8</v>
      </c>
      <c r="D26" s="1">
        <v>0.47</v>
      </c>
      <c r="E26" s="6">
        <v>552</v>
      </c>
      <c r="F26" s="12">
        <v>1</v>
      </c>
    </row>
    <row r="27" spans="1:6" x14ac:dyDescent="0.35">
      <c r="A27" s="11" t="s">
        <v>131</v>
      </c>
      <c r="B27" s="12">
        <v>0</v>
      </c>
      <c r="C27" s="17" t="e">
        <v>#DIV/0!</v>
      </c>
      <c r="D27" s="1">
        <v>0.49</v>
      </c>
      <c r="E27" s="6">
        <v>475</v>
      </c>
      <c r="F27" s="12">
        <v>1</v>
      </c>
    </row>
    <row r="28" spans="1:6" x14ac:dyDescent="0.35">
      <c r="A28" s="11" t="s">
        <v>75</v>
      </c>
      <c r="B28" s="12">
        <v>0</v>
      </c>
      <c r="C28" s="17" t="e">
        <v>#DIV/0!</v>
      </c>
      <c r="D28" s="1">
        <v>0.42</v>
      </c>
      <c r="E28" s="6">
        <v>1860</v>
      </c>
      <c r="F28" s="12">
        <v>1</v>
      </c>
    </row>
    <row r="29" spans="1:6" x14ac:dyDescent="0.35">
      <c r="A29" s="11" t="s">
        <v>182</v>
      </c>
      <c r="B29" s="12">
        <v>6</v>
      </c>
      <c r="C29" s="17">
        <v>2.5</v>
      </c>
      <c r="D29" s="1">
        <v>0.13</v>
      </c>
      <c r="E29" s="6">
        <v>2170</v>
      </c>
      <c r="F29" s="12">
        <v>1</v>
      </c>
    </row>
    <row r="30" spans="1:6" x14ac:dyDescent="0.35">
      <c r="A30" s="11" t="s">
        <v>97</v>
      </c>
      <c r="B30" s="12">
        <v>20</v>
      </c>
      <c r="C30" s="17">
        <v>4.0999999999999996</v>
      </c>
      <c r="D30" s="1">
        <v>0.3</v>
      </c>
      <c r="E30" s="6">
        <v>1758</v>
      </c>
      <c r="F30" s="12">
        <v>1</v>
      </c>
    </row>
    <row r="31" spans="1:6" x14ac:dyDescent="0.35">
      <c r="A31" s="11" t="s">
        <v>114</v>
      </c>
      <c r="B31" s="12">
        <v>32</v>
      </c>
      <c r="C31" s="17">
        <v>4.5</v>
      </c>
      <c r="D31" s="1">
        <v>0.27</v>
      </c>
      <c r="E31" s="6">
        <v>1980</v>
      </c>
      <c r="F31" s="12">
        <v>1</v>
      </c>
    </row>
    <row r="32" spans="1:6" x14ac:dyDescent="0.35">
      <c r="A32" s="11" t="s">
        <v>111</v>
      </c>
      <c r="B32" s="12">
        <v>20</v>
      </c>
      <c r="C32" s="17">
        <v>4.7</v>
      </c>
      <c r="D32" s="1">
        <v>0.27</v>
      </c>
      <c r="E32" s="6">
        <v>1940</v>
      </c>
      <c r="F32" s="12">
        <v>1</v>
      </c>
    </row>
    <row r="33" spans="1:6" x14ac:dyDescent="0.35">
      <c r="A33" s="11" t="s">
        <v>248</v>
      </c>
      <c r="B33" s="12">
        <v>0</v>
      </c>
      <c r="C33" s="17" t="e">
        <v>#DIV/0!</v>
      </c>
      <c r="D33" s="1">
        <v>0.36</v>
      </c>
      <c r="E33" s="6">
        <v>1460</v>
      </c>
      <c r="F33" s="12">
        <v>1</v>
      </c>
    </row>
    <row r="34" spans="1:6" x14ac:dyDescent="0.35">
      <c r="A34" s="11" t="s">
        <v>190</v>
      </c>
      <c r="B34" s="12">
        <v>13</v>
      </c>
      <c r="C34" s="17">
        <v>2.1</v>
      </c>
      <c r="D34" s="1">
        <v>0.55000000000000004</v>
      </c>
      <c r="E34" s="6">
        <v>2115</v>
      </c>
      <c r="F34" s="12">
        <v>1</v>
      </c>
    </row>
    <row r="35" spans="1:6" x14ac:dyDescent="0.35">
      <c r="A35" s="11" t="s">
        <v>316</v>
      </c>
      <c r="B35" s="12">
        <v>0</v>
      </c>
      <c r="C35" s="17" t="e">
        <v>#DIV/0!</v>
      </c>
      <c r="D35" s="1">
        <v>0.64</v>
      </c>
      <c r="E35" s="6">
        <v>199</v>
      </c>
      <c r="F35" s="12">
        <v>1</v>
      </c>
    </row>
    <row r="36" spans="1:6" x14ac:dyDescent="0.35">
      <c r="A36" s="11" t="s">
        <v>277</v>
      </c>
      <c r="B36" s="12">
        <v>0</v>
      </c>
      <c r="C36" s="17" t="e">
        <v>#DIV/0!</v>
      </c>
      <c r="D36" s="1">
        <v>0.47</v>
      </c>
      <c r="E36" s="6">
        <v>899</v>
      </c>
      <c r="F36" s="12">
        <v>1</v>
      </c>
    </row>
    <row r="37" spans="1:6" x14ac:dyDescent="0.35">
      <c r="A37" s="11" t="s">
        <v>145</v>
      </c>
      <c r="B37" s="12">
        <v>0</v>
      </c>
      <c r="C37" s="17" t="e">
        <v>#DIV/0!</v>
      </c>
      <c r="D37" s="1">
        <v>0.33</v>
      </c>
      <c r="E37" s="6">
        <v>1190</v>
      </c>
      <c r="F37" s="12">
        <v>1</v>
      </c>
    </row>
    <row r="38" spans="1:6" x14ac:dyDescent="0.35">
      <c r="A38" s="11" t="s">
        <v>240</v>
      </c>
      <c r="B38" s="12">
        <v>0</v>
      </c>
      <c r="C38" s="17" t="e">
        <v>#DIV/0!</v>
      </c>
      <c r="D38" s="1">
        <v>0.49</v>
      </c>
      <c r="E38" s="6">
        <v>230</v>
      </c>
      <c r="F38" s="12">
        <v>1</v>
      </c>
    </row>
    <row r="39" spans="1:6" x14ac:dyDescent="0.35">
      <c r="A39" s="11" t="s">
        <v>227</v>
      </c>
      <c r="B39" s="12">
        <v>6</v>
      </c>
      <c r="C39" s="17">
        <v>2.2000000000000002</v>
      </c>
      <c r="D39" s="1">
        <v>0.47</v>
      </c>
      <c r="E39" s="6">
        <v>968</v>
      </c>
      <c r="F39" s="12">
        <v>1</v>
      </c>
    </row>
    <row r="40" spans="1:6" x14ac:dyDescent="0.35">
      <c r="A40" s="11" t="s">
        <v>292</v>
      </c>
      <c r="B40" s="12">
        <v>0</v>
      </c>
      <c r="C40" s="17" t="e">
        <v>#DIV/0!</v>
      </c>
      <c r="D40" s="1">
        <v>0.42</v>
      </c>
      <c r="E40" s="6">
        <v>1080</v>
      </c>
      <c r="F40" s="12">
        <v>1</v>
      </c>
    </row>
    <row r="41" spans="1:6" x14ac:dyDescent="0.35">
      <c r="A41" s="11" t="s">
        <v>298</v>
      </c>
      <c r="B41" s="12">
        <v>0</v>
      </c>
      <c r="C41" s="17" t="e">
        <v>#DIV/0!</v>
      </c>
      <c r="D41" s="1">
        <v>0.41</v>
      </c>
      <c r="E41" s="6">
        <v>1420</v>
      </c>
      <c r="F41" s="12">
        <v>1</v>
      </c>
    </row>
    <row r="42" spans="1:6" x14ac:dyDescent="0.35">
      <c r="A42" s="11" t="s">
        <v>215</v>
      </c>
      <c r="B42" s="12">
        <v>17</v>
      </c>
      <c r="C42" s="17">
        <v>2.6</v>
      </c>
      <c r="D42" s="1">
        <v>0.45</v>
      </c>
      <c r="E42" s="6">
        <v>382</v>
      </c>
      <c r="F42" s="12">
        <v>1</v>
      </c>
    </row>
    <row r="43" spans="1:6" x14ac:dyDescent="0.35">
      <c r="A43" s="11" t="s">
        <v>175</v>
      </c>
      <c r="B43" s="12">
        <v>0</v>
      </c>
      <c r="C43" s="17" t="e">
        <v>#DIV/0!</v>
      </c>
      <c r="D43" s="1">
        <v>0.49</v>
      </c>
      <c r="E43" s="6">
        <v>728</v>
      </c>
      <c r="F43" s="12">
        <v>2</v>
      </c>
    </row>
    <row r="44" spans="1:6" x14ac:dyDescent="0.35">
      <c r="A44" s="11" t="s">
        <v>56</v>
      </c>
      <c r="B44" s="12">
        <v>2</v>
      </c>
      <c r="C44" s="17">
        <v>5</v>
      </c>
      <c r="D44" s="1">
        <v>0.51</v>
      </c>
      <c r="E44" s="6">
        <v>332</v>
      </c>
      <c r="F44" s="12">
        <v>1</v>
      </c>
    </row>
    <row r="45" spans="1:6" x14ac:dyDescent="0.35">
      <c r="A45" s="11" t="s">
        <v>206</v>
      </c>
      <c r="B45" s="12">
        <v>6</v>
      </c>
      <c r="C45" s="17">
        <v>2.2000000000000002</v>
      </c>
      <c r="D45" s="1">
        <v>0.45</v>
      </c>
      <c r="E45" s="6">
        <v>990</v>
      </c>
      <c r="F45" s="12">
        <v>1</v>
      </c>
    </row>
    <row r="46" spans="1:6" x14ac:dyDescent="0.35">
      <c r="A46" s="11" t="s">
        <v>289</v>
      </c>
      <c r="B46" s="12">
        <v>0</v>
      </c>
      <c r="C46" s="17" t="e">
        <v>#DIV/0!</v>
      </c>
      <c r="D46" s="1">
        <v>0.49</v>
      </c>
      <c r="E46" s="6">
        <v>525</v>
      </c>
      <c r="F46" s="12">
        <v>1</v>
      </c>
    </row>
    <row r="47" spans="1:6" x14ac:dyDescent="0.35">
      <c r="A47" s="11" t="s">
        <v>137</v>
      </c>
      <c r="B47" s="12">
        <v>0</v>
      </c>
      <c r="C47" s="17" t="e">
        <v>#DIV/0!</v>
      </c>
      <c r="D47" s="1">
        <v>0.42</v>
      </c>
      <c r="E47" s="6">
        <v>610</v>
      </c>
      <c r="F47" s="12">
        <v>1</v>
      </c>
    </row>
    <row r="48" spans="1:6" x14ac:dyDescent="0.35">
      <c r="A48" s="11" t="s">
        <v>245</v>
      </c>
      <c r="B48" s="12">
        <v>1</v>
      </c>
      <c r="C48" s="17">
        <v>5</v>
      </c>
      <c r="D48" s="1">
        <v>0.49</v>
      </c>
      <c r="E48" s="6">
        <v>979</v>
      </c>
      <c r="F48" s="12">
        <v>1</v>
      </c>
    </row>
    <row r="49" spans="1:6" x14ac:dyDescent="0.35">
      <c r="A49" s="11" t="s">
        <v>320</v>
      </c>
      <c r="B49" s="12">
        <v>0</v>
      </c>
      <c r="C49" s="17" t="e">
        <v>#DIV/0!</v>
      </c>
      <c r="D49" s="1">
        <v>0.47</v>
      </c>
      <c r="E49" s="6">
        <v>169</v>
      </c>
      <c r="F49" s="12">
        <v>1</v>
      </c>
    </row>
    <row r="50" spans="1:6" x14ac:dyDescent="0.35">
      <c r="A50" s="11" t="s">
        <v>157</v>
      </c>
      <c r="B50" s="12">
        <v>0</v>
      </c>
      <c r="C50" s="17" t="e">
        <v>#DIV/0!</v>
      </c>
      <c r="D50" s="1">
        <v>0.5</v>
      </c>
      <c r="E50" s="6">
        <v>299</v>
      </c>
      <c r="F50" s="12">
        <v>1</v>
      </c>
    </row>
    <row r="51" spans="1:6" x14ac:dyDescent="0.35">
      <c r="A51" s="11" t="s">
        <v>148</v>
      </c>
      <c r="B51" s="12">
        <v>0</v>
      </c>
      <c r="C51" s="17" t="e">
        <v>#DIV/0!</v>
      </c>
      <c r="D51" s="1">
        <v>0.49</v>
      </c>
      <c r="E51" s="6">
        <v>671</v>
      </c>
      <c r="F51" s="12">
        <v>1</v>
      </c>
    </row>
    <row r="52" spans="1:6" x14ac:dyDescent="0.35">
      <c r="A52" s="11" t="s">
        <v>258</v>
      </c>
      <c r="B52" s="12">
        <v>0</v>
      </c>
      <c r="C52" s="17" t="e">
        <v>#DIV/0!</v>
      </c>
      <c r="D52" s="1">
        <v>0.49</v>
      </c>
      <c r="E52" s="6">
        <v>274</v>
      </c>
      <c r="F52" s="12">
        <v>1</v>
      </c>
    </row>
    <row r="53" spans="1:6" x14ac:dyDescent="0.35">
      <c r="A53" s="11" t="s">
        <v>310</v>
      </c>
      <c r="B53" s="12">
        <v>0</v>
      </c>
      <c r="C53" s="17" t="e">
        <v>#DIV/0!</v>
      </c>
      <c r="D53" s="1">
        <v>0.34</v>
      </c>
      <c r="E53" s="6">
        <v>1190</v>
      </c>
      <c r="F53" s="12">
        <v>1</v>
      </c>
    </row>
    <row r="54" spans="1:6" x14ac:dyDescent="0.35">
      <c r="A54" s="11" t="s">
        <v>143</v>
      </c>
      <c r="B54" s="12">
        <v>0</v>
      </c>
      <c r="C54" s="17" t="e">
        <v>#DIV/0!</v>
      </c>
      <c r="D54" s="1">
        <v>0.5</v>
      </c>
      <c r="E54" s="6">
        <v>999</v>
      </c>
      <c r="F54" s="12">
        <v>1</v>
      </c>
    </row>
    <row r="55" spans="1:6" x14ac:dyDescent="0.35">
      <c r="A55" s="11" t="s">
        <v>173</v>
      </c>
      <c r="B55" s="12">
        <v>0</v>
      </c>
      <c r="C55" s="17" t="e">
        <v>#DIV/0!</v>
      </c>
      <c r="D55" s="1">
        <v>0.48</v>
      </c>
      <c r="E55" s="6">
        <v>699</v>
      </c>
      <c r="F55" s="12">
        <v>1</v>
      </c>
    </row>
    <row r="56" spans="1:6" x14ac:dyDescent="0.35">
      <c r="A56" s="11" t="s">
        <v>120</v>
      </c>
      <c r="B56" s="12">
        <v>2</v>
      </c>
      <c r="C56" s="17">
        <v>5</v>
      </c>
      <c r="D56" s="1">
        <v>0.53</v>
      </c>
      <c r="E56" s="6">
        <v>171</v>
      </c>
      <c r="F56" s="12">
        <v>1</v>
      </c>
    </row>
    <row r="57" spans="1:6" x14ac:dyDescent="0.35">
      <c r="A57" s="11" t="s">
        <v>154</v>
      </c>
      <c r="B57" s="12">
        <v>0</v>
      </c>
      <c r="C57" s="17" t="e">
        <v>#DIV/0!</v>
      </c>
      <c r="D57" s="1">
        <v>0.55000000000000004</v>
      </c>
      <c r="E57" s="6">
        <v>187.5</v>
      </c>
      <c r="F57" s="12">
        <v>2</v>
      </c>
    </row>
    <row r="58" spans="1:6" x14ac:dyDescent="0.35">
      <c r="A58" s="11" t="s">
        <v>237</v>
      </c>
      <c r="B58" s="12">
        <v>0</v>
      </c>
      <c r="C58" s="17" t="e">
        <v>#DIV/0!</v>
      </c>
      <c r="D58" s="1">
        <v>0.04</v>
      </c>
      <c r="E58" s="6">
        <v>1732</v>
      </c>
      <c r="F58" s="12">
        <v>1</v>
      </c>
    </row>
    <row r="59" spans="1:6" x14ac:dyDescent="0.35">
      <c r="A59" s="11" t="s">
        <v>168</v>
      </c>
      <c r="B59" s="12">
        <v>0</v>
      </c>
      <c r="C59" s="17" t="e">
        <v>#DIV/0!</v>
      </c>
      <c r="D59" s="1">
        <v>0.41</v>
      </c>
      <c r="E59" s="6">
        <v>799</v>
      </c>
      <c r="F59" s="12">
        <v>1</v>
      </c>
    </row>
    <row r="60" spans="1:6" x14ac:dyDescent="0.35">
      <c r="A60" s="11" t="s">
        <v>33</v>
      </c>
      <c r="B60" s="12">
        <v>2</v>
      </c>
      <c r="C60" s="17">
        <v>4</v>
      </c>
      <c r="D60" s="1">
        <v>0.37</v>
      </c>
      <c r="E60" s="6">
        <v>988</v>
      </c>
      <c r="F60" s="12">
        <v>1</v>
      </c>
    </row>
    <row r="61" spans="1:6" x14ac:dyDescent="0.35">
      <c r="A61" s="11" t="s">
        <v>117</v>
      </c>
      <c r="B61" s="12">
        <v>1</v>
      </c>
      <c r="C61" s="17">
        <v>5</v>
      </c>
      <c r="D61" s="1">
        <v>0.4</v>
      </c>
      <c r="E61" s="6">
        <v>1620</v>
      </c>
      <c r="F61" s="12">
        <v>1</v>
      </c>
    </row>
    <row r="62" spans="1:6" x14ac:dyDescent="0.35">
      <c r="A62" s="11" t="s">
        <v>229</v>
      </c>
      <c r="B62" s="12">
        <v>7</v>
      </c>
      <c r="C62" s="17">
        <v>2.1</v>
      </c>
      <c r="D62" s="1">
        <v>0.47</v>
      </c>
      <c r="E62" s="6">
        <v>1570</v>
      </c>
      <c r="F62" s="12">
        <v>1</v>
      </c>
    </row>
    <row r="63" spans="1:6" x14ac:dyDescent="0.35">
      <c r="A63" s="11" t="s">
        <v>89</v>
      </c>
      <c r="B63" s="12">
        <v>49</v>
      </c>
      <c r="C63" s="17">
        <v>4.5999999999999996</v>
      </c>
      <c r="D63" s="1">
        <v>0.35</v>
      </c>
      <c r="E63" s="6">
        <v>420</v>
      </c>
      <c r="F63" s="12">
        <v>1</v>
      </c>
    </row>
    <row r="64" spans="1:6" x14ac:dyDescent="0.35">
      <c r="A64" s="11" t="s">
        <v>102</v>
      </c>
      <c r="B64" s="12">
        <v>9</v>
      </c>
      <c r="C64" s="17">
        <v>4.3</v>
      </c>
      <c r="D64" s="1">
        <v>0.52</v>
      </c>
      <c r="E64" s="6">
        <v>185</v>
      </c>
      <c r="F64" s="12">
        <v>1</v>
      </c>
    </row>
    <row r="65" spans="1:6" x14ac:dyDescent="0.35">
      <c r="A65" s="11" t="s">
        <v>81</v>
      </c>
      <c r="B65" s="12">
        <v>14</v>
      </c>
      <c r="C65" s="17">
        <v>4.4000000000000004</v>
      </c>
      <c r="D65" s="1">
        <v>0.23</v>
      </c>
      <c r="E65" s="6">
        <v>1650</v>
      </c>
      <c r="F65" s="12">
        <v>1</v>
      </c>
    </row>
    <row r="66" spans="1:6" x14ac:dyDescent="0.35">
      <c r="A66" s="11" t="s">
        <v>42</v>
      </c>
      <c r="B66" s="12">
        <v>12</v>
      </c>
      <c r="C66" s="17">
        <v>4.0999999999999996</v>
      </c>
      <c r="D66" s="1">
        <v>0.2</v>
      </c>
      <c r="E66" s="6">
        <v>799</v>
      </c>
      <c r="F66" s="12">
        <v>1</v>
      </c>
    </row>
    <row r="67" spans="1:6" x14ac:dyDescent="0.35">
      <c r="A67" s="11" t="s">
        <v>253</v>
      </c>
      <c r="B67" s="12">
        <v>1</v>
      </c>
      <c r="C67" s="17">
        <v>4</v>
      </c>
      <c r="D67" s="1">
        <v>0.49</v>
      </c>
      <c r="E67" s="6">
        <v>330</v>
      </c>
      <c r="F67" s="12">
        <v>1</v>
      </c>
    </row>
    <row r="68" spans="1:6" x14ac:dyDescent="0.35">
      <c r="A68" s="11" t="s">
        <v>198</v>
      </c>
      <c r="B68" s="12">
        <v>15</v>
      </c>
      <c r="C68" s="17">
        <v>2.7</v>
      </c>
      <c r="D68" s="1">
        <v>0.52</v>
      </c>
      <c r="E68" s="6">
        <v>325</v>
      </c>
      <c r="F68" s="12">
        <v>1</v>
      </c>
    </row>
    <row r="69" spans="1:6" x14ac:dyDescent="0.35">
      <c r="A69" s="11" t="s">
        <v>295</v>
      </c>
      <c r="B69" s="12">
        <v>1</v>
      </c>
      <c r="C69" s="17">
        <v>5</v>
      </c>
      <c r="D69" s="1">
        <v>0.21</v>
      </c>
      <c r="E69" s="6">
        <v>3640</v>
      </c>
      <c r="F69" s="12">
        <v>1</v>
      </c>
    </row>
    <row r="70" spans="1:6" x14ac:dyDescent="0.35">
      <c r="A70" s="11" t="s">
        <v>218</v>
      </c>
      <c r="B70" s="12">
        <v>5</v>
      </c>
      <c r="C70" s="17">
        <v>3</v>
      </c>
      <c r="D70" s="1">
        <v>0.28999999999999998</v>
      </c>
      <c r="E70" s="6">
        <v>2300</v>
      </c>
      <c r="F70" s="12">
        <v>1</v>
      </c>
    </row>
    <row r="71" spans="1:6" x14ac:dyDescent="0.35">
      <c r="A71" s="11" t="s">
        <v>85</v>
      </c>
      <c r="B71" s="12">
        <v>7</v>
      </c>
      <c r="C71" s="17">
        <v>4.3</v>
      </c>
      <c r="D71" s="1">
        <v>0.54</v>
      </c>
      <c r="E71" s="6">
        <v>2048</v>
      </c>
      <c r="F71" s="12">
        <v>1</v>
      </c>
    </row>
    <row r="72" spans="1:6" x14ac:dyDescent="0.35">
      <c r="A72" s="11" t="s">
        <v>63</v>
      </c>
      <c r="B72" s="12">
        <v>3</v>
      </c>
      <c r="C72" s="17">
        <v>5</v>
      </c>
      <c r="D72" s="1">
        <v>0.49</v>
      </c>
      <c r="E72" s="6">
        <v>2025</v>
      </c>
      <c r="F72" s="12">
        <v>1</v>
      </c>
    </row>
    <row r="73" spans="1:6" x14ac:dyDescent="0.35">
      <c r="A73" s="11" t="s">
        <v>50</v>
      </c>
      <c r="B73" s="12">
        <v>6</v>
      </c>
      <c r="C73" s="17">
        <v>4.5</v>
      </c>
      <c r="D73" s="1">
        <v>0.42</v>
      </c>
      <c r="E73" s="6">
        <v>501</v>
      </c>
      <c r="F73" s="12">
        <v>1</v>
      </c>
    </row>
    <row r="74" spans="1:6" x14ac:dyDescent="0.35">
      <c r="A74" s="11" t="s">
        <v>35</v>
      </c>
      <c r="B74" s="12">
        <v>5</v>
      </c>
      <c r="C74" s="17">
        <v>4.8</v>
      </c>
      <c r="D74" s="1">
        <v>0.55000000000000004</v>
      </c>
      <c r="E74" s="6">
        <v>1274</v>
      </c>
      <c r="F74" s="12">
        <v>1</v>
      </c>
    </row>
    <row r="75" spans="1:6" x14ac:dyDescent="0.35">
      <c r="A75" s="11" t="s">
        <v>128</v>
      </c>
      <c r="B75" s="12">
        <v>0</v>
      </c>
      <c r="C75" s="17" t="e">
        <v>#DIV/0!</v>
      </c>
      <c r="D75" s="1">
        <v>0.38</v>
      </c>
      <c r="E75" s="6">
        <v>2750</v>
      </c>
      <c r="F75" s="12">
        <v>1</v>
      </c>
    </row>
    <row r="76" spans="1:6" x14ac:dyDescent="0.35">
      <c r="A76" s="11" t="s">
        <v>108</v>
      </c>
      <c r="B76" s="12">
        <v>9</v>
      </c>
      <c r="C76" s="17">
        <v>4.3</v>
      </c>
      <c r="D76" s="1">
        <v>0.48</v>
      </c>
      <c r="E76" s="6">
        <v>1820</v>
      </c>
      <c r="F76" s="12">
        <v>1</v>
      </c>
    </row>
    <row r="77" spans="1:6" x14ac:dyDescent="0.35">
      <c r="A77" s="11" t="s">
        <v>78</v>
      </c>
      <c r="B77" s="12">
        <v>6</v>
      </c>
      <c r="C77" s="17">
        <v>4</v>
      </c>
      <c r="D77" s="1">
        <v>0.35</v>
      </c>
      <c r="E77" s="6">
        <v>880</v>
      </c>
      <c r="F77" s="12">
        <v>1</v>
      </c>
    </row>
    <row r="78" spans="1:6" x14ac:dyDescent="0.35">
      <c r="A78" s="11" t="s">
        <v>307</v>
      </c>
      <c r="B78" s="12">
        <v>0</v>
      </c>
      <c r="C78" s="17" t="e">
        <v>#DIV/0!</v>
      </c>
      <c r="D78" s="1">
        <v>0.34</v>
      </c>
      <c r="E78" s="6">
        <v>1150</v>
      </c>
      <c r="F78" s="12">
        <v>1</v>
      </c>
    </row>
    <row r="79" spans="1:6" x14ac:dyDescent="0.35">
      <c r="A79" s="11" t="s">
        <v>66</v>
      </c>
      <c r="B79" s="12">
        <v>5</v>
      </c>
      <c r="C79" s="17">
        <v>4.5999999999999996</v>
      </c>
      <c r="D79" s="1">
        <v>0.19</v>
      </c>
      <c r="E79" s="6">
        <v>2999</v>
      </c>
      <c r="F79" s="12">
        <v>1</v>
      </c>
    </row>
    <row r="80" spans="1:6" x14ac:dyDescent="0.35">
      <c r="A80" s="11" t="s">
        <v>243</v>
      </c>
      <c r="B80" s="12">
        <v>1</v>
      </c>
      <c r="C80" s="17">
        <v>3</v>
      </c>
      <c r="D80" s="1">
        <v>0.46</v>
      </c>
      <c r="E80" s="6">
        <v>1189</v>
      </c>
      <c r="F80" s="12">
        <v>1</v>
      </c>
    </row>
    <row r="81" spans="1:6" x14ac:dyDescent="0.35">
      <c r="A81" s="11" t="s">
        <v>10</v>
      </c>
      <c r="B81" s="12">
        <v>14</v>
      </c>
      <c r="C81" s="17">
        <v>4.0999999999999996</v>
      </c>
      <c r="D81" s="1">
        <v>0.47</v>
      </c>
      <c r="E81" s="6">
        <v>527</v>
      </c>
      <c r="F81" s="12">
        <v>1</v>
      </c>
    </row>
    <row r="82" spans="1:6" x14ac:dyDescent="0.35">
      <c r="A82" s="11" t="s">
        <v>287</v>
      </c>
      <c r="B82" s="12">
        <v>0</v>
      </c>
      <c r="C82" s="17" t="e">
        <v>#DIV/0!</v>
      </c>
      <c r="D82" s="1">
        <v>0.04</v>
      </c>
      <c r="E82" s="6">
        <v>3546</v>
      </c>
      <c r="F82" s="12">
        <v>1</v>
      </c>
    </row>
    <row r="83" spans="1:6" x14ac:dyDescent="0.35">
      <c r="A83" s="11" t="s">
        <v>134</v>
      </c>
      <c r="B83" s="12">
        <v>0</v>
      </c>
      <c r="C83" s="17" t="e">
        <v>#DIV/0!</v>
      </c>
      <c r="D83" s="1">
        <v>0.5</v>
      </c>
      <c r="E83" s="6">
        <v>238</v>
      </c>
      <c r="F83" s="12">
        <v>1</v>
      </c>
    </row>
    <row r="84" spans="1:6" x14ac:dyDescent="0.35">
      <c r="A84" s="11" t="s">
        <v>53</v>
      </c>
      <c r="B84" s="12">
        <v>9</v>
      </c>
      <c r="C84" s="17">
        <v>4.2</v>
      </c>
      <c r="D84" s="1">
        <v>0.33</v>
      </c>
      <c r="E84" s="6">
        <v>1680</v>
      </c>
      <c r="F84" s="12">
        <v>1</v>
      </c>
    </row>
    <row r="85" spans="1:6" x14ac:dyDescent="0.35">
      <c r="A85" s="11" t="s">
        <v>266</v>
      </c>
      <c r="B85" s="12">
        <v>0</v>
      </c>
      <c r="C85" s="17" t="e">
        <v>#DIV/0!</v>
      </c>
      <c r="D85" s="1">
        <v>0.43</v>
      </c>
      <c r="E85" s="6">
        <v>630</v>
      </c>
      <c r="F85" s="12">
        <v>1</v>
      </c>
    </row>
    <row r="86" spans="1:6" x14ac:dyDescent="0.35">
      <c r="A86" s="11" t="s">
        <v>99</v>
      </c>
      <c r="B86" s="12">
        <v>0</v>
      </c>
      <c r="C86" s="17" t="e">
        <v>#DIV/0!</v>
      </c>
      <c r="D86" s="1">
        <v>0.46</v>
      </c>
      <c r="E86" s="6">
        <v>2200</v>
      </c>
      <c r="F86" s="12">
        <v>1</v>
      </c>
    </row>
    <row r="87" spans="1:6" x14ac:dyDescent="0.35">
      <c r="A87" s="11" t="s">
        <v>165</v>
      </c>
      <c r="B87" s="12">
        <v>0</v>
      </c>
      <c r="C87" s="17" t="e">
        <v>#DIV/0!</v>
      </c>
      <c r="D87" s="1">
        <v>0.03</v>
      </c>
      <c r="E87" s="6">
        <v>1459</v>
      </c>
      <c r="F87" s="12">
        <v>1</v>
      </c>
    </row>
    <row r="88" spans="1:6" x14ac:dyDescent="0.35">
      <c r="A88" s="11" t="s">
        <v>186</v>
      </c>
      <c r="B88" s="12">
        <v>10</v>
      </c>
      <c r="C88" s="17">
        <v>3</v>
      </c>
      <c r="D88" s="1">
        <v>0.54</v>
      </c>
      <c r="E88" s="6">
        <v>458</v>
      </c>
      <c r="F88" s="12">
        <v>1</v>
      </c>
    </row>
    <row r="89" spans="1:6" x14ac:dyDescent="0.35">
      <c r="A89" s="11" t="s">
        <v>256</v>
      </c>
      <c r="B89" s="12">
        <v>0</v>
      </c>
      <c r="C89" s="17" t="e">
        <v>#DIV/0!</v>
      </c>
      <c r="D89" s="1">
        <v>0.14000000000000001</v>
      </c>
      <c r="E89" s="6">
        <v>1466</v>
      </c>
      <c r="F89" s="12">
        <v>1</v>
      </c>
    </row>
    <row r="90" spans="1:6" x14ac:dyDescent="0.35">
      <c r="A90" s="11" t="s">
        <v>261</v>
      </c>
      <c r="B90" s="12">
        <v>0</v>
      </c>
      <c r="C90" s="17" t="e">
        <v>#DIV/0!</v>
      </c>
      <c r="D90" s="1">
        <v>0.11</v>
      </c>
      <c r="E90" s="6">
        <v>799</v>
      </c>
      <c r="F90" s="12">
        <v>1</v>
      </c>
    </row>
    <row r="91" spans="1:6" x14ac:dyDescent="0.35">
      <c r="A91" s="11" t="s">
        <v>60</v>
      </c>
      <c r="B91" s="12">
        <v>2</v>
      </c>
      <c r="C91" s="17">
        <v>5</v>
      </c>
      <c r="D91" s="1">
        <v>0.46</v>
      </c>
      <c r="E91" s="6">
        <v>195</v>
      </c>
      <c r="F91" s="12">
        <v>1</v>
      </c>
    </row>
    <row r="92" spans="1:6" x14ac:dyDescent="0.35">
      <c r="A92" s="11" t="s">
        <v>160</v>
      </c>
      <c r="B92" s="12">
        <v>0</v>
      </c>
      <c r="C92" s="17" t="e">
        <v>#DIV/0!</v>
      </c>
      <c r="D92" s="1">
        <v>0.02</v>
      </c>
      <c r="E92" s="6">
        <v>1660</v>
      </c>
      <c r="F92" s="12">
        <v>1</v>
      </c>
    </row>
    <row r="93" spans="1:6" x14ac:dyDescent="0.35">
      <c r="A93" s="11" t="s">
        <v>163</v>
      </c>
      <c r="B93" s="12">
        <v>0</v>
      </c>
      <c r="C93" s="17" t="e">
        <v>#DIV/0!</v>
      </c>
      <c r="D93" s="1">
        <v>0.22</v>
      </c>
      <c r="E93" s="6">
        <v>299</v>
      </c>
      <c r="F93" s="12">
        <v>1</v>
      </c>
    </row>
    <row r="94" spans="1:6" x14ac:dyDescent="0.35">
      <c r="A94" s="11" t="s">
        <v>22</v>
      </c>
      <c r="B94" s="12">
        <v>5</v>
      </c>
      <c r="C94" s="17">
        <v>4.8</v>
      </c>
      <c r="D94" s="1">
        <v>0.26</v>
      </c>
      <c r="E94" s="6">
        <v>1740</v>
      </c>
      <c r="F94" s="12">
        <v>1</v>
      </c>
    </row>
    <row r="95" spans="1:6" x14ac:dyDescent="0.35">
      <c r="A95" s="11" t="s">
        <v>14</v>
      </c>
      <c r="B95" s="12">
        <v>24</v>
      </c>
      <c r="C95" s="17">
        <v>4.5999999999999996</v>
      </c>
      <c r="D95" s="1">
        <v>0.25</v>
      </c>
      <c r="E95" s="6">
        <v>2199</v>
      </c>
      <c r="F95" s="12">
        <v>1</v>
      </c>
    </row>
    <row r="96" spans="1:6" x14ac:dyDescent="0.35">
      <c r="A96" s="11" t="s">
        <v>282</v>
      </c>
      <c r="B96" s="12">
        <v>0</v>
      </c>
      <c r="C96" s="17" t="e">
        <v>#DIV/0!</v>
      </c>
      <c r="D96" s="1">
        <v>0.02</v>
      </c>
      <c r="E96" s="6">
        <v>1462</v>
      </c>
      <c r="F96" s="12">
        <v>1</v>
      </c>
    </row>
    <row r="97" spans="1:6" x14ac:dyDescent="0.35">
      <c r="A97" s="11" t="s">
        <v>92</v>
      </c>
      <c r="B97" s="12">
        <v>12</v>
      </c>
      <c r="C97" s="17">
        <v>3.8</v>
      </c>
      <c r="D97" s="1">
        <v>0.18</v>
      </c>
      <c r="E97" s="6">
        <v>2880</v>
      </c>
      <c r="F97" s="12">
        <v>1</v>
      </c>
    </row>
    <row r="98" spans="1:6" x14ac:dyDescent="0.35">
      <c r="A98" s="11" t="s">
        <v>272</v>
      </c>
      <c r="B98" s="12">
        <v>0</v>
      </c>
      <c r="C98" s="17" t="e">
        <v>#DIV/0!</v>
      </c>
      <c r="D98" s="1">
        <v>0.48</v>
      </c>
      <c r="E98" s="6">
        <v>1300</v>
      </c>
      <c r="F98" s="12">
        <v>1</v>
      </c>
    </row>
    <row r="99" spans="1:6" x14ac:dyDescent="0.35">
      <c r="A99" s="11" t="s">
        <v>122</v>
      </c>
      <c r="B99" s="12">
        <v>36</v>
      </c>
      <c r="C99" s="17">
        <v>4.3</v>
      </c>
      <c r="D99" s="1">
        <v>0.41</v>
      </c>
      <c r="E99" s="6">
        <v>389</v>
      </c>
      <c r="F99" s="12">
        <v>1</v>
      </c>
    </row>
    <row r="100" spans="1:6" x14ac:dyDescent="0.35">
      <c r="A100" s="11" t="s">
        <v>274</v>
      </c>
      <c r="B100" s="12">
        <v>0</v>
      </c>
      <c r="C100" s="17" t="e">
        <v>#DIV/0!</v>
      </c>
      <c r="D100" s="1">
        <v>0.48</v>
      </c>
      <c r="E100" s="6">
        <v>105</v>
      </c>
      <c r="F100" s="12">
        <v>1</v>
      </c>
    </row>
    <row r="101" spans="1:6" x14ac:dyDescent="0.35">
      <c r="A101" s="11" t="s">
        <v>140</v>
      </c>
      <c r="B101" s="12">
        <v>0</v>
      </c>
      <c r="C101" s="17" t="e">
        <v>#DIV/0!</v>
      </c>
      <c r="D101" s="1">
        <v>0.02</v>
      </c>
      <c r="E101" s="6">
        <v>2132</v>
      </c>
      <c r="F101" s="12">
        <v>1</v>
      </c>
    </row>
    <row r="102" spans="1:6" x14ac:dyDescent="0.35">
      <c r="A102" s="11" t="s">
        <v>312</v>
      </c>
      <c r="B102" s="12">
        <v>0</v>
      </c>
      <c r="C102" s="17" t="e">
        <v>#DIV/0!</v>
      </c>
      <c r="D102" s="1">
        <v>0.02</v>
      </c>
      <c r="E102" s="6">
        <v>1658</v>
      </c>
      <c r="F102" s="12">
        <v>1</v>
      </c>
    </row>
    <row r="103" spans="1:6" x14ac:dyDescent="0.35">
      <c r="A103" s="11" t="s">
        <v>170</v>
      </c>
      <c r="B103" s="12">
        <v>0</v>
      </c>
      <c r="C103" s="17" t="e">
        <v>#DIV/0!</v>
      </c>
      <c r="D103" s="1">
        <v>0.5</v>
      </c>
      <c r="E103" s="6">
        <v>449</v>
      </c>
      <c r="F103" s="12">
        <v>2</v>
      </c>
    </row>
    <row r="104" spans="1:6" x14ac:dyDescent="0.35">
      <c r="A104" s="11" t="s">
        <v>314</v>
      </c>
      <c r="B104" s="12">
        <v>0</v>
      </c>
      <c r="C104" s="17" t="e">
        <v>#DIV/0!</v>
      </c>
      <c r="D104" s="1">
        <v>0.02</v>
      </c>
      <c r="E104" s="6">
        <v>1768</v>
      </c>
      <c r="F104" s="12">
        <v>1</v>
      </c>
    </row>
    <row r="105" spans="1:6" x14ac:dyDescent="0.35">
      <c r="A105" s="11" t="s">
        <v>202</v>
      </c>
      <c r="B105" s="12">
        <v>16</v>
      </c>
      <c r="C105" s="17">
        <v>2.9</v>
      </c>
      <c r="D105" s="1">
        <v>0.22</v>
      </c>
      <c r="E105" s="6">
        <v>1220</v>
      </c>
      <c r="F105" s="12">
        <v>1</v>
      </c>
    </row>
    <row r="106" spans="1:6" x14ac:dyDescent="0.35">
      <c r="A106" s="11" t="s">
        <v>269</v>
      </c>
      <c r="B106" s="12">
        <v>0</v>
      </c>
      <c r="C106" s="17" t="e">
        <v>#DIV/0!</v>
      </c>
      <c r="D106" s="1">
        <v>0.5</v>
      </c>
      <c r="E106" s="6">
        <v>850</v>
      </c>
      <c r="F106" s="12">
        <v>1</v>
      </c>
    </row>
    <row r="107" spans="1:6" x14ac:dyDescent="0.35">
      <c r="A107" s="11" t="s">
        <v>280</v>
      </c>
      <c r="B107" s="12">
        <v>0</v>
      </c>
      <c r="C107" s="17" t="e">
        <v>#DIV/0!</v>
      </c>
      <c r="D107" s="1">
        <v>0.08</v>
      </c>
      <c r="E107" s="6">
        <v>1526</v>
      </c>
      <c r="F107" s="12">
        <v>1</v>
      </c>
    </row>
    <row r="108" spans="1:6" x14ac:dyDescent="0.35">
      <c r="A108" s="11" t="s">
        <v>318</v>
      </c>
      <c r="B108" s="12">
        <v>1</v>
      </c>
      <c r="C108" s="17">
        <v>2</v>
      </c>
      <c r="D108" s="1">
        <v>0.5</v>
      </c>
      <c r="E108" s="6">
        <v>450</v>
      </c>
      <c r="F108" s="12">
        <v>1</v>
      </c>
    </row>
    <row r="109" spans="1:6" x14ac:dyDescent="0.35">
      <c r="A109" s="11" t="s">
        <v>264</v>
      </c>
      <c r="B109" s="12">
        <v>0</v>
      </c>
      <c r="C109" s="17" t="e">
        <v>#DIV/0!</v>
      </c>
      <c r="D109" s="1">
        <v>0.14000000000000001</v>
      </c>
      <c r="E109" s="6">
        <v>1468</v>
      </c>
      <c r="F109" s="12">
        <v>1</v>
      </c>
    </row>
    <row r="110" spans="1:6" x14ac:dyDescent="0.35">
      <c r="A110" s="11" t="s">
        <v>221</v>
      </c>
      <c r="B110" s="12">
        <v>6</v>
      </c>
      <c r="C110" s="17">
        <v>2.2999999999999998</v>
      </c>
      <c r="D110" s="1">
        <v>0.43</v>
      </c>
      <c r="E110" s="6">
        <v>345</v>
      </c>
      <c r="F110" s="12">
        <v>1</v>
      </c>
    </row>
    <row r="111" spans="1:6" x14ac:dyDescent="0.35">
      <c r="A111" s="11" t="s">
        <v>18</v>
      </c>
      <c r="B111" s="12">
        <v>7</v>
      </c>
      <c r="C111" s="17">
        <v>4.7</v>
      </c>
      <c r="D111" s="1">
        <v>0.37</v>
      </c>
      <c r="E111" s="6">
        <v>1580</v>
      </c>
      <c r="F111" s="12">
        <v>1</v>
      </c>
    </row>
    <row r="112" spans="1:6" x14ac:dyDescent="0.35">
      <c r="A112" s="11" t="s">
        <v>224</v>
      </c>
      <c r="B112" s="12">
        <v>5</v>
      </c>
      <c r="C112" s="17">
        <v>3</v>
      </c>
      <c r="D112" s="1">
        <v>0.43</v>
      </c>
      <c r="E112" s="6">
        <v>509</v>
      </c>
      <c r="F112" s="12">
        <v>1</v>
      </c>
    </row>
    <row r="113" spans="1:6" x14ac:dyDescent="0.35">
      <c r="A113" s="11" t="s">
        <v>16724</v>
      </c>
      <c r="B113" s="12">
        <v>723</v>
      </c>
      <c r="C113" s="17">
        <v>3.8894736842105266</v>
      </c>
      <c r="D113" s="1">
        <v>0.36776785714285704</v>
      </c>
      <c r="E113" s="6">
        <v>1188.5</v>
      </c>
      <c r="F113" s="12">
        <v>112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9DA2-0981-40C5-BE63-ACF3D5B808AE}">
  <dimension ref="A3:D113"/>
  <sheetViews>
    <sheetView workbookViewId="0">
      <selection activeCell="D3" sqref="D3"/>
    </sheetView>
  </sheetViews>
  <sheetFormatPr defaultRowHeight="14.5" x14ac:dyDescent="0.35"/>
  <cols>
    <col min="1" max="1" width="86.1796875" bestFit="1" customWidth="1"/>
    <col min="2" max="2" width="13.36328125" bestFit="1" customWidth="1"/>
    <col min="3" max="3" width="14.6328125" bestFit="1" customWidth="1"/>
    <col min="4" max="4" width="14.36328125" bestFit="1" customWidth="1"/>
    <col min="5" max="10" width="3.81640625" bestFit="1" customWidth="1"/>
    <col min="11" max="11" width="1.81640625" bestFit="1" customWidth="1"/>
    <col min="12" max="13" width="3.81640625" bestFit="1" customWidth="1"/>
    <col min="14" max="14" width="1.81640625" bestFit="1" customWidth="1"/>
    <col min="15" max="22" width="3.81640625" bestFit="1" customWidth="1"/>
    <col min="23" max="23" width="1.81640625" bestFit="1" customWidth="1"/>
    <col min="24" max="24" width="4.08984375" bestFit="1" customWidth="1"/>
    <col min="25" max="25" width="10.36328125" bestFit="1" customWidth="1"/>
  </cols>
  <sheetData>
    <row r="3" spans="1:4" x14ac:dyDescent="0.35">
      <c r="A3" s="10" t="s">
        <v>16722</v>
      </c>
      <c r="B3" t="s">
        <v>16736</v>
      </c>
      <c r="C3" t="s">
        <v>16729</v>
      </c>
      <c r="D3" t="s">
        <v>16733</v>
      </c>
    </row>
    <row r="4" spans="1:4" x14ac:dyDescent="0.35">
      <c r="A4" s="11" t="s">
        <v>125</v>
      </c>
      <c r="B4" s="12">
        <v>5</v>
      </c>
      <c r="C4" s="1">
        <v>0.38</v>
      </c>
      <c r="D4" s="12">
        <v>2</v>
      </c>
    </row>
    <row r="5" spans="1:4" x14ac:dyDescent="0.35">
      <c r="A5" s="11" t="s">
        <v>44</v>
      </c>
      <c r="B5" s="12">
        <v>3</v>
      </c>
      <c r="C5" s="1">
        <v>0.34</v>
      </c>
      <c r="D5" s="12">
        <v>2</v>
      </c>
    </row>
    <row r="6" spans="1:4" x14ac:dyDescent="0.35">
      <c r="A6" s="11" t="s">
        <v>6</v>
      </c>
      <c r="B6" s="12">
        <v>5</v>
      </c>
      <c r="C6" s="1">
        <v>0.38</v>
      </c>
      <c r="D6" s="12">
        <v>2</v>
      </c>
    </row>
    <row r="7" spans="1:4" x14ac:dyDescent="0.35">
      <c r="A7" s="11" t="s">
        <v>95</v>
      </c>
      <c r="B7" s="12">
        <v>11</v>
      </c>
      <c r="C7" s="1">
        <v>0.32</v>
      </c>
      <c r="D7" s="12">
        <v>2</v>
      </c>
    </row>
    <row r="8" spans="1:4" x14ac:dyDescent="0.35">
      <c r="A8" s="11" t="s">
        <v>105</v>
      </c>
      <c r="B8" s="12">
        <v>3</v>
      </c>
      <c r="C8" s="1">
        <v>0.34</v>
      </c>
      <c r="D8" s="12">
        <v>2</v>
      </c>
    </row>
    <row r="9" spans="1:4" x14ac:dyDescent="0.35">
      <c r="A9" s="11" t="s">
        <v>194</v>
      </c>
      <c r="B9" s="12">
        <v>15</v>
      </c>
      <c r="C9" s="1">
        <v>0.49</v>
      </c>
      <c r="D9" s="12">
        <v>2</v>
      </c>
    </row>
    <row r="10" spans="1:4" x14ac:dyDescent="0.35">
      <c r="A10" s="11" t="s">
        <v>177</v>
      </c>
      <c r="B10" s="12">
        <v>23</v>
      </c>
      <c r="C10" s="1">
        <v>0.27</v>
      </c>
      <c r="D10" s="12">
        <v>2</v>
      </c>
    </row>
    <row r="11" spans="1:4" x14ac:dyDescent="0.35">
      <c r="A11" s="11" t="s">
        <v>38</v>
      </c>
      <c r="B11" s="12">
        <v>11</v>
      </c>
      <c r="C11" s="1">
        <v>0.45</v>
      </c>
      <c r="D11" s="12">
        <v>2</v>
      </c>
    </row>
    <row r="12" spans="1:4" x14ac:dyDescent="0.35">
      <c r="A12" s="11" t="s">
        <v>30</v>
      </c>
      <c r="B12" s="12">
        <v>4</v>
      </c>
      <c r="C12" s="1">
        <v>0.24</v>
      </c>
      <c r="D12" s="12">
        <v>2</v>
      </c>
    </row>
    <row r="13" spans="1:4" x14ac:dyDescent="0.35">
      <c r="A13" s="11" t="s">
        <v>304</v>
      </c>
      <c r="B13" s="12">
        <v>23</v>
      </c>
      <c r="C13" s="1">
        <v>0.24</v>
      </c>
      <c r="D13" s="12">
        <v>2</v>
      </c>
    </row>
    <row r="14" spans="1:4" x14ac:dyDescent="0.35">
      <c r="A14" s="11" t="s">
        <v>251</v>
      </c>
      <c r="B14" s="12">
        <v>23</v>
      </c>
      <c r="C14" s="1">
        <v>0.02</v>
      </c>
      <c r="D14" s="12">
        <v>2</v>
      </c>
    </row>
    <row r="15" spans="1:4" x14ac:dyDescent="0.35">
      <c r="A15" s="11" t="s">
        <v>26</v>
      </c>
      <c r="B15" s="12">
        <v>10</v>
      </c>
      <c r="C15" s="1">
        <v>0.09</v>
      </c>
      <c r="D15" s="12">
        <v>2</v>
      </c>
    </row>
    <row r="16" spans="1:4" x14ac:dyDescent="0.35">
      <c r="A16" s="11" t="s">
        <v>301</v>
      </c>
      <c r="B16" s="12">
        <v>23</v>
      </c>
      <c r="C16" s="1">
        <v>0.01</v>
      </c>
      <c r="D16" s="12">
        <v>2</v>
      </c>
    </row>
    <row r="17" spans="1:4" x14ac:dyDescent="0.35">
      <c r="A17" s="11" t="s">
        <v>278</v>
      </c>
      <c r="B17" s="12">
        <v>23</v>
      </c>
      <c r="C17" s="1">
        <v>0.5</v>
      </c>
      <c r="D17" s="12">
        <v>2</v>
      </c>
    </row>
    <row r="18" spans="1:4" x14ac:dyDescent="0.35">
      <c r="A18" s="11" t="s">
        <v>151</v>
      </c>
      <c r="B18" s="12">
        <v>23</v>
      </c>
      <c r="C18" s="1">
        <v>0.38</v>
      </c>
      <c r="D18" s="12">
        <v>2</v>
      </c>
    </row>
    <row r="19" spans="1:4" x14ac:dyDescent="0.35">
      <c r="A19" s="11" t="s">
        <v>232</v>
      </c>
      <c r="B19" s="12">
        <v>23</v>
      </c>
      <c r="C19" s="1">
        <v>0.47</v>
      </c>
      <c r="D19" s="12">
        <v>2</v>
      </c>
    </row>
    <row r="20" spans="1:4" x14ac:dyDescent="0.35">
      <c r="A20" s="11" t="s">
        <v>212</v>
      </c>
      <c r="B20" s="12">
        <v>13</v>
      </c>
      <c r="C20" s="1">
        <v>0.39</v>
      </c>
      <c r="D20" s="12">
        <v>2</v>
      </c>
    </row>
    <row r="21" spans="1:4" x14ac:dyDescent="0.35">
      <c r="A21" s="11" t="s">
        <v>209</v>
      </c>
      <c r="B21" s="12">
        <v>19</v>
      </c>
      <c r="C21" s="1">
        <v>0.5</v>
      </c>
      <c r="D21" s="12">
        <v>2</v>
      </c>
    </row>
    <row r="22" spans="1:4" x14ac:dyDescent="0.35">
      <c r="A22" s="11" t="s">
        <v>68</v>
      </c>
      <c r="B22" s="12">
        <v>4</v>
      </c>
      <c r="C22" s="1">
        <v>0.49</v>
      </c>
      <c r="D22" s="12">
        <v>2</v>
      </c>
    </row>
    <row r="23" spans="1:4" x14ac:dyDescent="0.35">
      <c r="A23" s="11" t="s">
        <v>235</v>
      </c>
      <c r="B23" s="12">
        <v>23</v>
      </c>
      <c r="C23" s="1">
        <v>0.43</v>
      </c>
      <c r="D23" s="12">
        <v>2</v>
      </c>
    </row>
    <row r="24" spans="1:4" x14ac:dyDescent="0.35">
      <c r="A24" s="11" t="s">
        <v>71</v>
      </c>
      <c r="B24" s="12">
        <v>12</v>
      </c>
      <c r="C24" s="1">
        <v>0.53</v>
      </c>
      <c r="D24" s="12">
        <v>2</v>
      </c>
    </row>
    <row r="25" spans="1:4" x14ac:dyDescent="0.35">
      <c r="A25" s="11" t="s">
        <v>284</v>
      </c>
      <c r="B25" s="12">
        <v>23</v>
      </c>
      <c r="C25" s="1">
        <v>0.49</v>
      </c>
      <c r="D25" s="12">
        <v>2</v>
      </c>
    </row>
    <row r="26" spans="1:4" x14ac:dyDescent="0.35">
      <c r="A26" s="11" t="s">
        <v>47</v>
      </c>
      <c r="B26" s="12">
        <v>2</v>
      </c>
      <c r="C26" s="1">
        <v>0.47</v>
      </c>
      <c r="D26" s="12">
        <v>2</v>
      </c>
    </row>
    <row r="27" spans="1:4" x14ac:dyDescent="0.35">
      <c r="A27" s="11" t="s">
        <v>131</v>
      </c>
      <c r="B27" s="12">
        <v>23</v>
      </c>
      <c r="C27" s="1">
        <v>0.49</v>
      </c>
      <c r="D27" s="12">
        <v>2</v>
      </c>
    </row>
    <row r="28" spans="1:4" x14ac:dyDescent="0.35">
      <c r="A28" s="11" t="s">
        <v>75</v>
      </c>
      <c r="B28" s="12">
        <v>23</v>
      </c>
      <c r="C28" s="1">
        <v>0.42</v>
      </c>
      <c r="D28" s="12">
        <v>2</v>
      </c>
    </row>
    <row r="29" spans="1:4" x14ac:dyDescent="0.35">
      <c r="A29" s="11" t="s">
        <v>182</v>
      </c>
      <c r="B29" s="12">
        <v>18</v>
      </c>
      <c r="C29" s="1">
        <v>0.13</v>
      </c>
      <c r="D29" s="12">
        <v>2</v>
      </c>
    </row>
    <row r="30" spans="1:4" x14ac:dyDescent="0.35">
      <c r="A30" s="11" t="s">
        <v>97</v>
      </c>
      <c r="B30" s="12">
        <v>9</v>
      </c>
      <c r="C30" s="1">
        <v>0.3</v>
      </c>
      <c r="D30" s="12">
        <v>2</v>
      </c>
    </row>
    <row r="31" spans="1:4" x14ac:dyDescent="0.35">
      <c r="A31" s="11" t="s">
        <v>114</v>
      </c>
      <c r="B31" s="12">
        <v>5</v>
      </c>
      <c r="C31" s="1">
        <v>0.27</v>
      </c>
      <c r="D31" s="12">
        <v>2</v>
      </c>
    </row>
    <row r="32" spans="1:4" x14ac:dyDescent="0.35">
      <c r="A32" s="11" t="s">
        <v>111</v>
      </c>
      <c r="B32" s="12">
        <v>3</v>
      </c>
      <c r="C32" s="1">
        <v>0.27</v>
      </c>
      <c r="D32" s="12">
        <v>2</v>
      </c>
    </row>
    <row r="33" spans="1:4" x14ac:dyDescent="0.35">
      <c r="A33" s="11" t="s">
        <v>248</v>
      </c>
      <c r="B33" s="12">
        <v>23</v>
      </c>
      <c r="C33" s="1">
        <v>0.36</v>
      </c>
      <c r="D33" s="12">
        <v>2</v>
      </c>
    </row>
    <row r="34" spans="1:4" x14ac:dyDescent="0.35">
      <c r="A34" s="11" t="s">
        <v>190</v>
      </c>
      <c r="B34" s="12">
        <v>21</v>
      </c>
      <c r="C34" s="1">
        <v>0.55000000000000004</v>
      </c>
      <c r="D34" s="12">
        <v>2</v>
      </c>
    </row>
    <row r="35" spans="1:4" x14ac:dyDescent="0.35">
      <c r="A35" s="11" t="s">
        <v>316</v>
      </c>
      <c r="B35" s="12">
        <v>23</v>
      </c>
      <c r="C35" s="1">
        <v>0.64</v>
      </c>
      <c r="D35" s="12">
        <v>2</v>
      </c>
    </row>
    <row r="36" spans="1:4" x14ac:dyDescent="0.35">
      <c r="A36" s="11" t="s">
        <v>277</v>
      </c>
      <c r="B36" s="12">
        <v>23</v>
      </c>
      <c r="C36" s="1">
        <v>0.47</v>
      </c>
      <c r="D36" s="12">
        <v>2</v>
      </c>
    </row>
    <row r="37" spans="1:4" x14ac:dyDescent="0.35">
      <c r="A37" s="11" t="s">
        <v>145</v>
      </c>
      <c r="B37" s="12">
        <v>23</v>
      </c>
      <c r="C37" s="1">
        <v>0.33</v>
      </c>
      <c r="D37" s="12">
        <v>2</v>
      </c>
    </row>
    <row r="38" spans="1:4" x14ac:dyDescent="0.35">
      <c r="A38" s="11" t="s">
        <v>240</v>
      </c>
      <c r="B38" s="12">
        <v>23</v>
      </c>
      <c r="C38" s="1">
        <v>0.49</v>
      </c>
      <c r="D38" s="12">
        <v>2</v>
      </c>
    </row>
    <row r="39" spans="1:4" x14ac:dyDescent="0.35">
      <c r="A39" s="11" t="s">
        <v>227</v>
      </c>
      <c r="B39" s="12">
        <v>20</v>
      </c>
      <c r="C39" s="1">
        <v>0.47</v>
      </c>
      <c r="D39" s="12">
        <v>2</v>
      </c>
    </row>
    <row r="40" spans="1:4" x14ac:dyDescent="0.35">
      <c r="A40" s="11" t="s">
        <v>292</v>
      </c>
      <c r="B40" s="12">
        <v>23</v>
      </c>
      <c r="C40" s="1">
        <v>0.42</v>
      </c>
      <c r="D40" s="12">
        <v>2</v>
      </c>
    </row>
    <row r="41" spans="1:4" x14ac:dyDescent="0.35">
      <c r="A41" s="11" t="s">
        <v>298</v>
      </c>
      <c r="B41" s="12">
        <v>23</v>
      </c>
      <c r="C41" s="1">
        <v>0.41</v>
      </c>
      <c r="D41" s="12">
        <v>2</v>
      </c>
    </row>
    <row r="42" spans="1:4" x14ac:dyDescent="0.35">
      <c r="A42" s="11" t="s">
        <v>215</v>
      </c>
      <c r="B42" s="12">
        <v>17</v>
      </c>
      <c r="C42" s="1">
        <v>0.45</v>
      </c>
      <c r="D42" s="12">
        <v>2</v>
      </c>
    </row>
    <row r="43" spans="1:4" x14ac:dyDescent="0.35">
      <c r="A43" s="11" t="s">
        <v>175</v>
      </c>
      <c r="B43" s="12">
        <v>23</v>
      </c>
      <c r="C43" s="1">
        <v>0.98</v>
      </c>
      <c r="D43" s="12">
        <v>1</v>
      </c>
    </row>
    <row r="44" spans="1:4" x14ac:dyDescent="0.35">
      <c r="A44" s="11" t="s">
        <v>56</v>
      </c>
      <c r="B44" s="12">
        <v>1</v>
      </c>
      <c r="C44" s="1">
        <v>0.51</v>
      </c>
      <c r="D44" s="12">
        <v>2</v>
      </c>
    </row>
    <row r="45" spans="1:4" x14ac:dyDescent="0.35">
      <c r="A45" s="11" t="s">
        <v>206</v>
      </c>
      <c r="B45" s="12">
        <v>20</v>
      </c>
      <c r="C45" s="1">
        <v>0.45</v>
      </c>
      <c r="D45" s="12">
        <v>2</v>
      </c>
    </row>
    <row r="46" spans="1:4" x14ac:dyDescent="0.35">
      <c r="A46" s="11" t="s">
        <v>289</v>
      </c>
      <c r="B46" s="12">
        <v>23</v>
      </c>
      <c r="C46" s="1">
        <v>0.49</v>
      </c>
      <c r="D46" s="12">
        <v>2</v>
      </c>
    </row>
    <row r="47" spans="1:4" x14ac:dyDescent="0.35">
      <c r="A47" s="11" t="s">
        <v>137</v>
      </c>
      <c r="B47" s="12">
        <v>23</v>
      </c>
      <c r="C47" s="1">
        <v>0.42</v>
      </c>
      <c r="D47" s="12">
        <v>2</v>
      </c>
    </row>
    <row r="48" spans="1:4" x14ac:dyDescent="0.35">
      <c r="A48" s="11" t="s">
        <v>245</v>
      </c>
      <c r="B48" s="12">
        <v>1</v>
      </c>
      <c r="C48" s="1">
        <v>0.49</v>
      </c>
      <c r="D48" s="12">
        <v>2</v>
      </c>
    </row>
    <row r="49" spans="1:4" x14ac:dyDescent="0.35">
      <c r="A49" s="11" t="s">
        <v>320</v>
      </c>
      <c r="B49" s="12">
        <v>23</v>
      </c>
      <c r="C49" s="1">
        <v>0.47</v>
      </c>
      <c r="D49" s="12">
        <v>2</v>
      </c>
    </row>
    <row r="50" spans="1:4" x14ac:dyDescent="0.35">
      <c r="A50" s="11" t="s">
        <v>157</v>
      </c>
      <c r="B50" s="12">
        <v>23</v>
      </c>
      <c r="C50" s="1">
        <v>0.5</v>
      </c>
      <c r="D50" s="12">
        <v>2</v>
      </c>
    </row>
    <row r="51" spans="1:4" x14ac:dyDescent="0.35">
      <c r="A51" s="11" t="s">
        <v>148</v>
      </c>
      <c r="B51" s="12">
        <v>23</v>
      </c>
      <c r="C51" s="1">
        <v>0.49</v>
      </c>
      <c r="D51" s="12">
        <v>2</v>
      </c>
    </row>
    <row r="52" spans="1:4" x14ac:dyDescent="0.35">
      <c r="A52" s="11" t="s">
        <v>258</v>
      </c>
      <c r="B52" s="12">
        <v>23</v>
      </c>
      <c r="C52" s="1">
        <v>0.49</v>
      </c>
      <c r="D52" s="12">
        <v>2</v>
      </c>
    </row>
    <row r="53" spans="1:4" x14ac:dyDescent="0.35">
      <c r="A53" s="11" t="s">
        <v>310</v>
      </c>
      <c r="B53" s="12">
        <v>23</v>
      </c>
      <c r="C53" s="1">
        <v>0.34</v>
      </c>
      <c r="D53" s="12">
        <v>2</v>
      </c>
    </row>
    <row r="54" spans="1:4" x14ac:dyDescent="0.35">
      <c r="A54" s="11" t="s">
        <v>143</v>
      </c>
      <c r="B54" s="12">
        <v>23</v>
      </c>
      <c r="C54" s="1">
        <v>0.5</v>
      </c>
      <c r="D54" s="12">
        <v>2</v>
      </c>
    </row>
    <row r="55" spans="1:4" x14ac:dyDescent="0.35">
      <c r="A55" s="11" t="s">
        <v>173</v>
      </c>
      <c r="B55" s="12">
        <v>23</v>
      </c>
      <c r="C55" s="1">
        <v>0.48</v>
      </c>
      <c r="D55" s="12">
        <v>2</v>
      </c>
    </row>
    <row r="56" spans="1:4" x14ac:dyDescent="0.35">
      <c r="A56" s="11" t="s">
        <v>120</v>
      </c>
      <c r="B56" s="12">
        <v>1</v>
      </c>
      <c r="C56" s="1">
        <v>0.53</v>
      </c>
      <c r="D56" s="12">
        <v>2</v>
      </c>
    </row>
    <row r="57" spans="1:4" x14ac:dyDescent="0.35">
      <c r="A57" s="11" t="s">
        <v>154</v>
      </c>
      <c r="B57" s="12">
        <v>23</v>
      </c>
      <c r="C57" s="1">
        <v>1.1000000000000001</v>
      </c>
      <c r="D57" s="12">
        <v>1</v>
      </c>
    </row>
    <row r="58" spans="1:4" x14ac:dyDescent="0.35">
      <c r="A58" s="11" t="s">
        <v>237</v>
      </c>
      <c r="B58" s="12">
        <v>23</v>
      </c>
      <c r="C58" s="1">
        <v>0.04</v>
      </c>
      <c r="D58" s="12">
        <v>2</v>
      </c>
    </row>
    <row r="59" spans="1:4" x14ac:dyDescent="0.35">
      <c r="A59" s="11" t="s">
        <v>168</v>
      </c>
      <c r="B59" s="12">
        <v>23</v>
      </c>
      <c r="C59" s="1">
        <v>0.41</v>
      </c>
      <c r="D59" s="12">
        <v>2</v>
      </c>
    </row>
    <row r="60" spans="1:4" x14ac:dyDescent="0.35">
      <c r="A60" s="11" t="s">
        <v>33</v>
      </c>
      <c r="B60" s="12">
        <v>10</v>
      </c>
      <c r="C60" s="1">
        <v>0.37</v>
      </c>
      <c r="D60" s="12">
        <v>2</v>
      </c>
    </row>
    <row r="61" spans="1:4" x14ac:dyDescent="0.35">
      <c r="A61" s="11" t="s">
        <v>117</v>
      </c>
      <c r="B61" s="12">
        <v>1</v>
      </c>
      <c r="C61" s="1">
        <v>0.4</v>
      </c>
      <c r="D61" s="12">
        <v>2</v>
      </c>
    </row>
    <row r="62" spans="1:4" x14ac:dyDescent="0.35">
      <c r="A62" s="11" t="s">
        <v>229</v>
      </c>
      <c r="B62" s="12">
        <v>21</v>
      </c>
      <c r="C62" s="1">
        <v>0.47</v>
      </c>
      <c r="D62" s="12">
        <v>2</v>
      </c>
    </row>
    <row r="63" spans="1:4" x14ac:dyDescent="0.35">
      <c r="A63" s="11" t="s">
        <v>89</v>
      </c>
      <c r="B63" s="12">
        <v>4</v>
      </c>
      <c r="C63" s="1">
        <v>0.35</v>
      </c>
      <c r="D63" s="12">
        <v>2</v>
      </c>
    </row>
    <row r="64" spans="1:4" x14ac:dyDescent="0.35">
      <c r="A64" s="11" t="s">
        <v>102</v>
      </c>
      <c r="B64" s="12">
        <v>7</v>
      </c>
      <c r="C64" s="1">
        <v>0.52</v>
      </c>
      <c r="D64" s="12">
        <v>2</v>
      </c>
    </row>
    <row r="65" spans="1:4" x14ac:dyDescent="0.35">
      <c r="A65" s="11" t="s">
        <v>81</v>
      </c>
      <c r="B65" s="12">
        <v>6</v>
      </c>
      <c r="C65" s="1">
        <v>0.23</v>
      </c>
      <c r="D65" s="12">
        <v>2</v>
      </c>
    </row>
    <row r="66" spans="1:4" x14ac:dyDescent="0.35">
      <c r="A66" s="11" t="s">
        <v>42</v>
      </c>
      <c r="B66" s="12">
        <v>9</v>
      </c>
      <c r="C66" s="1">
        <v>0.2</v>
      </c>
      <c r="D66" s="12">
        <v>2</v>
      </c>
    </row>
    <row r="67" spans="1:4" x14ac:dyDescent="0.35">
      <c r="A67" s="11" t="s">
        <v>253</v>
      </c>
      <c r="B67" s="12">
        <v>10</v>
      </c>
      <c r="C67" s="1">
        <v>0.49</v>
      </c>
      <c r="D67" s="12">
        <v>2</v>
      </c>
    </row>
    <row r="68" spans="1:4" x14ac:dyDescent="0.35">
      <c r="A68" s="11" t="s">
        <v>198</v>
      </c>
      <c r="B68" s="12">
        <v>16</v>
      </c>
      <c r="C68" s="1">
        <v>0.52</v>
      </c>
      <c r="D68" s="12">
        <v>2</v>
      </c>
    </row>
    <row r="69" spans="1:4" x14ac:dyDescent="0.35">
      <c r="A69" s="11" t="s">
        <v>295</v>
      </c>
      <c r="B69" s="12">
        <v>1</v>
      </c>
      <c r="C69" s="1">
        <v>0.21</v>
      </c>
      <c r="D69" s="12">
        <v>2</v>
      </c>
    </row>
    <row r="70" spans="1:4" x14ac:dyDescent="0.35">
      <c r="A70" s="11" t="s">
        <v>218</v>
      </c>
      <c r="B70" s="12">
        <v>13</v>
      </c>
      <c r="C70" s="1">
        <v>0.28999999999999998</v>
      </c>
      <c r="D70" s="12">
        <v>2</v>
      </c>
    </row>
    <row r="71" spans="1:4" x14ac:dyDescent="0.35">
      <c r="A71" s="11" t="s">
        <v>85</v>
      </c>
      <c r="B71" s="12">
        <v>7</v>
      </c>
      <c r="C71" s="1">
        <v>0.54</v>
      </c>
      <c r="D71" s="12">
        <v>2</v>
      </c>
    </row>
    <row r="72" spans="1:4" x14ac:dyDescent="0.35">
      <c r="A72" s="11" t="s">
        <v>63</v>
      </c>
      <c r="B72" s="12">
        <v>1</v>
      </c>
      <c r="C72" s="1">
        <v>0.49</v>
      </c>
      <c r="D72" s="12">
        <v>2</v>
      </c>
    </row>
    <row r="73" spans="1:4" x14ac:dyDescent="0.35">
      <c r="A73" s="11" t="s">
        <v>50</v>
      </c>
      <c r="B73" s="12">
        <v>5</v>
      </c>
      <c r="C73" s="1">
        <v>0.42</v>
      </c>
      <c r="D73" s="12">
        <v>2</v>
      </c>
    </row>
    <row r="74" spans="1:4" x14ac:dyDescent="0.35">
      <c r="A74" s="11" t="s">
        <v>35</v>
      </c>
      <c r="B74" s="12">
        <v>2</v>
      </c>
      <c r="C74" s="1">
        <v>0.55000000000000004</v>
      </c>
      <c r="D74" s="12">
        <v>2</v>
      </c>
    </row>
    <row r="75" spans="1:4" x14ac:dyDescent="0.35">
      <c r="A75" s="11" t="s">
        <v>128</v>
      </c>
      <c r="B75" s="12">
        <v>23</v>
      </c>
      <c r="C75" s="1">
        <v>0.38</v>
      </c>
      <c r="D75" s="12">
        <v>2</v>
      </c>
    </row>
    <row r="76" spans="1:4" x14ac:dyDescent="0.35">
      <c r="A76" s="11" t="s">
        <v>108</v>
      </c>
      <c r="B76" s="12">
        <v>7</v>
      </c>
      <c r="C76" s="1">
        <v>0.48</v>
      </c>
      <c r="D76" s="12">
        <v>2</v>
      </c>
    </row>
    <row r="77" spans="1:4" x14ac:dyDescent="0.35">
      <c r="A77" s="11" t="s">
        <v>78</v>
      </c>
      <c r="B77" s="12">
        <v>10</v>
      </c>
      <c r="C77" s="1">
        <v>0.35</v>
      </c>
      <c r="D77" s="12">
        <v>2</v>
      </c>
    </row>
    <row r="78" spans="1:4" x14ac:dyDescent="0.35">
      <c r="A78" s="11" t="s">
        <v>307</v>
      </c>
      <c r="B78" s="12">
        <v>23</v>
      </c>
      <c r="C78" s="1">
        <v>0.34</v>
      </c>
      <c r="D78" s="12">
        <v>2</v>
      </c>
    </row>
    <row r="79" spans="1:4" x14ac:dyDescent="0.35">
      <c r="A79" s="11" t="s">
        <v>66</v>
      </c>
      <c r="B79" s="12">
        <v>4</v>
      </c>
      <c r="C79" s="1">
        <v>0.19</v>
      </c>
      <c r="D79" s="12">
        <v>2</v>
      </c>
    </row>
    <row r="80" spans="1:4" x14ac:dyDescent="0.35">
      <c r="A80" s="11" t="s">
        <v>243</v>
      </c>
      <c r="B80" s="12">
        <v>13</v>
      </c>
      <c r="C80" s="1">
        <v>0.46</v>
      </c>
      <c r="D80" s="12">
        <v>2</v>
      </c>
    </row>
    <row r="81" spans="1:4" x14ac:dyDescent="0.35">
      <c r="A81" s="11" t="s">
        <v>10</v>
      </c>
      <c r="B81" s="12">
        <v>9</v>
      </c>
      <c r="C81" s="1">
        <v>0.47</v>
      </c>
      <c r="D81" s="12">
        <v>2</v>
      </c>
    </row>
    <row r="82" spans="1:4" x14ac:dyDescent="0.35">
      <c r="A82" s="11" t="s">
        <v>287</v>
      </c>
      <c r="B82" s="12">
        <v>23</v>
      </c>
      <c r="C82" s="1">
        <v>0.04</v>
      </c>
      <c r="D82" s="12">
        <v>2</v>
      </c>
    </row>
    <row r="83" spans="1:4" x14ac:dyDescent="0.35">
      <c r="A83" s="11" t="s">
        <v>134</v>
      </c>
      <c r="B83" s="12">
        <v>23</v>
      </c>
      <c r="C83" s="1">
        <v>0.5</v>
      </c>
      <c r="D83" s="12">
        <v>2</v>
      </c>
    </row>
    <row r="84" spans="1:4" x14ac:dyDescent="0.35">
      <c r="A84" s="11" t="s">
        <v>53</v>
      </c>
      <c r="B84" s="12">
        <v>8</v>
      </c>
      <c r="C84" s="1">
        <v>0.33</v>
      </c>
      <c r="D84" s="12">
        <v>2</v>
      </c>
    </row>
    <row r="85" spans="1:4" x14ac:dyDescent="0.35">
      <c r="A85" s="11" t="s">
        <v>266</v>
      </c>
      <c r="B85" s="12">
        <v>23</v>
      </c>
      <c r="C85" s="1">
        <v>0.43</v>
      </c>
      <c r="D85" s="12">
        <v>2</v>
      </c>
    </row>
    <row r="86" spans="1:4" x14ac:dyDescent="0.35">
      <c r="A86" s="11" t="s">
        <v>99</v>
      </c>
      <c r="B86" s="12">
        <v>23</v>
      </c>
      <c r="C86" s="1">
        <v>0.46</v>
      </c>
      <c r="D86" s="12">
        <v>2</v>
      </c>
    </row>
    <row r="87" spans="1:4" x14ac:dyDescent="0.35">
      <c r="A87" s="11" t="s">
        <v>165</v>
      </c>
      <c r="B87" s="12">
        <v>23</v>
      </c>
      <c r="C87" s="1">
        <v>0.03</v>
      </c>
      <c r="D87" s="12">
        <v>2</v>
      </c>
    </row>
    <row r="88" spans="1:4" x14ac:dyDescent="0.35">
      <c r="A88" s="11" t="s">
        <v>186</v>
      </c>
      <c r="B88" s="12">
        <v>13</v>
      </c>
      <c r="C88" s="1">
        <v>0.54</v>
      </c>
      <c r="D88" s="12">
        <v>2</v>
      </c>
    </row>
    <row r="89" spans="1:4" x14ac:dyDescent="0.35">
      <c r="A89" s="11" t="s">
        <v>256</v>
      </c>
      <c r="B89" s="12">
        <v>23</v>
      </c>
      <c r="C89" s="1">
        <v>0.14000000000000001</v>
      </c>
      <c r="D89" s="12">
        <v>2</v>
      </c>
    </row>
    <row r="90" spans="1:4" x14ac:dyDescent="0.35">
      <c r="A90" s="11" t="s">
        <v>261</v>
      </c>
      <c r="B90" s="12">
        <v>23</v>
      </c>
      <c r="C90" s="1">
        <v>0.11</v>
      </c>
      <c r="D90" s="12">
        <v>2</v>
      </c>
    </row>
    <row r="91" spans="1:4" x14ac:dyDescent="0.35">
      <c r="A91" s="11" t="s">
        <v>60</v>
      </c>
      <c r="B91" s="12">
        <v>1</v>
      </c>
      <c r="C91" s="1">
        <v>0.46</v>
      </c>
      <c r="D91" s="12">
        <v>2</v>
      </c>
    </row>
    <row r="92" spans="1:4" x14ac:dyDescent="0.35">
      <c r="A92" s="11" t="s">
        <v>160</v>
      </c>
      <c r="B92" s="12">
        <v>23</v>
      </c>
      <c r="C92" s="1">
        <v>0.02</v>
      </c>
      <c r="D92" s="12">
        <v>2</v>
      </c>
    </row>
    <row r="93" spans="1:4" x14ac:dyDescent="0.35">
      <c r="A93" s="11" t="s">
        <v>163</v>
      </c>
      <c r="B93" s="12">
        <v>23</v>
      </c>
      <c r="C93" s="1">
        <v>0.22</v>
      </c>
      <c r="D93" s="12">
        <v>2</v>
      </c>
    </row>
    <row r="94" spans="1:4" x14ac:dyDescent="0.35">
      <c r="A94" s="11" t="s">
        <v>22</v>
      </c>
      <c r="B94" s="12">
        <v>2</v>
      </c>
      <c r="C94" s="1">
        <v>0.26</v>
      </c>
      <c r="D94" s="12">
        <v>2</v>
      </c>
    </row>
    <row r="95" spans="1:4" x14ac:dyDescent="0.35">
      <c r="A95" s="11" t="s">
        <v>14</v>
      </c>
      <c r="B95" s="12">
        <v>4</v>
      </c>
      <c r="C95" s="1">
        <v>0.25</v>
      </c>
      <c r="D95" s="12">
        <v>2</v>
      </c>
    </row>
    <row r="96" spans="1:4" x14ac:dyDescent="0.35">
      <c r="A96" s="11" t="s">
        <v>282</v>
      </c>
      <c r="B96" s="12">
        <v>23</v>
      </c>
      <c r="C96" s="1">
        <v>0.02</v>
      </c>
      <c r="D96" s="12">
        <v>2</v>
      </c>
    </row>
    <row r="97" spans="1:4" x14ac:dyDescent="0.35">
      <c r="A97" s="11" t="s">
        <v>92</v>
      </c>
      <c r="B97" s="12">
        <v>11</v>
      </c>
      <c r="C97" s="1">
        <v>0.18</v>
      </c>
      <c r="D97" s="12">
        <v>2</v>
      </c>
    </row>
    <row r="98" spans="1:4" x14ac:dyDescent="0.35">
      <c r="A98" s="11" t="s">
        <v>272</v>
      </c>
      <c r="B98" s="12">
        <v>23</v>
      </c>
      <c r="C98" s="1">
        <v>0.48</v>
      </c>
      <c r="D98" s="12">
        <v>2</v>
      </c>
    </row>
    <row r="99" spans="1:4" x14ac:dyDescent="0.35">
      <c r="A99" s="11" t="s">
        <v>122</v>
      </c>
      <c r="B99" s="12">
        <v>7</v>
      </c>
      <c r="C99" s="1">
        <v>0.41</v>
      </c>
      <c r="D99" s="12">
        <v>2</v>
      </c>
    </row>
    <row r="100" spans="1:4" x14ac:dyDescent="0.35">
      <c r="A100" s="11" t="s">
        <v>274</v>
      </c>
      <c r="B100" s="12">
        <v>23</v>
      </c>
      <c r="C100" s="1">
        <v>0.48</v>
      </c>
      <c r="D100" s="12">
        <v>2</v>
      </c>
    </row>
    <row r="101" spans="1:4" x14ac:dyDescent="0.35">
      <c r="A101" s="11" t="s">
        <v>140</v>
      </c>
      <c r="B101" s="12">
        <v>23</v>
      </c>
      <c r="C101" s="1">
        <v>0.02</v>
      </c>
      <c r="D101" s="12">
        <v>2</v>
      </c>
    </row>
    <row r="102" spans="1:4" x14ac:dyDescent="0.35">
      <c r="A102" s="11" t="s">
        <v>312</v>
      </c>
      <c r="B102" s="12">
        <v>23</v>
      </c>
      <c r="C102" s="1">
        <v>0.02</v>
      </c>
      <c r="D102" s="12">
        <v>2</v>
      </c>
    </row>
    <row r="103" spans="1:4" x14ac:dyDescent="0.35">
      <c r="A103" s="11" t="s">
        <v>170</v>
      </c>
      <c r="B103" s="12">
        <v>23</v>
      </c>
      <c r="C103" s="1">
        <v>1</v>
      </c>
      <c r="D103" s="12">
        <v>1</v>
      </c>
    </row>
    <row r="104" spans="1:4" x14ac:dyDescent="0.35">
      <c r="A104" s="11" t="s">
        <v>314</v>
      </c>
      <c r="B104" s="12">
        <v>23</v>
      </c>
      <c r="C104" s="1">
        <v>0.02</v>
      </c>
      <c r="D104" s="12">
        <v>2</v>
      </c>
    </row>
    <row r="105" spans="1:4" x14ac:dyDescent="0.35">
      <c r="A105" s="11" t="s">
        <v>202</v>
      </c>
      <c r="B105" s="12">
        <v>14</v>
      </c>
      <c r="C105" s="1">
        <v>0.22</v>
      </c>
      <c r="D105" s="12">
        <v>2</v>
      </c>
    </row>
    <row r="106" spans="1:4" x14ac:dyDescent="0.35">
      <c r="A106" s="11" t="s">
        <v>269</v>
      </c>
      <c r="B106" s="12">
        <v>23</v>
      </c>
      <c r="C106" s="1">
        <v>0.5</v>
      </c>
      <c r="D106" s="12">
        <v>2</v>
      </c>
    </row>
    <row r="107" spans="1:4" x14ac:dyDescent="0.35">
      <c r="A107" s="11" t="s">
        <v>280</v>
      </c>
      <c r="B107" s="12">
        <v>23</v>
      </c>
      <c r="C107" s="1">
        <v>0.08</v>
      </c>
      <c r="D107" s="12">
        <v>2</v>
      </c>
    </row>
    <row r="108" spans="1:4" x14ac:dyDescent="0.35">
      <c r="A108" s="11" t="s">
        <v>318</v>
      </c>
      <c r="B108" s="12">
        <v>22</v>
      </c>
      <c r="C108" s="1">
        <v>0.5</v>
      </c>
      <c r="D108" s="12">
        <v>2</v>
      </c>
    </row>
    <row r="109" spans="1:4" x14ac:dyDescent="0.35">
      <c r="A109" s="11" t="s">
        <v>264</v>
      </c>
      <c r="B109" s="12">
        <v>23</v>
      </c>
      <c r="C109" s="1">
        <v>0.14000000000000001</v>
      </c>
      <c r="D109" s="12">
        <v>2</v>
      </c>
    </row>
    <row r="110" spans="1:4" x14ac:dyDescent="0.35">
      <c r="A110" s="11" t="s">
        <v>221</v>
      </c>
      <c r="B110" s="12">
        <v>19</v>
      </c>
      <c r="C110" s="1">
        <v>0.43</v>
      </c>
      <c r="D110" s="12">
        <v>2</v>
      </c>
    </row>
    <row r="111" spans="1:4" x14ac:dyDescent="0.35">
      <c r="A111" s="11" t="s">
        <v>18</v>
      </c>
      <c r="B111" s="12">
        <v>3</v>
      </c>
      <c r="C111" s="1">
        <v>0.37</v>
      </c>
      <c r="D111" s="12">
        <v>2</v>
      </c>
    </row>
    <row r="112" spans="1:4" x14ac:dyDescent="0.35">
      <c r="A112" s="11" t="s">
        <v>224</v>
      </c>
      <c r="B112" s="12">
        <v>13</v>
      </c>
      <c r="C112" s="1">
        <v>0.43</v>
      </c>
      <c r="D112" s="12">
        <v>2</v>
      </c>
    </row>
    <row r="113" spans="1:4" x14ac:dyDescent="0.35">
      <c r="A113" s="11" t="s">
        <v>16724</v>
      </c>
      <c r="B113" s="12"/>
      <c r="C113" s="1">
        <v>41.189999999999991</v>
      </c>
      <c r="D113" s="12"/>
    </row>
  </sheetData>
  <sortState xmlns:xlrd2="http://schemas.microsoft.com/office/spreadsheetml/2017/richdata2" columnSort="1" ref="A3:D113">
    <sortCondition descending="1" ref="C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3867-7BF9-49C1-AC7C-309F8806557C}">
  <dimension ref="A3:B50"/>
  <sheetViews>
    <sheetView workbookViewId="0">
      <selection sqref="A1:A1048576"/>
    </sheetView>
  </sheetViews>
  <sheetFormatPr defaultRowHeight="14.5" x14ac:dyDescent="0.35"/>
  <cols>
    <col min="1" max="1" width="12.453125" bestFit="1" customWidth="1"/>
    <col min="2" max="2" width="14.36328125" bestFit="1" customWidth="1"/>
  </cols>
  <sheetData>
    <row r="3" spans="1:2" x14ac:dyDescent="0.35">
      <c r="A3" s="10" t="s">
        <v>16722</v>
      </c>
      <c r="B3" t="s">
        <v>16733</v>
      </c>
    </row>
    <row r="4" spans="1:2" x14ac:dyDescent="0.35">
      <c r="A4" s="13">
        <v>0.01</v>
      </c>
      <c r="B4" s="12">
        <v>1</v>
      </c>
    </row>
    <row r="5" spans="1:2" x14ac:dyDescent="0.35">
      <c r="A5" s="13">
        <v>0.02</v>
      </c>
      <c r="B5" s="12">
        <v>6</v>
      </c>
    </row>
    <row r="6" spans="1:2" x14ac:dyDescent="0.35">
      <c r="A6" s="13">
        <v>0.03</v>
      </c>
      <c r="B6" s="12">
        <v>1</v>
      </c>
    </row>
    <row r="7" spans="1:2" x14ac:dyDescent="0.35">
      <c r="A7" s="13">
        <v>0.04</v>
      </c>
      <c r="B7" s="12">
        <v>2</v>
      </c>
    </row>
    <row r="8" spans="1:2" x14ac:dyDescent="0.35">
      <c r="A8" s="13">
        <v>0.08</v>
      </c>
      <c r="B8" s="12">
        <v>1</v>
      </c>
    </row>
    <row r="9" spans="1:2" x14ac:dyDescent="0.35">
      <c r="A9" s="13">
        <v>0.09</v>
      </c>
      <c r="B9" s="12">
        <v>1</v>
      </c>
    </row>
    <row r="10" spans="1:2" x14ac:dyDescent="0.35">
      <c r="A10" s="13">
        <v>0.11</v>
      </c>
      <c r="B10" s="12">
        <v>1</v>
      </c>
    </row>
    <row r="11" spans="1:2" x14ac:dyDescent="0.35">
      <c r="A11" s="13">
        <v>0.13</v>
      </c>
      <c r="B11" s="12">
        <v>1</v>
      </c>
    </row>
    <row r="12" spans="1:2" x14ac:dyDescent="0.35">
      <c r="A12" s="13">
        <v>0.14000000000000001</v>
      </c>
      <c r="B12" s="12">
        <v>2</v>
      </c>
    </row>
    <row r="13" spans="1:2" x14ac:dyDescent="0.35">
      <c r="A13" s="13">
        <v>0.18</v>
      </c>
      <c r="B13" s="12">
        <v>1</v>
      </c>
    </row>
    <row r="14" spans="1:2" x14ac:dyDescent="0.35">
      <c r="A14" s="13">
        <v>0.19</v>
      </c>
      <c r="B14" s="12">
        <v>1</v>
      </c>
    </row>
    <row r="15" spans="1:2" x14ac:dyDescent="0.35">
      <c r="A15" s="13">
        <v>0.2</v>
      </c>
      <c r="B15" s="12">
        <v>1</v>
      </c>
    </row>
    <row r="16" spans="1:2" x14ac:dyDescent="0.35">
      <c r="A16" s="13">
        <v>0.21</v>
      </c>
      <c r="B16" s="12">
        <v>1</v>
      </c>
    </row>
    <row r="17" spans="1:2" x14ac:dyDescent="0.35">
      <c r="A17" s="13">
        <v>0.22</v>
      </c>
      <c r="B17" s="12">
        <v>2</v>
      </c>
    </row>
    <row r="18" spans="1:2" x14ac:dyDescent="0.35">
      <c r="A18" s="13">
        <v>0.23</v>
      </c>
      <c r="B18" s="12">
        <v>1</v>
      </c>
    </row>
    <row r="19" spans="1:2" x14ac:dyDescent="0.35">
      <c r="A19" s="13">
        <v>0.24</v>
      </c>
      <c r="B19" s="12">
        <v>2</v>
      </c>
    </row>
    <row r="20" spans="1:2" x14ac:dyDescent="0.35">
      <c r="A20" s="13">
        <v>0.25</v>
      </c>
      <c r="B20" s="12">
        <v>1</v>
      </c>
    </row>
    <row r="21" spans="1:2" x14ac:dyDescent="0.35">
      <c r="A21" s="13">
        <v>0.26</v>
      </c>
      <c r="B21" s="12">
        <v>1</v>
      </c>
    </row>
    <row r="22" spans="1:2" x14ac:dyDescent="0.35">
      <c r="A22" s="13">
        <v>0.27</v>
      </c>
      <c r="B22" s="12">
        <v>3</v>
      </c>
    </row>
    <row r="23" spans="1:2" x14ac:dyDescent="0.35">
      <c r="A23" s="13">
        <v>0.28999999999999998</v>
      </c>
      <c r="B23" s="12">
        <v>1</v>
      </c>
    </row>
    <row r="24" spans="1:2" x14ac:dyDescent="0.35">
      <c r="A24" s="13">
        <v>0.3</v>
      </c>
      <c r="B24" s="12">
        <v>1</v>
      </c>
    </row>
    <row r="25" spans="1:2" x14ac:dyDescent="0.35">
      <c r="A25" s="13">
        <v>0.32</v>
      </c>
      <c r="B25" s="12">
        <v>1</v>
      </c>
    </row>
    <row r="26" spans="1:2" x14ac:dyDescent="0.35">
      <c r="A26" s="13">
        <v>0.33</v>
      </c>
      <c r="B26" s="12">
        <v>2</v>
      </c>
    </row>
    <row r="27" spans="1:2" x14ac:dyDescent="0.35">
      <c r="A27" s="13">
        <v>0.34</v>
      </c>
      <c r="B27" s="12">
        <v>4</v>
      </c>
    </row>
    <row r="28" spans="1:2" x14ac:dyDescent="0.35">
      <c r="A28" s="13">
        <v>0.35</v>
      </c>
      <c r="B28" s="12">
        <v>2</v>
      </c>
    </row>
    <row r="29" spans="1:2" x14ac:dyDescent="0.35">
      <c r="A29" s="13">
        <v>0.36</v>
      </c>
      <c r="B29" s="12">
        <v>1</v>
      </c>
    </row>
    <row r="30" spans="1:2" x14ac:dyDescent="0.35">
      <c r="A30" s="13">
        <v>0.37</v>
      </c>
      <c r="B30" s="12">
        <v>2</v>
      </c>
    </row>
    <row r="31" spans="1:2" x14ac:dyDescent="0.35">
      <c r="A31" s="13">
        <v>0.38</v>
      </c>
      <c r="B31" s="12">
        <v>4</v>
      </c>
    </row>
    <row r="32" spans="1:2" x14ac:dyDescent="0.35">
      <c r="A32" s="13">
        <v>0.39</v>
      </c>
      <c r="B32" s="12">
        <v>1</v>
      </c>
    </row>
    <row r="33" spans="1:2" x14ac:dyDescent="0.35">
      <c r="A33" s="13">
        <v>0.4</v>
      </c>
      <c r="B33" s="12">
        <v>1</v>
      </c>
    </row>
    <row r="34" spans="1:2" x14ac:dyDescent="0.35">
      <c r="A34" s="13">
        <v>0.41</v>
      </c>
      <c r="B34" s="12">
        <v>3</v>
      </c>
    </row>
    <row r="35" spans="1:2" x14ac:dyDescent="0.35">
      <c r="A35" s="13">
        <v>0.42</v>
      </c>
      <c r="B35" s="12">
        <v>4</v>
      </c>
    </row>
    <row r="36" spans="1:2" x14ac:dyDescent="0.35">
      <c r="A36" s="13">
        <v>0.43</v>
      </c>
      <c r="B36" s="12">
        <v>4</v>
      </c>
    </row>
    <row r="37" spans="1:2" x14ac:dyDescent="0.35">
      <c r="A37" s="13">
        <v>0.45</v>
      </c>
      <c r="B37" s="12">
        <v>4</v>
      </c>
    </row>
    <row r="38" spans="1:2" x14ac:dyDescent="0.35">
      <c r="A38" s="13">
        <v>0.46</v>
      </c>
      <c r="B38" s="12">
        <v>3</v>
      </c>
    </row>
    <row r="39" spans="1:2" x14ac:dyDescent="0.35">
      <c r="A39" s="13">
        <v>0.47</v>
      </c>
      <c r="B39" s="12">
        <v>7</v>
      </c>
    </row>
    <row r="40" spans="1:2" x14ac:dyDescent="0.35">
      <c r="A40" s="13">
        <v>0.48</v>
      </c>
      <c r="B40" s="12">
        <v>4</v>
      </c>
    </row>
    <row r="41" spans="1:2" x14ac:dyDescent="0.35">
      <c r="A41" s="13">
        <v>0.49</v>
      </c>
      <c r="B41" s="12">
        <v>14</v>
      </c>
    </row>
    <row r="42" spans="1:2" x14ac:dyDescent="0.35">
      <c r="A42" s="13">
        <v>0.5</v>
      </c>
      <c r="B42" s="12">
        <v>7</v>
      </c>
    </row>
    <row r="43" spans="1:2" x14ac:dyDescent="0.35">
      <c r="A43" s="13">
        <v>0.51</v>
      </c>
      <c r="B43" s="12">
        <v>1</v>
      </c>
    </row>
    <row r="44" spans="1:2" x14ac:dyDescent="0.35">
      <c r="A44" s="13">
        <v>0.52</v>
      </c>
      <c r="B44" s="12">
        <v>2</v>
      </c>
    </row>
    <row r="45" spans="1:2" x14ac:dyDescent="0.35">
      <c r="A45" s="13">
        <v>0.53</v>
      </c>
      <c r="B45" s="12">
        <v>2</v>
      </c>
    </row>
    <row r="46" spans="1:2" x14ac:dyDescent="0.35">
      <c r="A46" s="13">
        <v>0.54</v>
      </c>
      <c r="B46" s="12">
        <v>2</v>
      </c>
    </row>
    <row r="47" spans="1:2" x14ac:dyDescent="0.35">
      <c r="A47" s="13">
        <v>0.55000000000000004</v>
      </c>
      <c r="B47" s="12">
        <v>3</v>
      </c>
    </row>
    <row r="48" spans="1:2" x14ac:dyDescent="0.35">
      <c r="A48" s="13">
        <v>0.61</v>
      </c>
      <c r="B48" s="12">
        <v>1</v>
      </c>
    </row>
    <row r="49" spans="1:2" x14ac:dyDescent="0.35">
      <c r="A49" s="13">
        <v>0.64</v>
      </c>
      <c r="B49" s="12">
        <v>1</v>
      </c>
    </row>
    <row r="50" spans="1:2" x14ac:dyDescent="0.35">
      <c r="A50" s="13" t="s">
        <v>16724</v>
      </c>
      <c r="B50" s="12">
        <v>112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9A65-3A73-48C4-90BA-C247714C0A53}">
  <dimension ref="A1:C6"/>
  <sheetViews>
    <sheetView workbookViewId="0">
      <selection activeCell="B1" sqref="B1:B1048576"/>
    </sheetView>
  </sheetViews>
  <sheetFormatPr defaultRowHeight="14.5" x14ac:dyDescent="0.35"/>
  <cols>
    <col min="1" max="1" width="12.453125" bestFit="1" customWidth="1"/>
    <col min="2" max="2" width="14.6328125" bestFit="1" customWidth="1"/>
    <col min="3" max="3" width="14.36328125" bestFit="1" customWidth="1"/>
    <col min="4" max="4" width="14.6328125" bestFit="1" customWidth="1"/>
    <col min="5" max="5" width="14.36328125" bestFit="1" customWidth="1"/>
    <col min="6" max="6" width="14.6328125" bestFit="1" customWidth="1"/>
    <col min="7" max="7" width="14.36328125" bestFit="1" customWidth="1"/>
    <col min="8" max="8" width="14.6328125" bestFit="1" customWidth="1"/>
    <col min="9" max="9" width="14.36328125" bestFit="1" customWidth="1"/>
    <col min="10" max="10" width="14.6328125" bestFit="1" customWidth="1"/>
    <col min="11" max="11" width="14.36328125" bestFit="1" customWidth="1"/>
    <col min="12" max="12" width="14.6328125" bestFit="1" customWidth="1"/>
    <col min="13" max="13" width="14.36328125" bestFit="1" customWidth="1"/>
    <col min="14" max="14" width="14.6328125" bestFit="1" customWidth="1"/>
    <col min="15" max="15" width="14.36328125" bestFit="1" customWidth="1"/>
    <col min="16" max="16" width="14.6328125" bestFit="1" customWidth="1"/>
    <col min="17" max="17" width="14.36328125" bestFit="1" customWidth="1"/>
    <col min="18" max="18" width="14.6328125" bestFit="1" customWidth="1"/>
    <col min="19" max="19" width="14.36328125" bestFit="1" customWidth="1"/>
    <col min="20" max="20" width="14.6328125" bestFit="1" customWidth="1"/>
    <col min="21" max="21" width="14.36328125" bestFit="1" customWidth="1"/>
    <col min="22" max="22" width="14.6328125" bestFit="1" customWidth="1"/>
    <col min="23" max="23" width="14.36328125" bestFit="1" customWidth="1"/>
    <col min="24" max="24" width="14.6328125" bestFit="1" customWidth="1"/>
    <col min="25" max="25" width="14.36328125" bestFit="1" customWidth="1"/>
    <col min="26" max="26" width="14.6328125" bestFit="1" customWidth="1"/>
    <col min="27" max="27" width="14.36328125" bestFit="1" customWidth="1"/>
    <col min="28" max="28" width="14.6328125" bestFit="1" customWidth="1"/>
    <col min="29" max="29" width="14.36328125" bestFit="1" customWidth="1"/>
    <col min="30" max="30" width="14.6328125" bestFit="1" customWidth="1"/>
    <col min="31" max="31" width="14.36328125" bestFit="1" customWidth="1"/>
    <col min="32" max="32" width="14.6328125" bestFit="1" customWidth="1"/>
    <col min="33" max="33" width="14.36328125" bestFit="1" customWidth="1"/>
    <col min="34" max="34" width="14.6328125" bestFit="1" customWidth="1"/>
    <col min="35" max="35" width="14.36328125" bestFit="1" customWidth="1"/>
    <col min="36" max="36" width="14.6328125" bestFit="1" customWidth="1"/>
    <col min="37" max="37" width="14.36328125" bestFit="1" customWidth="1"/>
    <col min="38" max="38" width="14.6328125" bestFit="1" customWidth="1"/>
    <col min="39" max="39" width="14.36328125" bestFit="1" customWidth="1"/>
    <col min="40" max="40" width="14.6328125" bestFit="1" customWidth="1"/>
    <col min="41" max="41" width="14.36328125" bestFit="1" customWidth="1"/>
    <col min="42" max="42" width="14.6328125" bestFit="1" customWidth="1"/>
    <col min="43" max="43" width="14.36328125" bestFit="1" customWidth="1"/>
    <col min="44" max="44" width="14.6328125" bestFit="1" customWidth="1"/>
    <col min="45" max="45" width="14.36328125" bestFit="1" customWidth="1"/>
    <col min="46" max="46" width="14.6328125" bestFit="1" customWidth="1"/>
    <col min="47" max="47" width="14.36328125" bestFit="1" customWidth="1"/>
    <col min="48" max="48" width="19.1796875" bestFit="1" customWidth="1"/>
    <col min="49" max="49" width="18.90625" bestFit="1" customWidth="1"/>
  </cols>
  <sheetData>
    <row r="1" spans="1:3" x14ac:dyDescent="0.35">
      <c r="A1" s="10" t="s">
        <v>324</v>
      </c>
      <c r="B1" t="s">
        <v>16727</v>
      </c>
    </row>
    <row r="2" spans="1:3" x14ac:dyDescent="0.35">
      <c r="A2" s="10" t="s">
        <v>3</v>
      </c>
      <c r="B2" t="s">
        <v>16727</v>
      </c>
    </row>
    <row r="4" spans="1:3" x14ac:dyDescent="0.35">
      <c r="A4" s="10" t="s">
        <v>16722</v>
      </c>
      <c r="B4" t="s">
        <v>16731</v>
      </c>
      <c r="C4" t="s">
        <v>16733</v>
      </c>
    </row>
    <row r="5" spans="1:3" x14ac:dyDescent="0.35">
      <c r="A5" s="11" t="s">
        <v>16723</v>
      </c>
      <c r="B5" s="12">
        <v>112</v>
      </c>
      <c r="C5" s="12">
        <v>112</v>
      </c>
    </row>
    <row r="6" spans="1:3" x14ac:dyDescent="0.35">
      <c r="A6" s="11" t="s">
        <v>16724</v>
      </c>
      <c r="B6" s="12">
        <v>112</v>
      </c>
      <c r="C6" s="12">
        <v>112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55CA-B9A4-4C28-B3C0-65E8B78F3DE6}">
  <dimension ref="A1:J113"/>
  <sheetViews>
    <sheetView topLeftCell="A2" workbookViewId="0">
      <selection activeCell="A5" sqref="A5"/>
    </sheetView>
  </sheetViews>
  <sheetFormatPr defaultRowHeight="14.5" x14ac:dyDescent="0.35"/>
  <cols>
    <col min="1" max="1" width="86.1796875" style="4" bestFit="1" customWidth="1"/>
    <col min="2" max="2" width="13.81640625" style="6" customWidth="1"/>
    <col min="3" max="3" width="10.08984375" style="6" customWidth="1"/>
    <col min="4" max="4" width="10.36328125" style="1" customWidth="1"/>
    <col min="5" max="5" width="8.81640625" customWidth="1"/>
    <col min="6" max="6" width="9.6328125" bestFit="1" customWidth="1"/>
    <col min="7" max="7" width="15.6328125" bestFit="1" customWidth="1"/>
    <col min="8" max="8" width="17.1796875" customWidth="1"/>
    <col min="9" max="9" width="14.54296875" customWidth="1"/>
    <col min="10" max="10" width="17.81640625" customWidth="1"/>
  </cols>
  <sheetData>
    <row r="1" spans="1:10" s="2" customFormat="1" x14ac:dyDescent="0.35">
      <c r="A1" s="3" t="s">
        <v>0</v>
      </c>
      <c r="B1" s="5" t="s">
        <v>1</v>
      </c>
      <c r="C1" s="5" t="s">
        <v>2</v>
      </c>
      <c r="D1" s="7" t="s">
        <v>3</v>
      </c>
      <c r="E1" s="2" t="s">
        <v>4</v>
      </c>
      <c r="F1" s="2" t="s">
        <v>324</v>
      </c>
      <c r="G1" s="2" t="s">
        <v>16712</v>
      </c>
      <c r="H1" s="2" t="s">
        <v>16711</v>
      </c>
      <c r="I1" s="2" t="s">
        <v>16710</v>
      </c>
      <c r="J1" s="2" t="s">
        <v>16709</v>
      </c>
    </row>
    <row r="2" spans="1:10" x14ac:dyDescent="0.35">
      <c r="A2" s="4" t="s">
        <v>6</v>
      </c>
      <c r="B2" s="6">
        <v>950</v>
      </c>
      <c r="C2" s="6">
        <v>1525</v>
      </c>
      <c r="D2" s="1">
        <v>0.38</v>
      </c>
      <c r="E2">
        <v>2</v>
      </c>
      <c r="F2">
        <v>4.5</v>
      </c>
      <c r="G2" t="str">
        <f>IF(F2&lt;3,"Poor",IF(F2&lt;=4.5,"Average","Excellent"))</f>
        <v>Average</v>
      </c>
      <c r="H2" s="6">
        <f t="shared" ref="H2:H65" si="0">C2-B2</f>
        <v>575</v>
      </c>
      <c r="J2" t="str">
        <f>IF(D2&lt;20%,"Low Discount",IF(D2&lt;=40%,"Medium Discount","High Discount"))</f>
        <v>Medium Discount</v>
      </c>
    </row>
    <row r="3" spans="1:10" x14ac:dyDescent="0.35">
      <c r="A3" s="4" t="s">
        <v>10</v>
      </c>
      <c r="B3" s="6">
        <v>527</v>
      </c>
      <c r="C3" s="6">
        <v>999</v>
      </c>
      <c r="D3" s="1">
        <v>0.47</v>
      </c>
      <c r="E3">
        <v>14</v>
      </c>
      <c r="F3">
        <v>4.0999999999999996</v>
      </c>
      <c r="G3" t="str">
        <f t="shared" ref="G3:G66" si="1">IF(F3&lt;3,"Poor",IF(F3&lt;=4.5,"Average","Excellent"))</f>
        <v>Average</v>
      </c>
      <c r="H3" s="6">
        <f t="shared" si="0"/>
        <v>472</v>
      </c>
      <c r="J3" t="str">
        <f t="shared" ref="J3:J66" si="2">IF(D3&lt;20%,"Low Discount",IF(D3&lt;=40%,"Medium Discount","High Discount"))</f>
        <v>High Discount</v>
      </c>
    </row>
    <row r="4" spans="1:10" x14ac:dyDescent="0.35">
      <c r="A4" s="4" t="s">
        <v>14</v>
      </c>
      <c r="B4" s="6">
        <v>2199</v>
      </c>
      <c r="C4" s="6">
        <v>2923</v>
      </c>
      <c r="D4" s="1">
        <v>0.25</v>
      </c>
      <c r="E4">
        <v>24</v>
      </c>
      <c r="F4">
        <v>4.5999999999999996</v>
      </c>
      <c r="G4" t="str">
        <f t="shared" si="1"/>
        <v>Excellent</v>
      </c>
      <c r="H4" s="6">
        <f t="shared" si="0"/>
        <v>724</v>
      </c>
      <c r="J4" t="str">
        <f t="shared" si="2"/>
        <v>Medium Discount</v>
      </c>
    </row>
    <row r="5" spans="1:10" x14ac:dyDescent="0.35">
      <c r="A5" s="4" t="s">
        <v>18</v>
      </c>
      <c r="B5" s="6">
        <v>1580</v>
      </c>
      <c r="C5" s="6">
        <v>2499</v>
      </c>
      <c r="D5" s="1">
        <v>0.37</v>
      </c>
      <c r="E5">
        <v>7</v>
      </c>
      <c r="F5">
        <v>4.7</v>
      </c>
      <c r="G5" t="str">
        <f t="shared" si="1"/>
        <v>Excellent</v>
      </c>
      <c r="H5" s="6">
        <f t="shared" si="0"/>
        <v>919</v>
      </c>
      <c r="J5" t="str">
        <f t="shared" si="2"/>
        <v>Medium Discount</v>
      </c>
    </row>
    <row r="6" spans="1:10" x14ac:dyDescent="0.35">
      <c r="A6" s="4" t="s">
        <v>22</v>
      </c>
      <c r="B6" s="6">
        <v>1740</v>
      </c>
      <c r="C6" s="6">
        <v>2356</v>
      </c>
      <c r="D6" s="1">
        <v>0.26</v>
      </c>
      <c r="E6">
        <v>5</v>
      </c>
      <c r="F6">
        <v>4.8</v>
      </c>
      <c r="G6" t="str">
        <f t="shared" si="1"/>
        <v>Excellent</v>
      </c>
      <c r="H6" s="6">
        <f t="shared" si="0"/>
        <v>616</v>
      </c>
      <c r="J6" t="str">
        <f t="shared" si="2"/>
        <v>Medium Discount</v>
      </c>
    </row>
    <row r="7" spans="1:10" x14ac:dyDescent="0.35">
      <c r="A7" s="4" t="s">
        <v>26</v>
      </c>
      <c r="B7" s="6">
        <v>2999</v>
      </c>
      <c r="C7" s="6">
        <v>3290</v>
      </c>
      <c r="D7" s="1">
        <v>0.09</v>
      </c>
      <c r="E7">
        <v>15</v>
      </c>
      <c r="F7">
        <v>4</v>
      </c>
      <c r="G7" t="str">
        <f t="shared" si="1"/>
        <v>Average</v>
      </c>
      <c r="H7" s="6">
        <f t="shared" si="0"/>
        <v>291</v>
      </c>
      <c r="J7" t="str">
        <f t="shared" si="2"/>
        <v>Low Discount</v>
      </c>
    </row>
    <row r="8" spans="1:10" x14ac:dyDescent="0.35">
      <c r="A8" s="4" t="s">
        <v>30</v>
      </c>
      <c r="B8" s="6">
        <v>2319</v>
      </c>
      <c r="C8" s="6">
        <v>3032</v>
      </c>
      <c r="D8" s="1">
        <v>0.24</v>
      </c>
      <c r="E8">
        <v>55</v>
      </c>
      <c r="F8">
        <v>4.5999999999999996</v>
      </c>
      <c r="G8" t="str">
        <f t="shared" si="1"/>
        <v>Excellent</v>
      </c>
      <c r="H8" s="6">
        <f t="shared" si="0"/>
        <v>713</v>
      </c>
      <c r="J8" t="str">
        <f t="shared" si="2"/>
        <v>Medium Discount</v>
      </c>
    </row>
    <row r="9" spans="1:10" x14ac:dyDescent="0.35">
      <c r="A9" s="4" t="s">
        <v>33</v>
      </c>
      <c r="B9" s="6">
        <v>988</v>
      </c>
      <c r="C9" s="6">
        <v>1580</v>
      </c>
      <c r="D9" s="1">
        <v>0.37</v>
      </c>
      <c r="E9">
        <v>2</v>
      </c>
      <c r="F9">
        <v>4</v>
      </c>
      <c r="G9" t="str">
        <f t="shared" si="1"/>
        <v>Average</v>
      </c>
      <c r="H9" s="6">
        <f t="shared" si="0"/>
        <v>592</v>
      </c>
      <c r="J9" t="str">
        <f t="shared" si="2"/>
        <v>Medium Discount</v>
      </c>
    </row>
    <row r="10" spans="1:10" x14ac:dyDescent="0.35">
      <c r="A10" s="4" t="s">
        <v>35</v>
      </c>
      <c r="B10" s="6">
        <v>1274</v>
      </c>
      <c r="C10" s="6">
        <v>2800</v>
      </c>
      <c r="D10" s="1">
        <v>0.55000000000000004</v>
      </c>
      <c r="E10">
        <v>5</v>
      </c>
      <c r="F10">
        <v>4.8</v>
      </c>
      <c r="G10" t="str">
        <f t="shared" si="1"/>
        <v>Excellent</v>
      </c>
      <c r="H10" s="6">
        <f t="shared" si="0"/>
        <v>1526</v>
      </c>
      <c r="J10" t="str">
        <f t="shared" si="2"/>
        <v>High Discount</v>
      </c>
    </row>
    <row r="11" spans="1:10" x14ac:dyDescent="0.35">
      <c r="A11" s="4" t="s">
        <v>38</v>
      </c>
      <c r="B11" s="6">
        <v>1600</v>
      </c>
      <c r="C11" s="6">
        <v>2929</v>
      </c>
      <c r="D11" s="1">
        <v>0.45</v>
      </c>
      <c r="E11">
        <v>5</v>
      </c>
      <c r="F11">
        <v>3.8</v>
      </c>
      <c r="G11" t="str">
        <f t="shared" si="1"/>
        <v>Average</v>
      </c>
      <c r="H11" s="6">
        <f t="shared" si="0"/>
        <v>1329</v>
      </c>
      <c r="J11" t="str">
        <f t="shared" si="2"/>
        <v>High Discount</v>
      </c>
    </row>
    <row r="12" spans="1:10" x14ac:dyDescent="0.35">
      <c r="A12" s="4" t="s">
        <v>42</v>
      </c>
      <c r="B12" s="6">
        <v>799</v>
      </c>
      <c r="C12" s="6">
        <v>999</v>
      </c>
      <c r="D12" s="1">
        <v>0.2</v>
      </c>
      <c r="E12">
        <v>12</v>
      </c>
      <c r="F12">
        <v>4.0999999999999996</v>
      </c>
      <c r="G12" t="str">
        <f t="shared" si="1"/>
        <v>Average</v>
      </c>
      <c r="H12" s="6">
        <f t="shared" si="0"/>
        <v>200</v>
      </c>
      <c r="J12" t="str">
        <f t="shared" si="2"/>
        <v>Medium Discount</v>
      </c>
    </row>
    <row r="13" spans="1:10" x14ac:dyDescent="0.35">
      <c r="A13" s="4" t="s">
        <v>44</v>
      </c>
      <c r="B13" s="6">
        <v>990</v>
      </c>
      <c r="C13" s="6">
        <v>1500</v>
      </c>
      <c r="D13" s="1">
        <v>0.34</v>
      </c>
      <c r="E13">
        <v>39</v>
      </c>
      <c r="F13">
        <v>4.7</v>
      </c>
      <c r="G13" t="str">
        <f t="shared" si="1"/>
        <v>Excellent</v>
      </c>
      <c r="H13" s="6">
        <f t="shared" si="0"/>
        <v>510</v>
      </c>
      <c r="J13" t="str">
        <f t="shared" si="2"/>
        <v>Medium Discount</v>
      </c>
    </row>
    <row r="14" spans="1:10" x14ac:dyDescent="0.35">
      <c r="A14" s="4" t="s">
        <v>47</v>
      </c>
      <c r="B14" s="6">
        <v>552</v>
      </c>
      <c r="C14" s="6">
        <v>1035</v>
      </c>
      <c r="D14" s="1">
        <v>0.47</v>
      </c>
      <c r="E14">
        <v>12</v>
      </c>
      <c r="F14">
        <v>4.8</v>
      </c>
      <c r="G14" t="str">
        <f t="shared" si="1"/>
        <v>Excellent</v>
      </c>
      <c r="H14" s="6">
        <f t="shared" si="0"/>
        <v>483</v>
      </c>
      <c r="J14" t="str">
        <f t="shared" si="2"/>
        <v>High Discount</v>
      </c>
    </row>
    <row r="15" spans="1:10" x14ac:dyDescent="0.35">
      <c r="A15" s="4" t="s">
        <v>50</v>
      </c>
      <c r="B15" s="6">
        <v>501</v>
      </c>
      <c r="C15" s="6">
        <v>860</v>
      </c>
      <c r="D15" s="1">
        <v>0.42</v>
      </c>
      <c r="E15">
        <v>6</v>
      </c>
      <c r="F15">
        <v>4.5</v>
      </c>
      <c r="G15" t="str">
        <f t="shared" si="1"/>
        <v>Average</v>
      </c>
      <c r="H15" s="6">
        <f t="shared" si="0"/>
        <v>359</v>
      </c>
      <c r="J15" t="str">
        <f t="shared" si="2"/>
        <v>High Discount</v>
      </c>
    </row>
    <row r="16" spans="1:10" x14ac:dyDescent="0.35">
      <c r="A16" s="4" t="s">
        <v>53</v>
      </c>
      <c r="B16" s="6">
        <v>1680</v>
      </c>
      <c r="C16" s="6">
        <v>2499</v>
      </c>
      <c r="D16" s="1">
        <v>0.33</v>
      </c>
      <c r="E16">
        <v>9</v>
      </c>
      <c r="F16">
        <v>4.2</v>
      </c>
      <c r="G16" t="str">
        <f t="shared" si="1"/>
        <v>Average</v>
      </c>
      <c r="H16" s="6">
        <f t="shared" si="0"/>
        <v>819</v>
      </c>
      <c r="J16" t="str">
        <f t="shared" si="2"/>
        <v>Medium Discount</v>
      </c>
    </row>
    <row r="17" spans="1:10" x14ac:dyDescent="0.35">
      <c r="A17" s="4" t="s">
        <v>56</v>
      </c>
      <c r="B17" s="6">
        <v>332</v>
      </c>
      <c r="C17" s="6">
        <v>684</v>
      </c>
      <c r="D17" s="1">
        <v>0.51</v>
      </c>
      <c r="E17">
        <v>2</v>
      </c>
      <c r="F17">
        <v>5</v>
      </c>
      <c r="G17" t="str">
        <f t="shared" si="1"/>
        <v>Excellent</v>
      </c>
      <c r="H17" s="6">
        <f t="shared" si="0"/>
        <v>352</v>
      </c>
      <c r="J17" t="str">
        <f t="shared" si="2"/>
        <v>High Discount</v>
      </c>
    </row>
    <row r="18" spans="1:10" x14ac:dyDescent="0.35">
      <c r="A18" s="4" t="s">
        <v>60</v>
      </c>
      <c r="B18" s="6">
        <v>195</v>
      </c>
      <c r="C18" s="6">
        <v>360</v>
      </c>
      <c r="D18" s="1">
        <v>0.46</v>
      </c>
      <c r="E18">
        <v>2</v>
      </c>
      <c r="F18">
        <v>5</v>
      </c>
      <c r="G18" t="str">
        <f t="shared" si="1"/>
        <v>Excellent</v>
      </c>
      <c r="H18" s="6">
        <f t="shared" si="0"/>
        <v>165</v>
      </c>
      <c r="J18" t="str">
        <f t="shared" si="2"/>
        <v>High Discount</v>
      </c>
    </row>
    <row r="19" spans="1:10" x14ac:dyDescent="0.35">
      <c r="A19" s="4" t="s">
        <v>63</v>
      </c>
      <c r="B19" s="6">
        <v>2025</v>
      </c>
      <c r="C19" s="6">
        <v>3971</v>
      </c>
      <c r="D19" s="1">
        <v>0.49</v>
      </c>
      <c r="E19">
        <v>3</v>
      </c>
      <c r="F19">
        <v>5</v>
      </c>
      <c r="G19" t="str">
        <f t="shared" si="1"/>
        <v>Excellent</v>
      </c>
      <c r="H19" s="6">
        <f t="shared" si="0"/>
        <v>1946</v>
      </c>
      <c r="J19" t="str">
        <f t="shared" si="2"/>
        <v>High Discount</v>
      </c>
    </row>
    <row r="20" spans="1:10" x14ac:dyDescent="0.35">
      <c r="A20" s="4" t="s">
        <v>66</v>
      </c>
      <c r="B20" s="6">
        <v>2999</v>
      </c>
      <c r="C20" s="6">
        <v>3699</v>
      </c>
      <c r="D20" s="1">
        <v>0.19</v>
      </c>
      <c r="E20">
        <v>5</v>
      </c>
      <c r="F20">
        <v>4.5999999999999996</v>
      </c>
      <c r="G20" t="str">
        <f t="shared" si="1"/>
        <v>Excellent</v>
      </c>
      <c r="H20" s="6">
        <f t="shared" si="0"/>
        <v>700</v>
      </c>
      <c r="J20" t="str">
        <f t="shared" si="2"/>
        <v>Low Discount</v>
      </c>
    </row>
    <row r="21" spans="1:10" x14ac:dyDescent="0.35">
      <c r="A21" s="4" t="s">
        <v>68</v>
      </c>
      <c r="B21" s="6">
        <v>998</v>
      </c>
      <c r="C21" s="6">
        <v>1966</v>
      </c>
      <c r="D21" s="1">
        <v>0.49</v>
      </c>
      <c r="E21">
        <v>44</v>
      </c>
      <c r="F21">
        <v>4.5999999999999996</v>
      </c>
      <c r="G21" t="str">
        <f t="shared" si="1"/>
        <v>Excellent</v>
      </c>
      <c r="H21" s="6">
        <f t="shared" si="0"/>
        <v>968</v>
      </c>
      <c r="J21" t="str">
        <f t="shared" si="2"/>
        <v>High Discount</v>
      </c>
    </row>
    <row r="22" spans="1:10" x14ac:dyDescent="0.35">
      <c r="A22" s="4" t="s">
        <v>71</v>
      </c>
      <c r="B22" s="6">
        <v>38</v>
      </c>
      <c r="C22" s="6">
        <v>80</v>
      </c>
      <c r="D22" s="1">
        <v>0.53</v>
      </c>
      <c r="E22">
        <v>13</v>
      </c>
      <c r="F22">
        <v>3.3</v>
      </c>
      <c r="G22" t="str">
        <f t="shared" si="1"/>
        <v>Average</v>
      </c>
      <c r="H22" s="6">
        <f t="shared" si="0"/>
        <v>42</v>
      </c>
      <c r="J22" t="str">
        <f t="shared" si="2"/>
        <v>High Discount</v>
      </c>
    </row>
    <row r="23" spans="1:10" x14ac:dyDescent="0.35">
      <c r="A23" s="4" t="s">
        <v>75</v>
      </c>
      <c r="B23" s="6">
        <v>1860</v>
      </c>
      <c r="C23" s="6">
        <v>3220</v>
      </c>
      <c r="D23" s="1">
        <v>0.42</v>
      </c>
      <c r="E23" t="s">
        <v>16703</v>
      </c>
      <c r="F23" t="s">
        <v>16703</v>
      </c>
      <c r="G23" t="str">
        <f t="shared" si="1"/>
        <v>Excellent</v>
      </c>
      <c r="H23" s="6">
        <f t="shared" si="0"/>
        <v>1360</v>
      </c>
      <c r="J23" t="str">
        <f t="shared" si="2"/>
        <v>High Discount</v>
      </c>
    </row>
    <row r="24" spans="1:10" x14ac:dyDescent="0.35">
      <c r="A24" s="4" t="s">
        <v>78</v>
      </c>
      <c r="B24" s="6">
        <v>880</v>
      </c>
      <c r="C24" s="6">
        <v>1350</v>
      </c>
      <c r="D24" s="1">
        <v>0.35</v>
      </c>
      <c r="E24">
        <v>6</v>
      </c>
      <c r="F24">
        <v>4</v>
      </c>
      <c r="G24" t="str">
        <f t="shared" si="1"/>
        <v>Average</v>
      </c>
      <c r="H24" s="6">
        <f t="shared" si="0"/>
        <v>470</v>
      </c>
      <c r="J24" t="str">
        <f t="shared" si="2"/>
        <v>Medium Discount</v>
      </c>
    </row>
    <row r="25" spans="1:10" x14ac:dyDescent="0.35">
      <c r="A25" s="4" t="s">
        <v>81</v>
      </c>
      <c r="B25" s="6">
        <v>1650</v>
      </c>
      <c r="C25" s="6">
        <v>2150</v>
      </c>
      <c r="D25" s="1">
        <v>0.23</v>
      </c>
      <c r="E25">
        <v>14</v>
      </c>
      <c r="F25">
        <v>4.4000000000000004</v>
      </c>
      <c r="G25" t="str">
        <f t="shared" si="1"/>
        <v>Average</v>
      </c>
      <c r="H25" s="6">
        <f t="shared" si="0"/>
        <v>500</v>
      </c>
      <c r="J25" t="str">
        <f t="shared" si="2"/>
        <v>Medium Discount</v>
      </c>
    </row>
    <row r="26" spans="1:10" x14ac:dyDescent="0.35">
      <c r="A26" s="4" t="s">
        <v>85</v>
      </c>
      <c r="B26" s="6">
        <v>2048</v>
      </c>
      <c r="C26" s="6">
        <v>4500</v>
      </c>
      <c r="D26" s="1">
        <v>0.54</v>
      </c>
      <c r="E26">
        <v>7</v>
      </c>
      <c r="F26">
        <v>4.3</v>
      </c>
      <c r="G26" t="str">
        <f t="shared" si="1"/>
        <v>Average</v>
      </c>
      <c r="H26" s="6">
        <f t="shared" si="0"/>
        <v>2452</v>
      </c>
      <c r="J26" t="str">
        <f t="shared" si="2"/>
        <v>High Discount</v>
      </c>
    </row>
    <row r="27" spans="1:10" x14ac:dyDescent="0.35">
      <c r="A27" s="4" t="s">
        <v>89</v>
      </c>
      <c r="B27" s="6">
        <v>420</v>
      </c>
      <c r="C27" s="6">
        <v>647</v>
      </c>
      <c r="D27" s="1">
        <v>0.35</v>
      </c>
      <c r="E27">
        <v>49</v>
      </c>
      <c r="F27">
        <v>4.5999999999999996</v>
      </c>
      <c r="G27" t="str">
        <f t="shared" si="1"/>
        <v>Excellent</v>
      </c>
      <c r="H27" s="6">
        <f t="shared" si="0"/>
        <v>227</v>
      </c>
      <c r="J27" t="str">
        <f t="shared" si="2"/>
        <v>Medium Discount</v>
      </c>
    </row>
    <row r="28" spans="1:10" x14ac:dyDescent="0.35">
      <c r="A28" s="4" t="s">
        <v>92</v>
      </c>
      <c r="B28" s="6">
        <v>2880</v>
      </c>
      <c r="C28" s="6">
        <v>3520</v>
      </c>
      <c r="D28" s="1">
        <v>0.18</v>
      </c>
      <c r="E28">
        <v>12</v>
      </c>
      <c r="F28">
        <v>3.8</v>
      </c>
      <c r="G28" t="str">
        <f t="shared" si="1"/>
        <v>Average</v>
      </c>
      <c r="H28" s="6">
        <f t="shared" si="0"/>
        <v>640</v>
      </c>
      <c r="J28" t="str">
        <f t="shared" si="2"/>
        <v>Low Discount</v>
      </c>
    </row>
    <row r="29" spans="1:10" x14ac:dyDescent="0.35">
      <c r="A29" s="4" t="s">
        <v>95</v>
      </c>
      <c r="B29" s="6">
        <v>1350</v>
      </c>
      <c r="C29" s="6">
        <v>1990</v>
      </c>
      <c r="D29" s="1">
        <v>0.32</v>
      </c>
      <c r="E29">
        <v>13</v>
      </c>
      <c r="F29">
        <v>3.8</v>
      </c>
      <c r="G29" t="str">
        <f t="shared" si="1"/>
        <v>Average</v>
      </c>
      <c r="H29" s="6">
        <f t="shared" si="0"/>
        <v>640</v>
      </c>
      <c r="J29" t="str">
        <f t="shared" si="2"/>
        <v>Medium Discount</v>
      </c>
    </row>
    <row r="30" spans="1:10" x14ac:dyDescent="0.35">
      <c r="A30" s="4" t="s">
        <v>97</v>
      </c>
      <c r="B30" s="6">
        <v>1758</v>
      </c>
      <c r="C30" s="6">
        <v>2499</v>
      </c>
      <c r="D30" s="1">
        <v>0.3</v>
      </c>
      <c r="E30">
        <v>20</v>
      </c>
      <c r="F30">
        <v>4.0999999999999996</v>
      </c>
      <c r="G30" t="str">
        <f t="shared" si="1"/>
        <v>Average</v>
      </c>
      <c r="H30" s="6">
        <f t="shared" si="0"/>
        <v>741</v>
      </c>
      <c r="J30" t="str">
        <f t="shared" si="2"/>
        <v>Medium Discount</v>
      </c>
    </row>
    <row r="31" spans="1:10" x14ac:dyDescent="0.35">
      <c r="A31" s="4" t="s">
        <v>99</v>
      </c>
      <c r="B31" s="6">
        <v>2200</v>
      </c>
      <c r="C31" s="6">
        <v>4080</v>
      </c>
      <c r="D31" s="1">
        <v>0.46</v>
      </c>
      <c r="E31" t="s">
        <v>16703</v>
      </c>
      <c r="F31" t="s">
        <v>16703</v>
      </c>
      <c r="G31" t="str">
        <f t="shared" si="1"/>
        <v>Excellent</v>
      </c>
      <c r="H31" s="6">
        <f t="shared" si="0"/>
        <v>1880</v>
      </c>
      <c r="J31" t="str">
        <f t="shared" si="2"/>
        <v>High Discount</v>
      </c>
    </row>
    <row r="32" spans="1:10" x14ac:dyDescent="0.35">
      <c r="A32" s="4" t="s">
        <v>102</v>
      </c>
      <c r="B32" s="6">
        <v>185</v>
      </c>
      <c r="C32" s="6">
        <v>382</v>
      </c>
      <c r="D32" s="1">
        <v>0.52</v>
      </c>
      <c r="E32">
        <v>9</v>
      </c>
      <c r="F32">
        <v>4.3</v>
      </c>
      <c r="G32" t="str">
        <f t="shared" si="1"/>
        <v>Average</v>
      </c>
      <c r="H32" s="6">
        <f t="shared" si="0"/>
        <v>197</v>
      </c>
      <c r="J32" t="str">
        <f t="shared" si="2"/>
        <v>High Discount</v>
      </c>
    </row>
    <row r="33" spans="1:10" x14ac:dyDescent="0.35">
      <c r="A33" s="4" t="s">
        <v>105</v>
      </c>
      <c r="B33" s="6">
        <v>980</v>
      </c>
      <c r="C33" s="6">
        <v>1490</v>
      </c>
      <c r="D33" s="1">
        <v>0.34</v>
      </c>
      <c r="E33">
        <v>12</v>
      </c>
      <c r="F33">
        <v>4.7</v>
      </c>
      <c r="G33" t="str">
        <f t="shared" si="1"/>
        <v>Excellent</v>
      </c>
      <c r="H33" s="6">
        <f t="shared" si="0"/>
        <v>510</v>
      </c>
      <c r="J33" t="str">
        <f t="shared" si="2"/>
        <v>Medium Discount</v>
      </c>
    </row>
    <row r="34" spans="1:10" x14ac:dyDescent="0.35">
      <c r="A34" s="4" t="s">
        <v>108</v>
      </c>
      <c r="B34" s="6">
        <v>1820</v>
      </c>
      <c r="C34" s="6">
        <v>3490</v>
      </c>
      <c r="D34" s="1">
        <v>0.48</v>
      </c>
      <c r="E34">
        <v>9</v>
      </c>
      <c r="F34">
        <v>4.3</v>
      </c>
      <c r="G34" t="str">
        <f t="shared" si="1"/>
        <v>Average</v>
      </c>
      <c r="H34" s="6">
        <f t="shared" si="0"/>
        <v>1670</v>
      </c>
      <c r="J34" t="str">
        <f t="shared" si="2"/>
        <v>High Discount</v>
      </c>
    </row>
    <row r="35" spans="1:10" x14ac:dyDescent="0.35">
      <c r="A35" s="4" t="s">
        <v>111</v>
      </c>
      <c r="B35" s="6">
        <v>1940</v>
      </c>
      <c r="C35" s="6">
        <v>2650</v>
      </c>
      <c r="D35" s="1">
        <v>0.27</v>
      </c>
      <c r="E35">
        <v>20</v>
      </c>
      <c r="F35">
        <v>4.7</v>
      </c>
      <c r="G35" t="str">
        <f t="shared" si="1"/>
        <v>Excellent</v>
      </c>
      <c r="H35" s="6">
        <f t="shared" si="0"/>
        <v>710</v>
      </c>
      <c r="J35" t="str">
        <f t="shared" si="2"/>
        <v>Medium Discount</v>
      </c>
    </row>
    <row r="36" spans="1:10" x14ac:dyDescent="0.35">
      <c r="A36" s="4" t="s">
        <v>114</v>
      </c>
      <c r="B36" s="6">
        <v>1980</v>
      </c>
      <c r="C36" s="6">
        <v>2699</v>
      </c>
      <c r="D36" s="1">
        <v>0.27</v>
      </c>
      <c r="E36">
        <v>32</v>
      </c>
      <c r="F36">
        <v>4.5</v>
      </c>
      <c r="G36" t="str">
        <f t="shared" si="1"/>
        <v>Average</v>
      </c>
      <c r="H36" s="6">
        <f t="shared" si="0"/>
        <v>719</v>
      </c>
      <c r="J36" t="str">
        <f t="shared" si="2"/>
        <v>Medium Discount</v>
      </c>
    </row>
    <row r="37" spans="1:10" x14ac:dyDescent="0.35">
      <c r="A37" s="4" t="s">
        <v>117</v>
      </c>
      <c r="B37" s="6">
        <v>1620</v>
      </c>
      <c r="C37" s="6">
        <v>2690</v>
      </c>
      <c r="D37" s="1">
        <v>0.4</v>
      </c>
      <c r="E37">
        <v>1</v>
      </c>
      <c r="F37">
        <v>5</v>
      </c>
      <c r="G37" t="str">
        <f t="shared" si="1"/>
        <v>Excellent</v>
      </c>
      <c r="H37" s="6">
        <f t="shared" si="0"/>
        <v>1070</v>
      </c>
      <c r="J37" t="str">
        <f t="shared" si="2"/>
        <v>Medium Discount</v>
      </c>
    </row>
    <row r="38" spans="1:10" x14ac:dyDescent="0.35">
      <c r="A38" s="4" t="s">
        <v>120</v>
      </c>
      <c r="B38" s="6">
        <v>171</v>
      </c>
      <c r="C38" s="6">
        <v>360</v>
      </c>
      <c r="D38" s="1">
        <v>0.53</v>
      </c>
      <c r="E38">
        <v>2</v>
      </c>
      <c r="F38">
        <v>5</v>
      </c>
      <c r="G38" t="str">
        <f t="shared" si="1"/>
        <v>Excellent</v>
      </c>
      <c r="H38" s="6">
        <f t="shared" si="0"/>
        <v>189</v>
      </c>
      <c r="J38" t="str">
        <f t="shared" si="2"/>
        <v>High Discount</v>
      </c>
    </row>
    <row r="39" spans="1:10" x14ac:dyDescent="0.35">
      <c r="A39" s="4" t="s">
        <v>122</v>
      </c>
      <c r="B39" s="6">
        <v>389</v>
      </c>
      <c r="C39" s="6">
        <v>656</v>
      </c>
      <c r="D39" s="1">
        <v>0.41</v>
      </c>
      <c r="E39">
        <v>36</v>
      </c>
      <c r="F39">
        <v>4.3</v>
      </c>
      <c r="G39" t="str">
        <f t="shared" si="1"/>
        <v>Average</v>
      </c>
      <c r="H39" s="6">
        <f t="shared" si="0"/>
        <v>267</v>
      </c>
      <c r="J39" t="str">
        <f t="shared" si="2"/>
        <v>High Discount</v>
      </c>
    </row>
    <row r="40" spans="1:10" x14ac:dyDescent="0.35">
      <c r="A40" s="4" t="s">
        <v>125</v>
      </c>
      <c r="B40" s="6">
        <v>1980</v>
      </c>
      <c r="C40" s="6">
        <v>3200</v>
      </c>
      <c r="D40" s="1">
        <v>0.38</v>
      </c>
      <c r="E40">
        <v>2</v>
      </c>
      <c r="F40">
        <v>4.5</v>
      </c>
      <c r="G40" t="str">
        <f t="shared" si="1"/>
        <v>Average</v>
      </c>
      <c r="H40" s="6">
        <f t="shared" si="0"/>
        <v>1220</v>
      </c>
      <c r="J40" t="str">
        <f t="shared" si="2"/>
        <v>Medium Discount</v>
      </c>
    </row>
    <row r="41" spans="1:10" x14ac:dyDescent="0.35">
      <c r="A41" s="4" t="s">
        <v>128</v>
      </c>
      <c r="B41" s="6">
        <v>2750</v>
      </c>
      <c r="C41" s="6">
        <v>4471</v>
      </c>
      <c r="D41" s="1">
        <v>0.38</v>
      </c>
      <c r="E41" t="s">
        <v>16703</v>
      </c>
      <c r="F41" t="s">
        <v>16703</v>
      </c>
      <c r="G41" t="str">
        <f t="shared" si="1"/>
        <v>Excellent</v>
      </c>
      <c r="H41" s="6">
        <f t="shared" si="0"/>
        <v>1721</v>
      </c>
      <c r="J41" t="str">
        <f t="shared" si="2"/>
        <v>Medium Discount</v>
      </c>
    </row>
    <row r="42" spans="1:10" x14ac:dyDescent="0.35">
      <c r="A42" s="4" t="s">
        <v>131</v>
      </c>
      <c r="B42" s="6">
        <v>475</v>
      </c>
      <c r="C42" s="6">
        <v>931</v>
      </c>
      <c r="D42" s="1">
        <v>0.49</v>
      </c>
      <c r="E42" t="s">
        <v>16703</v>
      </c>
      <c r="F42" t="s">
        <v>16703</v>
      </c>
      <c r="G42" t="str">
        <f t="shared" si="1"/>
        <v>Excellent</v>
      </c>
      <c r="H42" s="6">
        <f t="shared" si="0"/>
        <v>456</v>
      </c>
      <c r="J42" t="str">
        <f t="shared" si="2"/>
        <v>High Discount</v>
      </c>
    </row>
    <row r="43" spans="1:10" x14ac:dyDescent="0.35">
      <c r="A43" s="4" t="s">
        <v>134</v>
      </c>
      <c r="B43" s="6">
        <v>238</v>
      </c>
      <c r="C43" s="6">
        <v>476</v>
      </c>
      <c r="D43" s="1">
        <v>0.5</v>
      </c>
      <c r="E43" t="s">
        <v>16703</v>
      </c>
      <c r="F43" t="s">
        <v>16703</v>
      </c>
      <c r="G43" t="str">
        <f t="shared" si="1"/>
        <v>Excellent</v>
      </c>
      <c r="H43" s="6">
        <f t="shared" si="0"/>
        <v>238</v>
      </c>
      <c r="J43" t="str">
        <f t="shared" si="2"/>
        <v>High Discount</v>
      </c>
    </row>
    <row r="44" spans="1:10" x14ac:dyDescent="0.35">
      <c r="A44" s="4" t="s">
        <v>137</v>
      </c>
      <c r="B44" s="6">
        <v>610</v>
      </c>
      <c r="C44" s="6">
        <v>1060</v>
      </c>
      <c r="D44" s="1">
        <v>0.42</v>
      </c>
      <c r="E44" t="s">
        <v>16703</v>
      </c>
      <c r="F44" t="s">
        <v>16703</v>
      </c>
      <c r="G44" t="str">
        <f t="shared" si="1"/>
        <v>Excellent</v>
      </c>
      <c r="H44" s="6">
        <f t="shared" si="0"/>
        <v>450</v>
      </c>
      <c r="J44" t="str">
        <f t="shared" si="2"/>
        <v>High Discount</v>
      </c>
    </row>
    <row r="45" spans="1:10" x14ac:dyDescent="0.35">
      <c r="A45" s="4" t="s">
        <v>140</v>
      </c>
      <c r="B45" s="6">
        <v>2132</v>
      </c>
      <c r="C45" s="6">
        <v>2169</v>
      </c>
      <c r="D45" s="1">
        <v>0.02</v>
      </c>
      <c r="E45" t="s">
        <v>16703</v>
      </c>
      <c r="F45" t="s">
        <v>16703</v>
      </c>
      <c r="G45" t="str">
        <f t="shared" si="1"/>
        <v>Excellent</v>
      </c>
      <c r="H45" s="6">
        <f t="shared" si="0"/>
        <v>37</v>
      </c>
      <c r="J45" t="str">
        <f t="shared" si="2"/>
        <v>Low Discount</v>
      </c>
    </row>
    <row r="46" spans="1:10" x14ac:dyDescent="0.35">
      <c r="A46" s="4" t="s">
        <v>143</v>
      </c>
      <c r="B46" s="6">
        <v>999</v>
      </c>
      <c r="C46" s="6">
        <v>2000</v>
      </c>
      <c r="D46" s="1">
        <v>0.5</v>
      </c>
      <c r="E46" t="s">
        <v>16703</v>
      </c>
      <c r="F46" t="s">
        <v>16703</v>
      </c>
      <c r="G46" t="str">
        <f t="shared" si="1"/>
        <v>Excellent</v>
      </c>
      <c r="H46" s="6">
        <f t="shared" si="0"/>
        <v>1001</v>
      </c>
      <c r="J46" t="str">
        <f t="shared" si="2"/>
        <v>High Discount</v>
      </c>
    </row>
    <row r="47" spans="1:10" x14ac:dyDescent="0.35">
      <c r="A47" s="4" t="s">
        <v>145</v>
      </c>
      <c r="B47" s="6">
        <v>1190</v>
      </c>
      <c r="C47" s="6">
        <v>1785</v>
      </c>
      <c r="D47" s="1">
        <v>0.33</v>
      </c>
      <c r="E47" t="s">
        <v>16703</v>
      </c>
      <c r="F47" t="s">
        <v>16703</v>
      </c>
      <c r="G47" t="str">
        <f t="shared" si="1"/>
        <v>Excellent</v>
      </c>
      <c r="H47" s="6">
        <f t="shared" si="0"/>
        <v>595</v>
      </c>
      <c r="J47" t="str">
        <f t="shared" si="2"/>
        <v>Medium Discount</v>
      </c>
    </row>
    <row r="48" spans="1:10" x14ac:dyDescent="0.35">
      <c r="A48" s="4" t="s">
        <v>148</v>
      </c>
      <c r="B48" s="6">
        <v>671</v>
      </c>
      <c r="C48" s="6">
        <v>1316</v>
      </c>
      <c r="D48" s="1">
        <v>0.49</v>
      </c>
      <c r="E48" t="s">
        <v>16703</v>
      </c>
      <c r="F48" t="s">
        <v>16703</v>
      </c>
      <c r="G48" t="str">
        <f t="shared" si="1"/>
        <v>Excellent</v>
      </c>
      <c r="H48" s="6">
        <f t="shared" si="0"/>
        <v>645</v>
      </c>
      <c r="J48" t="str">
        <f t="shared" si="2"/>
        <v>High Discount</v>
      </c>
    </row>
    <row r="49" spans="1:10" x14ac:dyDescent="0.35">
      <c r="A49" s="4" t="s">
        <v>151</v>
      </c>
      <c r="B49" s="6">
        <v>1200</v>
      </c>
      <c r="C49" s="6">
        <v>1950</v>
      </c>
      <c r="D49" s="1">
        <v>0.38</v>
      </c>
      <c r="E49" t="s">
        <v>16703</v>
      </c>
      <c r="F49" t="s">
        <v>16703</v>
      </c>
      <c r="G49" t="str">
        <f t="shared" si="1"/>
        <v>Excellent</v>
      </c>
      <c r="H49" s="6">
        <f t="shared" si="0"/>
        <v>750</v>
      </c>
      <c r="J49" t="str">
        <f t="shared" si="2"/>
        <v>Medium Discount</v>
      </c>
    </row>
    <row r="50" spans="1:10" x14ac:dyDescent="0.35">
      <c r="A50" s="4" t="s">
        <v>154</v>
      </c>
      <c r="B50" s="6">
        <v>199</v>
      </c>
      <c r="C50" s="6">
        <v>504</v>
      </c>
      <c r="D50" s="1">
        <v>0.61</v>
      </c>
      <c r="E50" t="s">
        <v>16703</v>
      </c>
      <c r="F50" t="s">
        <v>16703</v>
      </c>
      <c r="G50" t="str">
        <f t="shared" si="1"/>
        <v>Excellent</v>
      </c>
      <c r="H50" s="6">
        <f t="shared" si="0"/>
        <v>305</v>
      </c>
      <c r="J50" t="str">
        <f t="shared" si="2"/>
        <v>High Discount</v>
      </c>
    </row>
    <row r="51" spans="1:10" x14ac:dyDescent="0.35">
      <c r="A51" s="4" t="s">
        <v>157</v>
      </c>
      <c r="B51" s="6">
        <v>299</v>
      </c>
      <c r="C51" s="6">
        <v>600</v>
      </c>
      <c r="D51" s="1">
        <v>0.5</v>
      </c>
      <c r="E51" t="s">
        <v>16703</v>
      </c>
      <c r="F51" t="s">
        <v>16703</v>
      </c>
      <c r="G51" t="str">
        <f t="shared" si="1"/>
        <v>Excellent</v>
      </c>
      <c r="H51" s="6">
        <f t="shared" si="0"/>
        <v>301</v>
      </c>
      <c r="J51" t="str">
        <f t="shared" si="2"/>
        <v>High Discount</v>
      </c>
    </row>
    <row r="52" spans="1:10" x14ac:dyDescent="0.35">
      <c r="A52" s="4" t="s">
        <v>160</v>
      </c>
      <c r="B52" s="6">
        <v>1660</v>
      </c>
      <c r="C52" s="6">
        <v>1699</v>
      </c>
      <c r="D52" s="1">
        <v>0.02</v>
      </c>
      <c r="E52" t="s">
        <v>16703</v>
      </c>
      <c r="F52" t="s">
        <v>16703</v>
      </c>
      <c r="G52" t="str">
        <f t="shared" si="1"/>
        <v>Excellent</v>
      </c>
      <c r="H52" s="6">
        <f t="shared" si="0"/>
        <v>39</v>
      </c>
      <c r="J52" t="str">
        <f t="shared" si="2"/>
        <v>Low Discount</v>
      </c>
    </row>
    <row r="53" spans="1:10" x14ac:dyDescent="0.35">
      <c r="A53" s="4" t="s">
        <v>163</v>
      </c>
      <c r="B53" s="6">
        <v>299</v>
      </c>
      <c r="C53" s="6">
        <v>384</v>
      </c>
      <c r="D53" s="1">
        <v>0.22</v>
      </c>
      <c r="E53" t="s">
        <v>16703</v>
      </c>
      <c r="F53" t="s">
        <v>16703</v>
      </c>
      <c r="G53" t="str">
        <f t="shared" si="1"/>
        <v>Excellent</v>
      </c>
      <c r="H53" s="6">
        <f t="shared" si="0"/>
        <v>85</v>
      </c>
      <c r="J53" t="str">
        <f t="shared" si="2"/>
        <v>Medium Discount</v>
      </c>
    </row>
    <row r="54" spans="1:10" x14ac:dyDescent="0.35">
      <c r="A54" s="4" t="s">
        <v>165</v>
      </c>
      <c r="B54" s="6">
        <v>1459</v>
      </c>
      <c r="C54" s="6">
        <v>1499</v>
      </c>
      <c r="D54" s="1">
        <v>0.03</v>
      </c>
      <c r="E54" t="s">
        <v>16703</v>
      </c>
      <c r="F54" t="s">
        <v>16703</v>
      </c>
      <c r="G54" t="str">
        <f t="shared" si="1"/>
        <v>Excellent</v>
      </c>
      <c r="H54" s="6">
        <f t="shared" si="0"/>
        <v>40</v>
      </c>
      <c r="J54" t="str">
        <f t="shared" si="2"/>
        <v>Low Discount</v>
      </c>
    </row>
    <row r="55" spans="1:10" x14ac:dyDescent="0.35">
      <c r="A55" s="4" t="s">
        <v>168</v>
      </c>
      <c r="B55" s="6">
        <v>799</v>
      </c>
      <c r="C55" s="6">
        <v>1343</v>
      </c>
      <c r="D55" s="1">
        <v>0.41</v>
      </c>
      <c r="E55" t="s">
        <v>16703</v>
      </c>
      <c r="F55" t="s">
        <v>16703</v>
      </c>
      <c r="G55" t="str">
        <f t="shared" si="1"/>
        <v>Excellent</v>
      </c>
      <c r="H55" s="6">
        <f t="shared" si="0"/>
        <v>544</v>
      </c>
      <c r="J55" t="str">
        <f t="shared" si="2"/>
        <v>High Discount</v>
      </c>
    </row>
    <row r="56" spans="1:10" x14ac:dyDescent="0.35">
      <c r="A56" s="4" t="s">
        <v>170</v>
      </c>
      <c r="B56" s="6">
        <v>499</v>
      </c>
      <c r="C56" s="6">
        <v>900</v>
      </c>
      <c r="D56" s="1">
        <v>0.45</v>
      </c>
      <c r="E56" t="s">
        <v>16703</v>
      </c>
      <c r="F56" t="s">
        <v>16703</v>
      </c>
      <c r="G56" t="str">
        <f t="shared" si="1"/>
        <v>Excellent</v>
      </c>
      <c r="H56" s="6">
        <f t="shared" si="0"/>
        <v>401</v>
      </c>
      <c r="J56" t="str">
        <f t="shared" si="2"/>
        <v>High Discount</v>
      </c>
    </row>
    <row r="57" spans="1:10" x14ac:dyDescent="0.35">
      <c r="A57" s="4" t="s">
        <v>173</v>
      </c>
      <c r="B57" s="6">
        <v>699</v>
      </c>
      <c r="C57" s="6">
        <v>1343</v>
      </c>
      <c r="D57" s="1">
        <v>0.48</v>
      </c>
      <c r="E57" t="s">
        <v>16703</v>
      </c>
      <c r="F57" t="s">
        <v>16703</v>
      </c>
      <c r="G57" t="str">
        <f t="shared" si="1"/>
        <v>Excellent</v>
      </c>
      <c r="H57" s="6">
        <f t="shared" si="0"/>
        <v>644</v>
      </c>
      <c r="J57" t="str">
        <f t="shared" si="2"/>
        <v>High Discount</v>
      </c>
    </row>
    <row r="58" spans="1:10" x14ac:dyDescent="0.35">
      <c r="A58" s="4" t="s">
        <v>175</v>
      </c>
      <c r="B58" s="6">
        <v>799</v>
      </c>
      <c r="C58" s="6">
        <v>1567</v>
      </c>
      <c r="D58" s="1">
        <v>0.49</v>
      </c>
      <c r="E58" t="s">
        <v>16703</v>
      </c>
      <c r="F58" t="s">
        <v>16703</v>
      </c>
      <c r="G58" t="str">
        <f t="shared" si="1"/>
        <v>Excellent</v>
      </c>
      <c r="H58" s="6">
        <f t="shared" si="0"/>
        <v>768</v>
      </c>
      <c r="J58" t="str">
        <f t="shared" si="2"/>
        <v>High Discount</v>
      </c>
    </row>
    <row r="59" spans="1:10" x14ac:dyDescent="0.35">
      <c r="A59" s="4" t="s">
        <v>177</v>
      </c>
      <c r="B59" s="6">
        <v>2799</v>
      </c>
      <c r="C59" s="6">
        <v>3810</v>
      </c>
      <c r="D59" s="1">
        <v>0.27</v>
      </c>
      <c r="E59" t="s">
        <v>16703</v>
      </c>
      <c r="F59" t="s">
        <v>16703</v>
      </c>
      <c r="G59" t="str">
        <f t="shared" si="1"/>
        <v>Excellent</v>
      </c>
      <c r="H59" s="6">
        <f t="shared" si="0"/>
        <v>1011</v>
      </c>
      <c r="J59" t="str">
        <f t="shared" si="2"/>
        <v>Medium Discount</v>
      </c>
    </row>
    <row r="60" spans="1:10" x14ac:dyDescent="0.35">
      <c r="A60" s="4" t="s">
        <v>170</v>
      </c>
      <c r="B60" s="6">
        <v>399</v>
      </c>
      <c r="C60" s="6">
        <v>896</v>
      </c>
      <c r="D60" s="1">
        <v>0.55000000000000004</v>
      </c>
      <c r="E60" t="s">
        <v>16703</v>
      </c>
      <c r="F60" t="s">
        <v>16703</v>
      </c>
      <c r="G60" t="str">
        <f t="shared" si="1"/>
        <v>Excellent</v>
      </c>
      <c r="H60" s="6">
        <f t="shared" si="0"/>
        <v>497</v>
      </c>
      <c r="J60" t="str">
        <f t="shared" si="2"/>
        <v>High Discount</v>
      </c>
    </row>
    <row r="61" spans="1:10" x14ac:dyDescent="0.35">
      <c r="A61" s="4" t="s">
        <v>182</v>
      </c>
      <c r="B61" s="6">
        <v>2170</v>
      </c>
      <c r="C61" s="6">
        <v>2500</v>
      </c>
      <c r="D61" s="1">
        <v>0.13</v>
      </c>
      <c r="E61">
        <v>6</v>
      </c>
      <c r="F61">
        <v>2.5</v>
      </c>
      <c r="G61" t="str">
        <f t="shared" si="1"/>
        <v>Poor</v>
      </c>
      <c r="H61" s="6">
        <f t="shared" si="0"/>
        <v>330</v>
      </c>
      <c r="J61" t="str">
        <f t="shared" si="2"/>
        <v>Low Discount</v>
      </c>
    </row>
    <row r="62" spans="1:10" x14ac:dyDescent="0.35">
      <c r="A62" s="4" t="s">
        <v>186</v>
      </c>
      <c r="B62" s="6">
        <v>458</v>
      </c>
      <c r="C62" s="6">
        <v>986</v>
      </c>
      <c r="D62" s="1">
        <v>0.54</v>
      </c>
      <c r="E62">
        <v>10</v>
      </c>
      <c r="F62">
        <v>3</v>
      </c>
      <c r="G62" t="str">
        <f t="shared" si="1"/>
        <v>Average</v>
      </c>
      <c r="H62" s="6">
        <f t="shared" si="0"/>
        <v>528</v>
      </c>
      <c r="J62" t="str">
        <f t="shared" si="2"/>
        <v>High Discount</v>
      </c>
    </row>
    <row r="63" spans="1:10" x14ac:dyDescent="0.35">
      <c r="A63" s="4" t="s">
        <v>190</v>
      </c>
      <c r="B63" s="6">
        <v>2115</v>
      </c>
      <c r="C63" s="6">
        <v>4700</v>
      </c>
      <c r="D63" s="1">
        <v>0.55000000000000004</v>
      </c>
      <c r="E63">
        <v>13</v>
      </c>
      <c r="F63">
        <v>2.1</v>
      </c>
      <c r="G63" t="str">
        <f t="shared" si="1"/>
        <v>Poor</v>
      </c>
      <c r="H63" s="6">
        <f t="shared" si="0"/>
        <v>2585</v>
      </c>
      <c r="J63" t="str">
        <f t="shared" si="2"/>
        <v>High Discount</v>
      </c>
    </row>
    <row r="64" spans="1:10" x14ac:dyDescent="0.35">
      <c r="A64" s="4" t="s">
        <v>194</v>
      </c>
      <c r="B64" s="6">
        <v>445</v>
      </c>
      <c r="C64" s="6">
        <v>873</v>
      </c>
      <c r="D64" s="1">
        <v>0.49</v>
      </c>
      <c r="E64">
        <v>69</v>
      </c>
      <c r="F64">
        <v>2.8</v>
      </c>
      <c r="G64" t="str">
        <f t="shared" si="1"/>
        <v>Poor</v>
      </c>
      <c r="H64" s="6">
        <f t="shared" si="0"/>
        <v>428</v>
      </c>
      <c r="J64" t="str">
        <f t="shared" si="2"/>
        <v>High Discount</v>
      </c>
    </row>
    <row r="65" spans="1:10" x14ac:dyDescent="0.35">
      <c r="A65" s="4" t="s">
        <v>198</v>
      </c>
      <c r="B65" s="6">
        <v>325</v>
      </c>
      <c r="C65" s="6">
        <v>680</v>
      </c>
      <c r="D65" s="1">
        <v>0.52</v>
      </c>
      <c r="E65">
        <v>15</v>
      </c>
      <c r="F65">
        <v>2.7</v>
      </c>
      <c r="G65" t="str">
        <f t="shared" si="1"/>
        <v>Poor</v>
      </c>
      <c r="H65" s="6">
        <f t="shared" si="0"/>
        <v>355</v>
      </c>
      <c r="J65" t="str">
        <f t="shared" si="2"/>
        <v>High Discount</v>
      </c>
    </row>
    <row r="66" spans="1:10" x14ac:dyDescent="0.35">
      <c r="A66" s="4" t="s">
        <v>202</v>
      </c>
      <c r="B66" s="6">
        <v>1220</v>
      </c>
      <c r="C66" s="6">
        <v>1555</v>
      </c>
      <c r="D66" s="1">
        <v>0.22</v>
      </c>
      <c r="E66">
        <v>16</v>
      </c>
      <c r="F66">
        <v>2.9</v>
      </c>
      <c r="G66" t="str">
        <f t="shared" si="1"/>
        <v>Poor</v>
      </c>
      <c r="H66" s="6">
        <f t="shared" ref="H66:H113" si="3">C66-B66</f>
        <v>335</v>
      </c>
      <c r="J66" t="str">
        <f t="shared" si="2"/>
        <v>Medium Discount</v>
      </c>
    </row>
    <row r="67" spans="1:10" x14ac:dyDescent="0.35">
      <c r="A67" s="4" t="s">
        <v>206</v>
      </c>
      <c r="B67" s="6">
        <v>990</v>
      </c>
      <c r="C67" s="6">
        <v>1814</v>
      </c>
      <c r="D67" s="1">
        <v>0.45</v>
      </c>
      <c r="E67">
        <v>6</v>
      </c>
      <c r="F67">
        <v>2.2000000000000002</v>
      </c>
      <c r="G67" t="str">
        <f t="shared" ref="G67:G113" si="4">IF(F67&lt;3,"Poor",IF(F67&lt;=4.5,"Average","Excellent"))</f>
        <v>Poor</v>
      </c>
      <c r="H67" s="6">
        <f t="shared" si="3"/>
        <v>824</v>
      </c>
      <c r="J67" t="str">
        <f t="shared" ref="J67:J117" si="5">IF(D67&lt;20%,"Low Discount",IF(D67&lt;=40%,"Medium Discount","High Discount"))</f>
        <v>High Discount</v>
      </c>
    </row>
    <row r="68" spans="1:10" x14ac:dyDescent="0.35">
      <c r="A68" s="4" t="s">
        <v>209</v>
      </c>
      <c r="B68" s="6">
        <v>1000</v>
      </c>
      <c r="C68" s="6">
        <v>2000</v>
      </c>
      <c r="D68" s="1">
        <v>0.5</v>
      </c>
      <c r="E68">
        <v>7</v>
      </c>
      <c r="F68">
        <v>2.2999999999999998</v>
      </c>
      <c r="G68" t="str">
        <f t="shared" si="4"/>
        <v>Poor</v>
      </c>
      <c r="H68" s="6">
        <f t="shared" si="3"/>
        <v>1000</v>
      </c>
      <c r="J68" t="str">
        <f t="shared" si="5"/>
        <v>High Discount</v>
      </c>
    </row>
    <row r="69" spans="1:10" x14ac:dyDescent="0.35">
      <c r="A69" s="4" t="s">
        <v>212</v>
      </c>
      <c r="B69" s="6">
        <v>3750</v>
      </c>
      <c r="C69" s="6">
        <v>6143</v>
      </c>
      <c r="D69" s="1">
        <v>0.39</v>
      </c>
      <c r="E69">
        <v>5</v>
      </c>
      <c r="F69">
        <v>3</v>
      </c>
      <c r="G69" t="str">
        <f t="shared" si="4"/>
        <v>Average</v>
      </c>
      <c r="H69" s="6">
        <f t="shared" si="3"/>
        <v>2393</v>
      </c>
      <c r="J69" t="str">
        <f t="shared" si="5"/>
        <v>Medium Discount</v>
      </c>
    </row>
    <row r="70" spans="1:10" x14ac:dyDescent="0.35">
      <c r="A70" s="4" t="s">
        <v>215</v>
      </c>
      <c r="B70" s="6">
        <v>382</v>
      </c>
      <c r="C70" s="6">
        <v>700</v>
      </c>
      <c r="D70" s="1">
        <v>0.45</v>
      </c>
      <c r="E70">
        <v>17</v>
      </c>
      <c r="F70">
        <v>2.6</v>
      </c>
      <c r="G70" t="str">
        <f t="shared" si="4"/>
        <v>Poor</v>
      </c>
      <c r="H70" s="6">
        <f t="shared" si="3"/>
        <v>318</v>
      </c>
      <c r="J70" t="str">
        <f t="shared" si="5"/>
        <v>High Discount</v>
      </c>
    </row>
    <row r="71" spans="1:10" x14ac:dyDescent="0.35">
      <c r="A71" s="4" t="s">
        <v>218</v>
      </c>
      <c r="B71" s="6">
        <v>2300</v>
      </c>
      <c r="C71" s="6">
        <v>3240</v>
      </c>
      <c r="D71" s="1">
        <v>0.28999999999999998</v>
      </c>
      <c r="E71">
        <v>5</v>
      </c>
      <c r="F71">
        <v>3</v>
      </c>
      <c r="G71" t="str">
        <f t="shared" si="4"/>
        <v>Average</v>
      </c>
      <c r="H71" s="6">
        <f t="shared" si="3"/>
        <v>940</v>
      </c>
      <c r="J71" t="str">
        <f t="shared" si="5"/>
        <v>Medium Discount</v>
      </c>
    </row>
    <row r="72" spans="1:10" x14ac:dyDescent="0.35">
      <c r="A72" s="4" t="s">
        <v>221</v>
      </c>
      <c r="B72" s="6">
        <v>345</v>
      </c>
      <c r="C72" s="6">
        <v>602</v>
      </c>
      <c r="D72" s="1">
        <v>0.43</v>
      </c>
      <c r="E72">
        <v>6</v>
      </c>
      <c r="F72">
        <v>2.2999999999999998</v>
      </c>
      <c r="G72" t="str">
        <f t="shared" si="4"/>
        <v>Poor</v>
      </c>
      <c r="H72" s="6">
        <f t="shared" si="3"/>
        <v>257</v>
      </c>
      <c r="J72" t="str">
        <f t="shared" si="5"/>
        <v>High Discount</v>
      </c>
    </row>
    <row r="73" spans="1:10" x14ac:dyDescent="0.35">
      <c r="A73" s="4" t="s">
        <v>224</v>
      </c>
      <c r="B73" s="6">
        <v>509</v>
      </c>
      <c r="C73" s="6">
        <v>899</v>
      </c>
      <c r="D73" s="1">
        <v>0.43</v>
      </c>
      <c r="E73">
        <v>5</v>
      </c>
      <c r="F73">
        <v>3</v>
      </c>
      <c r="G73" t="str">
        <f t="shared" si="4"/>
        <v>Average</v>
      </c>
      <c r="H73" s="6">
        <f t="shared" si="3"/>
        <v>390</v>
      </c>
      <c r="J73" t="str">
        <f t="shared" si="5"/>
        <v>High Discount</v>
      </c>
    </row>
    <row r="74" spans="1:10" x14ac:dyDescent="0.35">
      <c r="A74" s="4" t="s">
        <v>227</v>
      </c>
      <c r="B74" s="6">
        <v>968</v>
      </c>
      <c r="C74" s="6">
        <v>1814</v>
      </c>
      <c r="D74" s="1">
        <v>0.47</v>
      </c>
      <c r="E74">
        <v>6</v>
      </c>
      <c r="F74">
        <v>2.2000000000000002</v>
      </c>
      <c r="G74" t="str">
        <f t="shared" si="4"/>
        <v>Poor</v>
      </c>
      <c r="H74" s="6">
        <f t="shared" si="3"/>
        <v>846</v>
      </c>
      <c r="J74" t="str">
        <f t="shared" si="5"/>
        <v>High Discount</v>
      </c>
    </row>
    <row r="75" spans="1:10" x14ac:dyDescent="0.35">
      <c r="A75" s="4" t="s">
        <v>229</v>
      </c>
      <c r="B75" s="6">
        <v>1570</v>
      </c>
      <c r="C75" s="6">
        <v>2988</v>
      </c>
      <c r="D75" s="1">
        <v>0.47</v>
      </c>
      <c r="E75">
        <v>7</v>
      </c>
      <c r="F75">
        <v>2.1</v>
      </c>
      <c r="G75" t="str">
        <f t="shared" si="4"/>
        <v>Poor</v>
      </c>
      <c r="H75" s="6">
        <f t="shared" si="3"/>
        <v>1418</v>
      </c>
      <c r="J75" t="str">
        <f t="shared" si="5"/>
        <v>High Discount</v>
      </c>
    </row>
    <row r="76" spans="1:10" x14ac:dyDescent="0.35">
      <c r="A76" s="4" t="s">
        <v>232</v>
      </c>
      <c r="B76" s="6">
        <v>790</v>
      </c>
      <c r="C76" s="6">
        <v>1485</v>
      </c>
      <c r="D76" s="1">
        <v>0.47</v>
      </c>
      <c r="E76" t="s">
        <v>16703</v>
      </c>
      <c r="F76" t="s">
        <v>16703</v>
      </c>
      <c r="G76" t="str">
        <f t="shared" si="4"/>
        <v>Excellent</v>
      </c>
      <c r="H76" s="6">
        <f t="shared" si="3"/>
        <v>695</v>
      </c>
      <c r="J76" t="str">
        <f t="shared" si="5"/>
        <v>High Discount</v>
      </c>
    </row>
    <row r="77" spans="1:10" x14ac:dyDescent="0.35">
      <c r="A77" s="4" t="s">
        <v>235</v>
      </c>
      <c r="B77" s="6">
        <v>690</v>
      </c>
      <c r="C77" s="6">
        <v>1200</v>
      </c>
      <c r="D77" s="1">
        <v>0.43</v>
      </c>
      <c r="E77" t="s">
        <v>16703</v>
      </c>
      <c r="F77" t="s">
        <v>16703</v>
      </c>
      <c r="G77" t="str">
        <f t="shared" si="4"/>
        <v>Excellent</v>
      </c>
      <c r="H77" s="6">
        <f t="shared" si="3"/>
        <v>510</v>
      </c>
      <c r="J77" t="str">
        <f t="shared" si="5"/>
        <v>High Discount</v>
      </c>
    </row>
    <row r="78" spans="1:10" x14ac:dyDescent="0.35">
      <c r="A78" s="4" t="s">
        <v>237</v>
      </c>
      <c r="B78" s="6">
        <v>1732</v>
      </c>
      <c r="C78" s="6">
        <v>1799</v>
      </c>
      <c r="D78" s="1">
        <v>0.04</v>
      </c>
      <c r="E78" t="s">
        <v>16703</v>
      </c>
      <c r="F78" t="s">
        <v>16703</v>
      </c>
      <c r="G78" t="str">
        <f t="shared" si="4"/>
        <v>Excellent</v>
      </c>
      <c r="H78" s="6">
        <f t="shared" si="3"/>
        <v>67</v>
      </c>
      <c r="J78" t="str">
        <f t="shared" si="5"/>
        <v>Low Discount</v>
      </c>
    </row>
    <row r="79" spans="1:10" x14ac:dyDescent="0.35">
      <c r="A79" s="4" t="s">
        <v>240</v>
      </c>
      <c r="B79" s="6">
        <v>230</v>
      </c>
      <c r="C79" s="6">
        <v>450</v>
      </c>
      <c r="D79" s="1">
        <v>0.49</v>
      </c>
      <c r="E79" t="s">
        <v>16703</v>
      </c>
      <c r="F79" t="s">
        <v>16703</v>
      </c>
      <c r="G79" t="str">
        <f t="shared" si="4"/>
        <v>Excellent</v>
      </c>
      <c r="H79" s="6">
        <f t="shared" si="3"/>
        <v>220</v>
      </c>
      <c r="J79" t="str">
        <f t="shared" si="5"/>
        <v>High Discount</v>
      </c>
    </row>
    <row r="80" spans="1:10" x14ac:dyDescent="0.35">
      <c r="A80" s="4" t="s">
        <v>243</v>
      </c>
      <c r="B80" s="6">
        <v>1189</v>
      </c>
      <c r="C80" s="6">
        <v>2199</v>
      </c>
      <c r="D80" s="1">
        <v>0.46</v>
      </c>
      <c r="E80">
        <v>1</v>
      </c>
      <c r="F80">
        <v>3</v>
      </c>
      <c r="G80" t="str">
        <f t="shared" si="4"/>
        <v>Average</v>
      </c>
      <c r="H80" s="6">
        <f t="shared" si="3"/>
        <v>1010</v>
      </c>
      <c r="J80" t="str">
        <f t="shared" si="5"/>
        <v>High Discount</v>
      </c>
    </row>
    <row r="81" spans="1:10" x14ac:dyDescent="0.35">
      <c r="A81" s="4" t="s">
        <v>245</v>
      </c>
      <c r="B81" s="6">
        <v>979</v>
      </c>
      <c r="C81" s="6">
        <v>1920</v>
      </c>
      <c r="D81" s="1">
        <v>0.49</v>
      </c>
      <c r="E81">
        <v>1</v>
      </c>
      <c r="F81">
        <v>5</v>
      </c>
      <c r="G81" t="str">
        <f t="shared" si="4"/>
        <v>Excellent</v>
      </c>
      <c r="H81" s="6">
        <f t="shared" si="3"/>
        <v>941</v>
      </c>
      <c r="J81" t="str">
        <f t="shared" si="5"/>
        <v>High Discount</v>
      </c>
    </row>
    <row r="82" spans="1:10" x14ac:dyDescent="0.35">
      <c r="A82" s="4" t="s">
        <v>248</v>
      </c>
      <c r="B82" s="6">
        <v>1460</v>
      </c>
      <c r="C82" s="6">
        <v>2290</v>
      </c>
      <c r="D82" s="1">
        <v>0.36</v>
      </c>
      <c r="E82" t="s">
        <v>16703</v>
      </c>
      <c r="F82" t="s">
        <v>16703</v>
      </c>
      <c r="G82" t="str">
        <f t="shared" si="4"/>
        <v>Excellent</v>
      </c>
      <c r="H82" s="6">
        <f t="shared" si="3"/>
        <v>830</v>
      </c>
      <c r="J82" t="str">
        <f t="shared" si="5"/>
        <v>Medium Discount</v>
      </c>
    </row>
    <row r="83" spans="1:10" x14ac:dyDescent="0.35">
      <c r="A83" s="4" t="s">
        <v>251</v>
      </c>
      <c r="B83" s="6">
        <v>1666</v>
      </c>
      <c r="C83" s="6">
        <v>1699</v>
      </c>
      <c r="D83" s="1">
        <v>0.02</v>
      </c>
      <c r="E83" t="s">
        <v>16703</v>
      </c>
      <c r="F83" t="s">
        <v>16703</v>
      </c>
      <c r="G83" t="str">
        <f t="shared" si="4"/>
        <v>Excellent</v>
      </c>
      <c r="H83" s="6">
        <f t="shared" si="3"/>
        <v>33</v>
      </c>
      <c r="J83" t="str">
        <f t="shared" si="5"/>
        <v>Low Discount</v>
      </c>
    </row>
    <row r="84" spans="1:10" x14ac:dyDescent="0.35">
      <c r="A84" s="4" t="s">
        <v>253</v>
      </c>
      <c r="B84" s="6">
        <v>330</v>
      </c>
      <c r="C84" s="6">
        <v>647</v>
      </c>
      <c r="D84" s="1">
        <v>0.49</v>
      </c>
      <c r="E84">
        <v>1</v>
      </c>
      <c r="F84">
        <v>4</v>
      </c>
      <c r="G84" t="str">
        <f t="shared" si="4"/>
        <v>Average</v>
      </c>
      <c r="H84" s="6">
        <f t="shared" si="3"/>
        <v>317</v>
      </c>
      <c r="J84" t="str">
        <f t="shared" si="5"/>
        <v>High Discount</v>
      </c>
    </row>
    <row r="85" spans="1:10" x14ac:dyDescent="0.35">
      <c r="A85" s="4" t="s">
        <v>154</v>
      </c>
      <c r="B85" s="6">
        <v>176</v>
      </c>
      <c r="C85" s="6">
        <v>345</v>
      </c>
      <c r="D85" s="1">
        <v>0.49</v>
      </c>
      <c r="E85" t="s">
        <v>16703</v>
      </c>
      <c r="F85" t="s">
        <v>16703</v>
      </c>
      <c r="G85" t="str">
        <f t="shared" si="4"/>
        <v>Excellent</v>
      </c>
      <c r="H85" s="6">
        <f t="shared" si="3"/>
        <v>169</v>
      </c>
      <c r="J85" t="str">
        <f t="shared" si="5"/>
        <v>High Discount</v>
      </c>
    </row>
    <row r="86" spans="1:10" x14ac:dyDescent="0.35">
      <c r="A86" s="4" t="s">
        <v>256</v>
      </c>
      <c r="B86" s="6">
        <v>1466</v>
      </c>
      <c r="C86" s="6">
        <v>1699</v>
      </c>
      <c r="D86" s="1">
        <v>0.14000000000000001</v>
      </c>
      <c r="E86" t="s">
        <v>16703</v>
      </c>
      <c r="F86" t="s">
        <v>16703</v>
      </c>
      <c r="G86" t="str">
        <f t="shared" si="4"/>
        <v>Excellent</v>
      </c>
      <c r="H86" s="6">
        <f t="shared" si="3"/>
        <v>233</v>
      </c>
      <c r="J86" t="str">
        <f t="shared" si="5"/>
        <v>Low Discount</v>
      </c>
    </row>
    <row r="87" spans="1:10" x14ac:dyDescent="0.35">
      <c r="A87" s="4" t="s">
        <v>258</v>
      </c>
      <c r="B87" s="6">
        <v>274</v>
      </c>
      <c r="C87" s="6">
        <v>537</v>
      </c>
      <c r="D87" s="1">
        <v>0.49</v>
      </c>
      <c r="E87" t="s">
        <v>16703</v>
      </c>
      <c r="F87" t="s">
        <v>16703</v>
      </c>
      <c r="G87" t="str">
        <f t="shared" si="4"/>
        <v>Excellent</v>
      </c>
      <c r="H87" s="6">
        <f t="shared" si="3"/>
        <v>263</v>
      </c>
      <c r="J87" t="str">
        <f t="shared" si="5"/>
        <v>High Discount</v>
      </c>
    </row>
    <row r="88" spans="1:10" x14ac:dyDescent="0.35">
      <c r="A88" s="4" t="s">
        <v>261</v>
      </c>
      <c r="B88" s="6">
        <v>799</v>
      </c>
      <c r="C88" s="6">
        <v>900</v>
      </c>
      <c r="D88" s="1">
        <v>0.11</v>
      </c>
      <c r="E88" t="s">
        <v>16703</v>
      </c>
      <c r="F88" t="s">
        <v>16703</v>
      </c>
      <c r="G88" t="str">
        <f t="shared" si="4"/>
        <v>Excellent</v>
      </c>
      <c r="H88" s="6">
        <f t="shared" si="3"/>
        <v>101</v>
      </c>
      <c r="J88" t="str">
        <f t="shared" si="5"/>
        <v>Low Discount</v>
      </c>
    </row>
    <row r="89" spans="1:10" x14ac:dyDescent="0.35">
      <c r="A89" s="4" t="s">
        <v>175</v>
      </c>
      <c r="B89" s="6">
        <v>657</v>
      </c>
      <c r="C89" s="6">
        <v>1288</v>
      </c>
      <c r="D89" s="1">
        <v>0.49</v>
      </c>
      <c r="E89" t="s">
        <v>16703</v>
      </c>
      <c r="F89" t="s">
        <v>16703</v>
      </c>
      <c r="G89" t="str">
        <f t="shared" si="4"/>
        <v>Excellent</v>
      </c>
      <c r="H89" s="6">
        <f t="shared" si="3"/>
        <v>631</v>
      </c>
      <c r="J89" t="str">
        <f t="shared" si="5"/>
        <v>High Discount</v>
      </c>
    </row>
    <row r="90" spans="1:10" x14ac:dyDescent="0.35">
      <c r="A90" s="4" t="s">
        <v>264</v>
      </c>
      <c r="B90" s="6">
        <v>1468</v>
      </c>
      <c r="C90" s="6">
        <v>1699</v>
      </c>
      <c r="D90" s="1">
        <v>0.14000000000000001</v>
      </c>
      <c r="E90" t="s">
        <v>16703</v>
      </c>
      <c r="F90" t="s">
        <v>16703</v>
      </c>
      <c r="G90" t="str">
        <f t="shared" si="4"/>
        <v>Excellent</v>
      </c>
      <c r="H90" s="6">
        <f t="shared" si="3"/>
        <v>231</v>
      </c>
      <c r="J90" t="str">
        <f t="shared" si="5"/>
        <v>Low Discount</v>
      </c>
    </row>
    <row r="91" spans="1:10" x14ac:dyDescent="0.35">
      <c r="A91" s="4" t="s">
        <v>266</v>
      </c>
      <c r="B91" s="6">
        <v>630</v>
      </c>
      <c r="C91" s="6">
        <v>1100</v>
      </c>
      <c r="D91" s="1">
        <v>0.43</v>
      </c>
      <c r="E91" t="s">
        <v>16703</v>
      </c>
      <c r="F91" t="s">
        <v>16703</v>
      </c>
      <c r="G91" t="str">
        <f t="shared" si="4"/>
        <v>Excellent</v>
      </c>
      <c r="H91" s="6">
        <f t="shared" si="3"/>
        <v>470</v>
      </c>
      <c r="J91" t="str">
        <f t="shared" si="5"/>
        <v>High Discount</v>
      </c>
    </row>
    <row r="92" spans="1:10" x14ac:dyDescent="0.35">
      <c r="A92" s="4" t="s">
        <v>269</v>
      </c>
      <c r="B92" s="6">
        <v>850</v>
      </c>
      <c r="C92" s="6">
        <v>1700</v>
      </c>
      <c r="D92" s="1">
        <v>0.5</v>
      </c>
      <c r="E92" t="s">
        <v>16703</v>
      </c>
      <c r="F92" t="s">
        <v>16703</v>
      </c>
      <c r="G92" t="str">
        <f t="shared" si="4"/>
        <v>Excellent</v>
      </c>
      <c r="H92" s="6">
        <f t="shared" si="3"/>
        <v>850</v>
      </c>
      <c r="J92" t="str">
        <f t="shared" si="5"/>
        <v>High Discount</v>
      </c>
    </row>
    <row r="93" spans="1:10" x14ac:dyDescent="0.35">
      <c r="A93" s="4" t="s">
        <v>272</v>
      </c>
      <c r="B93" s="6">
        <v>1300</v>
      </c>
      <c r="C93" s="6">
        <v>2500</v>
      </c>
      <c r="D93" s="1">
        <v>0.48</v>
      </c>
      <c r="E93" t="s">
        <v>16703</v>
      </c>
      <c r="F93" t="s">
        <v>16703</v>
      </c>
      <c r="G93" t="str">
        <f t="shared" si="4"/>
        <v>Excellent</v>
      </c>
      <c r="H93" s="6">
        <f t="shared" si="3"/>
        <v>1200</v>
      </c>
      <c r="J93" t="str">
        <f t="shared" si="5"/>
        <v>High Discount</v>
      </c>
    </row>
    <row r="94" spans="1:10" x14ac:dyDescent="0.35">
      <c r="A94" s="4" t="s">
        <v>274</v>
      </c>
      <c r="B94" s="6">
        <v>105</v>
      </c>
      <c r="C94" s="6">
        <v>200</v>
      </c>
      <c r="D94" s="1">
        <v>0.48</v>
      </c>
      <c r="E94" t="s">
        <v>16703</v>
      </c>
      <c r="F94" t="s">
        <v>16703</v>
      </c>
      <c r="G94" t="str">
        <f t="shared" si="4"/>
        <v>Excellent</v>
      </c>
      <c r="H94" s="6">
        <f t="shared" si="3"/>
        <v>95</v>
      </c>
      <c r="J94" t="str">
        <f t="shared" si="5"/>
        <v>High Discount</v>
      </c>
    </row>
    <row r="95" spans="1:10" x14ac:dyDescent="0.35">
      <c r="A95" s="4" t="s">
        <v>277</v>
      </c>
      <c r="B95" s="6">
        <v>899</v>
      </c>
      <c r="C95" s="6">
        <v>1699</v>
      </c>
      <c r="D95" s="1">
        <v>0.47</v>
      </c>
      <c r="E95" t="s">
        <v>16703</v>
      </c>
      <c r="F95" t="s">
        <v>16703</v>
      </c>
      <c r="G95" t="str">
        <f t="shared" si="4"/>
        <v>Excellent</v>
      </c>
      <c r="H95" s="6">
        <f t="shared" si="3"/>
        <v>800</v>
      </c>
      <c r="J95" t="str">
        <f t="shared" si="5"/>
        <v>High Discount</v>
      </c>
    </row>
    <row r="96" spans="1:10" x14ac:dyDescent="0.35">
      <c r="A96" s="4" t="s">
        <v>278</v>
      </c>
      <c r="B96" s="6">
        <v>1200</v>
      </c>
      <c r="C96" s="6">
        <v>2400</v>
      </c>
      <c r="D96" s="1">
        <v>0.5</v>
      </c>
      <c r="E96" t="s">
        <v>16703</v>
      </c>
      <c r="F96" t="s">
        <v>16703</v>
      </c>
      <c r="G96" t="str">
        <f t="shared" si="4"/>
        <v>Excellent</v>
      </c>
      <c r="H96" s="6">
        <f t="shared" si="3"/>
        <v>1200</v>
      </c>
      <c r="J96" t="str">
        <f t="shared" si="5"/>
        <v>High Discount</v>
      </c>
    </row>
    <row r="97" spans="1:10" x14ac:dyDescent="0.35">
      <c r="A97" s="4" t="s">
        <v>280</v>
      </c>
      <c r="B97" s="6">
        <v>1526</v>
      </c>
      <c r="C97" s="6">
        <v>1660</v>
      </c>
      <c r="D97" s="1">
        <v>0.08</v>
      </c>
      <c r="E97" t="s">
        <v>16703</v>
      </c>
      <c r="F97" t="s">
        <v>16703</v>
      </c>
      <c r="G97" t="str">
        <f t="shared" si="4"/>
        <v>Excellent</v>
      </c>
      <c r="H97" s="6">
        <f t="shared" si="3"/>
        <v>134</v>
      </c>
      <c r="J97" t="str">
        <f t="shared" si="5"/>
        <v>Low Discount</v>
      </c>
    </row>
    <row r="98" spans="1:10" x14ac:dyDescent="0.35">
      <c r="A98" s="4" t="s">
        <v>282</v>
      </c>
      <c r="B98" s="6">
        <v>1462</v>
      </c>
      <c r="C98" s="6">
        <v>1499</v>
      </c>
      <c r="D98" s="1">
        <v>0.02</v>
      </c>
      <c r="E98" t="s">
        <v>16703</v>
      </c>
      <c r="F98" t="s">
        <v>16703</v>
      </c>
      <c r="G98" t="str">
        <f t="shared" si="4"/>
        <v>Excellent</v>
      </c>
      <c r="H98" s="6">
        <f t="shared" si="3"/>
        <v>37</v>
      </c>
      <c r="J98" t="str">
        <f t="shared" si="5"/>
        <v>Low Discount</v>
      </c>
    </row>
    <row r="99" spans="1:10" x14ac:dyDescent="0.35">
      <c r="A99" s="4" t="s">
        <v>284</v>
      </c>
      <c r="B99" s="6">
        <v>248</v>
      </c>
      <c r="C99" s="6">
        <v>486</v>
      </c>
      <c r="D99" s="1">
        <v>0.49</v>
      </c>
      <c r="E99" t="s">
        <v>16703</v>
      </c>
      <c r="F99" t="s">
        <v>16703</v>
      </c>
      <c r="G99" t="str">
        <f t="shared" si="4"/>
        <v>Excellent</v>
      </c>
      <c r="H99" s="6">
        <f t="shared" si="3"/>
        <v>238</v>
      </c>
      <c r="J99" t="str">
        <f t="shared" si="5"/>
        <v>High Discount</v>
      </c>
    </row>
    <row r="100" spans="1:10" x14ac:dyDescent="0.35">
      <c r="A100" s="4" t="s">
        <v>287</v>
      </c>
      <c r="B100" s="6">
        <v>3546</v>
      </c>
      <c r="C100" s="6">
        <v>3699</v>
      </c>
      <c r="D100" s="1">
        <v>0.04</v>
      </c>
      <c r="E100" t="s">
        <v>16703</v>
      </c>
      <c r="F100" t="s">
        <v>16703</v>
      </c>
      <c r="G100" t="str">
        <f t="shared" si="4"/>
        <v>Excellent</v>
      </c>
      <c r="H100" s="6">
        <f t="shared" si="3"/>
        <v>153</v>
      </c>
      <c r="J100" t="str">
        <f t="shared" si="5"/>
        <v>Low Discount</v>
      </c>
    </row>
    <row r="101" spans="1:10" x14ac:dyDescent="0.35">
      <c r="A101" s="4" t="s">
        <v>289</v>
      </c>
      <c r="B101" s="6">
        <v>525</v>
      </c>
      <c r="C101" s="6">
        <v>1029</v>
      </c>
      <c r="D101" s="1">
        <v>0.49</v>
      </c>
      <c r="E101" t="s">
        <v>16703</v>
      </c>
      <c r="F101" t="s">
        <v>16703</v>
      </c>
      <c r="G101" t="str">
        <f t="shared" si="4"/>
        <v>Excellent</v>
      </c>
      <c r="H101" s="6">
        <f t="shared" si="3"/>
        <v>504</v>
      </c>
      <c r="J101" t="str">
        <f t="shared" si="5"/>
        <v>High Discount</v>
      </c>
    </row>
    <row r="102" spans="1:10" x14ac:dyDescent="0.35">
      <c r="A102" s="4" t="s">
        <v>292</v>
      </c>
      <c r="B102" s="6">
        <v>1080</v>
      </c>
      <c r="C102" s="6">
        <v>1874</v>
      </c>
      <c r="D102" s="1">
        <v>0.42</v>
      </c>
      <c r="E102" t="s">
        <v>16703</v>
      </c>
      <c r="F102" t="s">
        <v>16703</v>
      </c>
      <c r="G102" t="str">
        <f t="shared" si="4"/>
        <v>Excellent</v>
      </c>
      <c r="H102" s="6">
        <f t="shared" si="3"/>
        <v>794</v>
      </c>
      <c r="J102" t="str">
        <f t="shared" si="5"/>
        <v>High Discount</v>
      </c>
    </row>
    <row r="103" spans="1:10" x14ac:dyDescent="0.35">
      <c r="A103" s="4" t="s">
        <v>295</v>
      </c>
      <c r="B103" s="6">
        <v>3640</v>
      </c>
      <c r="C103" s="6">
        <v>4588</v>
      </c>
      <c r="D103" s="1">
        <v>0.21</v>
      </c>
      <c r="E103">
        <v>1</v>
      </c>
      <c r="F103">
        <v>5</v>
      </c>
      <c r="G103" t="str">
        <f t="shared" si="4"/>
        <v>Excellent</v>
      </c>
      <c r="H103" s="6">
        <f t="shared" si="3"/>
        <v>948</v>
      </c>
      <c r="J103" t="str">
        <f t="shared" si="5"/>
        <v>Medium Discount</v>
      </c>
    </row>
    <row r="104" spans="1:10" x14ac:dyDescent="0.35">
      <c r="A104" s="4" t="s">
        <v>298</v>
      </c>
      <c r="B104" s="6">
        <v>1420</v>
      </c>
      <c r="C104" s="6">
        <v>2420</v>
      </c>
      <c r="D104" s="1">
        <v>0.41</v>
      </c>
      <c r="E104" t="s">
        <v>16703</v>
      </c>
      <c r="F104" t="s">
        <v>16703</v>
      </c>
      <c r="G104" t="str">
        <f t="shared" si="4"/>
        <v>Excellent</v>
      </c>
      <c r="H104" s="6">
        <f t="shared" si="3"/>
        <v>1000</v>
      </c>
      <c r="J104" t="str">
        <f t="shared" si="5"/>
        <v>High Discount</v>
      </c>
    </row>
    <row r="105" spans="1:10" x14ac:dyDescent="0.35">
      <c r="A105" s="4" t="s">
        <v>301</v>
      </c>
      <c r="B105" s="6">
        <v>1875</v>
      </c>
      <c r="C105" s="6">
        <v>1899</v>
      </c>
      <c r="D105" s="1">
        <v>0.01</v>
      </c>
      <c r="E105" t="s">
        <v>16703</v>
      </c>
      <c r="F105" t="s">
        <v>16703</v>
      </c>
      <c r="G105" t="str">
        <f t="shared" si="4"/>
        <v>Excellent</v>
      </c>
      <c r="H105" s="6">
        <f t="shared" si="3"/>
        <v>24</v>
      </c>
      <c r="J105" t="str">
        <f t="shared" si="5"/>
        <v>Low Discount</v>
      </c>
    </row>
    <row r="106" spans="1:10" x14ac:dyDescent="0.35">
      <c r="A106" s="4" t="s">
        <v>304</v>
      </c>
      <c r="B106" s="6">
        <v>198</v>
      </c>
      <c r="C106" s="6">
        <v>260</v>
      </c>
      <c r="D106" s="1">
        <v>0.24</v>
      </c>
      <c r="E106" t="s">
        <v>16703</v>
      </c>
      <c r="F106" t="s">
        <v>16703</v>
      </c>
      <c r="G106" t="str">
        <f t="shared" si="4"/>
        <v>Excellent</v>
      </c>
      <c r="H106" s="6">
        <f t="shared" si="3"/>
        <v>62</v>
      </c>
      <c r="J106" t="str">
        <f t="shared" si="5"/>
        <v>Medium Discount</v>
      </c>
    </row>
    <row r="107" spans="1:10" x14ac:dyDescent="0.35">
      <c r="A107" s="4" t="s">
        <v>307</v>
      </c>
      <c r="B107" s="6">
        <v>1150</v>
      </c>
      <c r="C107" s="6">
        <v>1737</v>
      </c>
      <c r="D107" s="1">
        <v>0.34</v>
      </c>
      <c r="E107" t="s">
        <v>16703</v>
      </c>
      <c r="F107" t="s">
        <v>16703</v>
      </c>
      <c r="G107" t="str">
        <f t="shared" si="4"/>
        <v>Excellent</v>
      </c>
      <c r="H107" s="6">
        <f t="shared" si="3"/>
        <v>587</v>
      </c>
      <c r="J107" t="str">
        <f t="shared" si="5"/>
        <v>Medium Discount</v>
      </c>
    </row>
    <row r="108" spans="1:10" x14ac:dyDescent="0.35">
      <c r="A108" s="4" t="s">
        <v>310</v>
      </c>
      <c r="B108" s="6">
        <v>1190</v>
      </c>
      <c r="C108" s="6">
        <v>1810</v>
      </c>
      <c r="D108" s="1">
        <v>0.34</v>
      </c>
      <c r="E108" t="s">
        <v>16703</v>
      </c>
      <c r="F108" t="s">
        <v>16703</v>
      </c>
      <c r="G108" t="str">
        <f t="shared" si="4"/>
        <v>Excellent</v>
      </c>
      <c r="H108" s="6">
        <f t="shared" si="3"/>
        <v>620</v>
      </c>
      <c r="J108" t="str">
        <f t="shared" si="5"/>
        <v>Medium Discount</v>
      </c>
    </row>
    <row r="109" spans="1:10" x14ac:dyDescent="0.35">
      <c r="A109" s="4" t="s">
        <v>312</v>
      </c>
      <c r="B109" s="6">
        <v>1658</v>
      </c>
      <c r="C109" s="6">
        <v>1699</v>
      </c>
      <c r="D109" s="1">
        <v>0.02</v>
      </c>
      <c r="E109" t="s">
        <v>16703</v>
      </c>
      <c r="F109" t="s">
        <v>16703</v>
      </c>
      <c r="G109" t="str">
        <f t="shared" si="4"/>
        <v>Excellent</v>
      </c>
      <c r="H109" s="6">
        <f t="shared" si="3"/>
        <v>41</v>
      </c>
      <c r="J109" t="str">
        <f t="shared" si="5"/>
        <v>Low Discount</v>
      </c>
    </row>
    <row r="110" spans="1:10" x14ac:dyDescent="0.35">
      <c r="A110" s="4" t="s">
        <v>314</v>
      </c>
      <c r="B110" s="6">
        <v>1768</v>
      </c>
      <c r="C110" s="6">
        <v>1799</v>
      </c>
      <c r="D110" s="1">
        <v>0.02</v>
      </c>
      <c r="E110" t="s">
        <v>16703</v>
      </c>
      <c r="F110" t="s">
        <v>16703</v>
      </c>
      <c r="G110" t="str">
        <f t="shared" si="4"/>
        <v>Excellent</v>
      </c>
      <c r="H110" s="6">
        <f t="shared" si="3"/>
        <v>31</v>
      </c>
      <c r="J110" t="str">
        <f t="shared" si="5"/>
        <v>Low Discount</v>
      </c>
    </row>
    <row r="111" spans="1:10" x14ac:dyDescent="0.35">
      <c r="A111" s="4" t="s">
        <v>316</v>
      </c>
      <c r="B111" s="6">
        <v>199</v>
      </c>
      <c r="C111" s="6">
        <v>553</v>
      </c>
      <c r="D111" s="1">
        <v>0.64</v>
      </c>
      <c r="E111" t="s">
        <v>16703</v>
      </c>
      <c r="F111" t="s">
        <v>16703</v>
      </c>
      <c r="G111" t="str">
        <f t="shared" si="4"/>
        <v>Excellent</v>
      </c>
      <c r="H111" s="6">
        <f t="shared" si="3"/>
        <v>354</v>
      </c>
      <c r="J111" t="str">
        <f t="shared" si="5"/>
        <v>High Discount</v>
      </c>
    </row>
    <row r="112" spans="1:10" x14ac:dyDescent="0.35">
      <c r="A112" s="4" t="s">
        <v>318</v>
      </c>
      <c r="B112" s="6">
        <v>450</v>
      </c>
      <c r="C112" s="6">
        <v>900</v>
      </c>
      <c r="D112" s="1">
        <v>0.5</v>
      </c>
      <c r="E112">
        <v>1</v>
      </c>
      <c r="F112">
        <v>2</v>
      </c>
      <c r="G112" t="str">
        <f t="shared" si="4"/>
        <v>Poor</v>
      </c>
      <c r="H112" s="6">
        <f t="shared" si="3"/>
        <v>450</v>
      </c>
      <c r="J112" t="str">
        <f t="shared" si="5"/>
        <v>High Discount</v>
      </c>
    </row>
    <row r="113" spans="1:10" x14ac:dyDescent="0.35">
      <c r="A113" s="4" t="s">
        <v>320</v>
      </c>
      <c r="B113" s="6">
        <v>169</v>
      </c>
      <c r="C113" s="6">
        <v>320</v>
      </c>
      <c r="D113" s="1">
        <v>0.47</v>
      </c>
      <c r="E113" t="s">
        <v>16703</v>
      </c>
      <c r="F113" t="s">
        <v>16703</v>
      </c>
      <c r="G113" t="str">
        <f t="shared" si="4"/>
        <v>Excellent</v>
      </c>
      <c r="H113" s="6">
        <f t="shared" si="3"/>
        <v>151</v>
      </c>
      <c r="J113" t="str">
        <f t="shared" si="5"/>
        <v>High Discount</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5736-24BB-4F95-AD7B-356D4F280F77}">
  <dimension ref="A1:B113"/>
  <sheetViews>
    <sheetView topLeftCell="A19" workbookViewId="0">
      <selection activeCell="B49" activeCellId="1" sqref="A1:A1048576 B1:B1048576"/>
    </sheetView>
  </sheetViews>
  <sheetFormatPr defaultRowHeight="14.5" x14ac:dyDescent="0.35"/>
  <cols>
    <col min="1" max="1" width="8.7265625" style="1"/>
  </cols>
  <sheetData>
    <row r="1" spans="1:2" x14ac:dyDescent="0.35">
      <c r="A1" s="7" t="s">
        <v>3</v>
      </c>
      <c r="B1" s="2" t="s">
        <v>4</v>
      </c>
    </row>
    <row r="2" spans="1:2" x14ac:dyDescent="0.35">
      <c r="A2" s="1">
        <v>0.38</v>
      </c>
      <c r="B2">
        <v>2</v>
      </c>
    </row>
    <row r="3" spans="1:2" x14ac:dyDescent="0.35">
      <c r="A3" s="1">
        <v>0.47</v>
      </c>
      <c r="B3">
        <v>14</v>
      </c>
    </row>
    <row r="4" spans="1:2" x14ac:dyDescent="0.35">
      <c r="A4" s="1">
        <v>0.25</v>
      </c>
      <c r="B4">
        <v>24</v>
      </c>
    </row>
    <row r="5" spans="1:2" x14ac:dyDescent="0.35">
      <c r="A5" s="1">
        <v>0.37</v>
      </c>
      <c r="B5">
        <v>7</v>
      </c>
    </row>
    <row r="6" spans="1:2" x14ac:dyDescent="0.35">
      <c r="A6" s="1">
        <v>0.26</v>
      </c>
      <c r="B6">
        <v>5</v>
      </c>
    </row>
    <row r="7" spans="1:2" x14ac:dyDescent="0.35">
      <c r="A7" s="1">
        <v>0.09</v>
      </c>
      <c r="B7">
        <v>15</v>
      </c>
    </row>
    <row r="8" spans="1:2" x14ac:dyDescent="0.35">
      <c r="A8" s="1">
        <v>0.24</v>
      </c>
      <c r="B8">
        <v>55</v>
      </c>
    </row>
    <row r="9" spans="1:2" x14ac:dyDescent="0.35">
      <c r="A9" s="1">
        <v>0.37</v>
      </c>
      <c r="B9">
        <v>2</v>
      </c>
    </row>
    <row r="10" spans="1:2" x14ac:dyDescent="0.35">
      <c r="A10" s="1">
        <v>0.55000000000000004</v>
      </c>
      <c r="B10">
        <v>5</v>
      </c>
    </row>
    <row r="11" spans="1:2" x14ac:dyDescent="0.35">
      <c r="A11" s="1">
        <v>0.45</v>
      </c>
      <c r="B11">
        <v>5</v>
      </c>
    </row>
    <row r="12" spans="1:2" x14ac:dyDescent="0.35">
      <c r="A12" s="1">
        <v>0.2</v>
      </c>
      <c r="B12">
        <v>12</v>
      </c>
    </row>
    <row r="13" spans="1:2" x14ac:dyDescent="0.35">
      <c r="A13" s="1">
        <v>0.34</v>
      </c>
      <c r="B13">
        <v>39</v>
      </c>
    </row>
    <row r="14" spans="1:2" x14ac:dyDescent="0.35">
      <c r="A14" s="1">
        <v>0.47</v>
      </c>
      <c r="B14">
        <v>12</v>
      </c>
    </row>
    <row r="15" spans="1:2" x14ac:dyDescent="0.35">
      <c r="A15" s="1">
        <v>0.42</v>
      </c>
      <c r="B15">
        <v>6</v>
      </c>
    </row>
    <row r="16" spans="1:2" x14ac:dyDescent="0.35">
      <c r="A16" s="1">
        <v>0.33</v>
      </c>
      <c r="B16">
        <v>9</v>
      </c>
    </row>
    <row r="17" spans="1:2" x14ac:dyDescent="0.35">
      <c r="A17" s="1">
        <v>0.51</v>
      </c>
      <c r="B17">
        <v>2</v>
      </c>
    </row>
    <row r="18" spans="1:2" x14ac:dyDescent="0.35">
      <c r="A18" s="1">
        <v>0.46</v>
      </c>
      <c r="B18">
        <v>2</v>
      </c>
    </row>
    <row r="19" spans="1:2" x14ac:dyDescent="0.35">
      <c r="A19" s="1">
        <v>0.49</v>
      </c>
      <c r="B19">
        <v>3</v>
      </c>
    </row>
    <row r="20" spans="1:2" x14ac:dyDescent="0.35">
      <c r="A20" s="1">
        <v>0.19</v>
      </c>
      <c r="B20">
        <v>5</v>
      </c>
    </row>
    <row r="21" spans="1:2" x14ac:dyDescent="0.35">
      <c r="A21" s="1">
        <v>0.49</v>
      </c>
      <c r="B21">
        <v>44</v>
      </c>
    </row>
    <row r="22" spans="1:2" x14ac:dyDescent="0.35">
      <c r="A22" s="1">
        <v>0.53</v>
      </c>
      <c r="B22">
        <v>13</v>
      </c>
    </row>
    <row r="23" spans="1:2" x14ac:dyDescent="0.35">
      <c r="A23" s="1">
        <v>0.42</v>
      </c>
      <c r="B23" t="s">
        <v>16703</v>
      </c>
    </row>
    <row r="24" spans="1:2" x14ac:dyDescent="0.35">
      <c r="A24" s="1">
        <v>0.35</v>
      </c>
      <c r="B24">
        <v>6</v>
      </c>
    </row>
    <row r="25" spans="1:2" x14ac:dyDescent="0.35">
      <c r="A25" s="1">
        <v>0.23</v>
      </c>
      <c r="B25">
        <v>14</v>
      </c>
    </row>
    <row r="26" spans="1:2" x14ac:dyDescent="0.35">
      <c r="A26" s="1">
        <v>0.54</v>
      </c>
      <c r="B26">
        <v>7</v>
      </c>
    </row>
    <row r="27" spans="1:2" x14ac:dyDescent="0.35">
      <c r="A27" s="1">
        <v>0.35</v>
      </c>
      <c r="B27">
        <v>49</v>
      </c>
    </row>
    <row r="28" spans="1:2" x14ac:dyDescent="0.35">
      <c r="A28" s="1">
        <v>0.18</v>
      </c>
      <c r="B28">
        <v>12</v>
      </c>
    </row>
    <row r="29" spans="1:2" x14ac:dyDescent="0.35">
      <c r="A29" s="1">
        <v>0.32</v>
      </c>
      <c r="B29">
        <v>13</v>
      </c>
    </row>
    <row r="30" spans="1:2" x14ac:dyDescent="0.35">
      <c r="A30" s="1">
        <v>0.3</v>
      </c>
      <c r="B30">
        <v>20</v>
      </c>
    </row>
    <row r="31" spans="1:2" x14ac:dyDescent="0.35">
      <c r="A31" s="1">
        <v>0.46</v>
      </c>
      <c r="B31" t="s">
        <v>16703</v>
      </c>
    </row>
    <row r="32" spans="1:2" x14ac:dyDescent="0.35">
      <c r="A32" s="1">
        <v>0.52</v>
      </c>
      <c r="B32">
        <v>9</v>
      </c>
    </row>
    <row r="33" spans="1:2" x14ac:dyDescent="0.35">
      <c r="A33" s="1">
        <v>0.34</v>
      </c>
      <c r="B33">
        <v>12</v>
      </c>
    </row>
    <row r="34" spans="1:2" x14ac:dyDescent="0.35">
      <c r="A34" s="1">
        <v>0.48</v>
      </c>
      <c r="B34">
        <v>9</v>
      </c>
    </row>
    <row r="35" spans="1:2" x14ac:dyDescent="0.35">
      <c r="A35" s="1">
        <v>0.27</v>
      </c>
      <c r="B35">
        <v>20</v>
      </c>
    </row>
    <row r="36" spans="1:2" x14ac:dyDescent="0.35">
      <c r="A36" s="1">
        <v>0.27</v>
      </c>
      <c r="B36">
        <v>32</v>
      </c>
    </row>
    <row r="37" spans="1:2" x14ac:dyDescent="0.35">
      <c r="A37" s="1">
        <v>0.4</v>
      </c>
      <c r="B37">
        <v>1</v>
      </c>
    </row>
    <row r="38" spans="1:2" x14ac:dyDescent="0.35">
      <c r="A38" s="1">
        <v>0.53</v>
      </c>
      <c r="B38">
        <v>2</v>
      </c>
    </row>
    <row r="39" spans="1:2" x14ac:dyDescent="0.35">
      <c r="A39" s="1">
        <v>0.41</v>
      </c>
      <c r="B39">
        <v>36</v>
      </c>
    </row>
    <row r="40" spans="1:2" x14ac:dyDescent="0.35">
      <c r="A40" s="1">
        <v>0.38</v>
      </c>
      <c r="B40">
        <v>2</v>
      </c>
    </row>
    <row r="41" spans="1:2" x14ac:dyDescent="0.35">
      <c r="A41" s="1">
        <v>0.38</v>
      </c>
      <c r="B41" t="s">
        <v>16703</v>
      </c>
    </row>
    <row r="42" spans="1:2" x14ac:dyDescent="0.35">
      <c r="A42" s="1">
        <v>0.49</v>
      </c>
      <c r="B42" t="s">
        <v>16703</v>
      </c>
    </row>
    <row r="43" spans="1:2" x14ac:dyDescent="0.35">
      <c r="A43" s="1">
        <v>0.5</v>
      </c>
      <c r="B43" t="s">
        <v>16703</v>
      </c>
    </row>
    <row r="44" spans="1:2" x14ac:dyDescent="0.35">
      <c r="A44" s="1">
        <v>0.42</v>
      </c>
      <c r="B44" t="s">
        <v>16703</v>
      </c>
    </row>
    <row r="45" spans="1:2" x14ac:dyDescent="0.35">
      <c r="A45" s="1">
        <v>0.02</v>
      </c>
      <c r="B45" t="s">
        <v>16703</v>
      </c>
    </row>
    <row r="46" spans="1:2" x14ac:dyDescent="0.35">
      <c r="A46" s="1">
        <v>0.5</v>
      </c>
      <c r="B46" t="s">
        <v>16703</v>
      </c>
    </row>
    <row r="47" spans="1:2" x14ac:dyDescent="0.35">
      <c r="A47" s="1">
        <v>0.33</v>
      </c>
      <c r="B47" t="s">
        <v>16703</v>
      </c>
    </row>
    <row r="48" spans="1:2" x14ac:dyDescent="0.35">
      <c r="A48" s="1">
        <v>0.49</v>
      </c>
      <c r="B48" t="s">
        <v>16703</v>
      </c>
    </row>
    <row r="49" spans="1:2" x14ac:dyDescent="0.35">
      <c r="A49" s="1">
        <v>0.38</v>
      </c>
      <c r="B49" t="s">
        <v>16703</v>
      </c>
    </row>
    <row r="50" spans="1:2" x14ac:dyDescent="0.35">
      <c r="A50" s="1">
        <v>0.61</v>
      </c>
      <c r="B50" t="s">
        <v>16703</v>
      </c>
    </row>
    <row r="51" spans="1:2" x14ac:dyDescent="0.35">
      <c r="A51" s="1">
        <v>0.5</v>
      </c>
      <c r="B51" t="s">
        <v>16703</v>
      </c>
    </row>
    <row r="52" spans="1:2" x14ac:dyDescent="0.35">
      <c r="A52" s="1">
        <v>0.02</v>
      </c>
      <c r="B52" t="s">
        <v>16703</v>
      </c>
    </row>
    <row r="53" spans="1:2" x14ac:dyDescent="0.35">
      <c r="A53" s="1">
        <v>0.22</v>
      </c>
      <c r="B53" t="s">
        <v>16703</v>
      </c>
    </row>
    <row r="54" spans="1:2" x14ac:dyDescent="0.35">
      <c r="A54" s="1">
        <v>0.03</v>
      </c>
      <c r="B54" t="s">
        <v>16703</v>
      </c>
    </row>
    <row r="55" spans="1:2" x14ac:dyDescent="0.35">
      <c r="A55" s="1">
        <v>0.41</v>
      </c>
      <c r="B55" t="s">
        <v>16703</v>
      </c>
    </row>
    <row r="56" spans="1:2" x14ac:dyDescent="0.35">
      <c r="A56" s="1">
        <v>0.45</v>
      </c>
      <c r="B56" t="s">
        <v>16703</v>
      </c>
    </row>
    <row r="57" spans="1:2" x14ac:dyDescent="0.35">
      <c r="A57" s="1">
        <v>0.48</v>
      </c>
      <c r="B57" t="s">
        <v>16703</v>
      </c>
    </row>
    <row r="58" spans="1:2" x14ac:dyDescent="0.35">
      <c r="A58" s="1">
        <v>0.49</v>
      </c>
      <c r="B58" t="s">
        <v>16703</v>
      </c>
    </row>
    <row r="59" spans="1:2" x14ac:dyDescent="0.35">
      <c r="A59" s="1">
        <v>0.27</v>
      </c>
      <c r="B59" t="s">
        <v>16703</v>
      </c>
    </row>
    <row r="60" spans="1:2" x14ac:dyDescent="0.35">
      <c r="A60" s="1">
        <v>0.55000000000000004</v>
      </c>
      <c r="B60" t="s">
        <v>16703</v>
      </c>
    </row>
    <row r="61" spans="1:2" x14ac:dyDescent="0.35">
      <c r="A61" s="1">
        <v>0.13</v>
      </c>
      <c r="B61">
        <v>6</v>
      </c>
    </row>
    <row r="62" spans="1:2" x14ac:dyDescent="0.35">
      <c r="A62" s="1">
        <v>0.54</v>
      </c>
      <c r="B62">
        <v>10</v>
      </c>
    </row>
    <row r="63" spans="1:2" x14ac:dyDescent="0.35">
      <c r="A63" s="1">
        <v>0.55000000000000004</v>
      </c>
      <c r="B63">
        <v>13</v>
      </c>
    </row>
    <row r="64" spans="1:2" x14ac:dyDescent="0.35">
      <c r="A64" s="1">
        <v>0.49</v>
      </c>
      <c r="B64">
        <v>69</v>
      </c>
    </row>
    <row r="65" spans="1:2" x14ac:dyDescent="0.35">
      <c r="A65" s="1">
        <v>0.52</v>
      </c>
      <c r="B65">
        <v>15</v>
      </c>
    </row>
    <row r="66" spans="1:2" x14ac:dyDescent="0.35">
      <c r="A66" s="1">
        <v>0.22</v>
      </c>
      <c r="B66">
        <v>16</v>
      </c>
    </row>
    <row r="67" spans="1:2" x14ac:dyDescent="0.35">
      <c r="A67" s="1">
        <v>0.45</v>
      </c>
      <c r="B67">
        <v>6</v>
      </c>
    </row>
    <row r="68" spans="1:2" x14ac:dyDescent="0.35">
      <c r="A68" s="1">
        <v>0.5</v>
      </c>
      <c r="B68">
        <v>7</v>
      </c>
    </row>
    <row r="69" spans="1:2" x14ac:dyDescent="0.35">
      <c r="A69" s="1">
        <v>0.39</v>
      </c>
      <c r="B69">
        <v>5</v>
      </c>
    </row>
    <row r="70" spans="1:2" x14ac:dyDescent="0.35">
      <c r="A70" s="1">
        <v>0.45</v>
      </c>
      <c r="B70">
        <v>17</v>
      </c>
    </row>
    <row r="71" spans="1:2" x14ac:dyDescent="0.35">
      <c r="A71" s="1">
        <v>0.28999999999999998</v>
      </c>
      <c r="B71">
        <v>5</v>
      </c>
    </row>
    <row r="72" spans="1:2" x14ac:dyDescent="0.35">
      <c r="A72" s="1">
        <v>0.43</v>
      </c>
      <c r="B72">
        <v>6</v>
      </c>
    </row>
    <row r="73" spans="1:2" x14ac:dyDescent="0.35">
      <c r="A73" s="1">
        <v>0.43</v>
      </c>
      <c r="B73">
        <v>5</v>
      </c>
    </row>
    <row r="74" spans="1:2" x14ac:dyDescent="0.35">
      <c r="A74" s="1">
        <v>0.47</v>
      </c>
      <c r="B74">
        <v>6</v>
      </c>
    </row>
    <row r="75" spans="1:2" x14ac:dyDescent="0.35">
      <c r="A75" s="1">
        <v>0.47</v>
      </c>
      <c r="B75">
        <v>7</v>
      </c>
    </row>
    <row r="76" spans="1:2" x14ac:dyDescent="0.35">
      <c r="A76" s="1">
        <v>0.47</v>
      </c>
      <c r="B76" t="s">
        <v>16703</v>
      </c>
    </row>
    <row r="77" spans="1:2" x14ac:dyDescent="0.35">
      <c r="A77" s="1">
        <v>0.43</v>
      </c>
      <c r="B77" t="s">
        <v>16703</v>
      </c>
    </row>
    <row r="78" spans="1:2" x14ac:dyDescent="0.35">
      <c r="A78" s="1">
        <v>0.04</v>
      </c>
      <c r="B78" t="s">
        <v>16703</v>
      </c>
    </row>
    <row r="79" spans="1:2" x14ac:dyDescent="0.35">
      <c r="A79" s="1">
        <v>0.49</v>
      </c>
      <c r="B79" t="s">
        <v>16703</v>
      </c>
    </row>
    <row r="80" spans="1:2" x14ac:dyDescent="0.35">
      <c r="A80" s="1">
        <v>0.46</v>
      </c>
      <c r="B80">
        <v>1</v>
      </c>
    </row>
    <row r="81" spans="1:2" x14ac:dyDescent="0.35">
      <c r="A81" s="1">
        <v>0.49</v>
      </c>
      <c r="B81">
        <v>1</v>
      </c>
    </row>
    <row r="82" spans="1:2" x14ac:dyDescent="0.35">
      <c r="A82" s="1">
        <v>0.36</v>
      </c>
      <c r="B82" t="s">
        <v>16703</v>
      </c>
    </row>
    <row r="83" spans="1:2" x14ac:dyDescent="0.35">
      <c r="A83" s="1">
        <v>0.02</v>
      </c>
      <c r="B83" t="s">
        <v>16703</v>
      </c>
    </row>
    <row r="84" spans="1:2" x14ac:dyDescent="0.35">
      <c r="A84" s="1">
        <v>0.49</v>
      </c>
      <c r="B84">
        <v>1</v>
      </c>
    </row>
    <row r="85" spans="1:2" x14ac:dyDescent="0.35">
      <c r="A85" s="1">
        <v>0.49</v>
      </c>
      <c r="B85" t="s">
        <v>16703</v>
      </c>
    </row>
    <row r="86" spans="1:2" x14ac:dyDescent="0.35">
      <c r="A86" s="1">
        <v>0.14000000000000001</v>
      </c>
      <c r="B86" t="s">
        <v>16703</v>
      </c>
    </row>
    <row r="87" spans="1:2" x14ac:dyDescent="0.35">
      <c r="A87" s="1">
        <v>0.49</v>
      </c>
      <c r="B87" t="s">
        <v>16703</v>
      </c>
    </row>
    <row r="88" spans="1:2" x14ac:dyDescent="0.35">
      <c r="A88" s="1">
        <v>0.11</v>
      </c>
      <c r="B88" t="s">
        <v>16703</v>
      </c>
    </row>
    <row r="89" spans="1:2" x14ac:dyDescent="0.35">
      <c r="A89" s="1">
        <v>0.49</v>
      </c>
      <c r="B89" t="s">
        <v>16703</v>
      </c>
    </row>
    <row r="90" spans="1:2" x14ac:dyDescent="0.35">
      <c r="A90" s="1">
        <v>0.14000000000000001</v>
      </c>
      <c r="B90" t="s">
        <v>16703</v>
      </c>
    </row>
    <row r="91" spans="1:2" x14ac:dyDescent="0.35">
      <c r="A91" s="1">
        <v>0.43</v>
      </c>
      <c r="B91" t="s">
        <v>16703</v>
      </c>
    </row>
    <row r="92" spans="1:2" x14ac:dyDescent="0.35">
      <c r="A92" s="1">
        <v>0.5</v>
      </c>
      <c r="B92" t="s">
        <v>16703</v>
      </c>
    </row>
    <row r="93" spans="1:2" x14ac:dyDescent="0.35">
      <c r="A93" s="1">
        <v>0.48</v>
      </c>
      <c r="B93" t="s">
        <v>16703</v>
      </c>
    </row>
    <row r="94" spans="1:2" x14ac:dyDescent="0.35">
      <c r="A94" s="1">
        <v>0.48</v>
      </c>
      <c r="B94" t="s">
        <v>16703</v>
      </c>
    </row>
    <row r="95" spans="1:2" x14ac:dyDescent="0.35">
      <c r="A95" s="1">
        <v>0.47</v>
      </c>
      <c r="B95" t="s">
        <v>16703</v>
      </c>
    </row>
    <row r="96" spans="1:2" x14ac:dyDescent="0.35">
      <c r="A96" s="1">
        <v>0.5</v>
      </c>
      <c r="B96" t="s">
        <v>16703</v>
      </c>
    </row>
    <row r="97" spans="1:2" x14ac:dyDescent="0.35">
      <c r="A97" s="1">
        <v>0.08</v>
      </c>
      <c r="B97" t="s">
        <v>16703</v>
      </c>
    </row>
    <row r="98" spans="1:2" x14ac:dyDescent="0.35">
      <c r="A98" s="1">
        <v>0.02</v>
      </c>
      <c r="B98" t="s">
        <v>16703</v>
      </c>
    </row>
    <row r="99" spans="1:2" x14ac:dyDescent="0.35">
      <c r="A99" s="1">
        <v>0.49</v>
      </c>
      <c r="B99" t="s">
        <v>16703</v>
      </c>
    </row>
    <row r="100" spans="1:2" x14ac:dyDescent="0.35">
      <c r="A100" s="1">
        <v>0.04</v>
      </c>
      <c r="B100" t="s">
        <v>16703</v>
      </c>
    </row>
    <row r="101" spans="1:2" x14ac:dyDescent="0.35">
      <c r="A101" s="1">
        <v>0.49</v>
      </c>
      <c r="B101" t="s">
        <v>16703</v>
      </c>
    </row>
    <row r="102" spans="1:2" x14ac:dyDescent="0.35">
      <c r="A102" s="1">
        <v>0.42</v>
      </c>
      <c r="B102" t="s">
        <v>16703</v>
      </c>
    </row>
    <row r="103" spans="1:2" x14ac:dyDescent="0.35">
      <c r="A103" s="1">
        <v>0.21</v>
      </c>
      <c r="B103">
        <v>1</v>
      </c>
    </row>
    <row r="104" spans="1:2" x14ac:dyDescent="0.35">
      <c r="A104" s="1">
        <v>0.41</v>
      </c>
      <c r="B104" t="s">
        <v>16703</v>
      </c>
    </row>
    <row r="105" spans="1:2" x14ac:dyDescent="0.35">
      <c r="A105" s="1">
        <v>0.01</v>
      </c>
      <c r="B105" t="s">
        <v>16703</v>
      </c>
    </row>
    <row r="106" spans="1:2" x14ac:dyDescent="0.35">
      <c r="A106" s="1">
        <v>0.24</v>
      </c>
      <c r="B106" t="s">
        <v>16703</v>
      </c>
    </row>
    <row r="107" spans="1:2" x14ac:dyDescent="0.35">
      <c r="A107" s="1">
        <v>0.34</v>
      </c>
      <c r="B107" t="s">
        <v>16703</v>
      </c>
    </row>
    <row r="108" spans="1:2" x14ac:dyDescent="0.35">
      <c r="A108" s="1">
        <v>0.34</v>
      </c>
      <c r="B108" t="s">
        <v>16703</v>
      </c>
    </row>
    <row r="109" spans="1:2" x14ac:dyDescent="0.35">
      <c r="A109" s="1">
        <v>0.02</v>
      </c>
      <c r="B109" t="s">
        <v>16703</v>
      </c>
    </row>
    <row r="110" spans="1:2" x14ac:dyDescent="0.35">
      <c r="A110" s="1">
        <v>0.02</v>
      </c>
      <c r="B110" t="s">
        <v>16703</v>
      </c>
    </row>
    <row r="111" spans="1:2" x14ac:dyDescent="0.35">
      <c r="A111" s="1">
        <v>0.64</v>
      </c>
      <c r="B111" t="s">
        <v>16703</v>
      </c>
    </row>
    <row r="112" spans="1:2" x14ac:dyDescent="0.35">
      <c r="A112" s="1">
        <v>0.5</v>
      </c>
      <c r="B112">
        <v>1</v>
      </c>
    </row>
    <row r="113" spans="1:2" x14ac:dyDescent="0.35">
      <c r="A113" s="1">
        <v>0.47</v>
      </c>
      <c r="B113" t="s">
        <v>16703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D89A-8888-4795-BC77-53CCC6A3902A}">
  <dimension ref="A1:B113"/>
  <sheetViews>
    <sheetView topLeftCell="A18" workbookViewId="0">
      <selection activeCell="B108" activeCellId="1" sqref="A1:A1048576 B1:B1048576"/>
    </sheetView>
  </sheetViews>
  <sheetFormatPr defaultRowHeight="14.5" x14ac:dyDescent="0.35"/>
  <cols>
    <col min="2" max="2" width="9.6328125" bestFit="1" customWidth="1"/>
  </cols>
  <sheetData>
    <row r="1" spans="1:2" x14ac:dyDescent="0.35">
      <c r="A1" s="2" t="s">
        <v>4</v>
      </c>
      <c r="B1" s="2" t="s">
        <v>324</v>
      </c>
    </row>
    <row r="2" spans="1:2" x14ac:dyDescent="0.35">
      <c r="A2">
        <v>2</v>
      </c>
      <c r="B2">
        <v>4.5</v>
      </c>
    </row>
    <row r="3" spans="1:2" x14ac:dyDescent="0.35">
      <c r="A3">
        <v>14</v>
      </c>
      <c r="B3">
        <v>4.0999999999999996</v>
      </c>
    </row>
    <row r="4" spans="1:2" x14ac:dyDescent="0.35">
      <c r="A4">
        <v>24</v>
      </c>
      <c r="B4">
        <v>4.5999999999999996</v>
      </c>
    </row>
    <row r="5" spans="1:2" x14ac:dyDescent="0.35">
      <c r="A5">
        <v>7</v>
      </c>
      <c r="B5">
        <v>4.7</v>
      </c>
    </row>
    <row r="6" spans="1:2" x14ac:dyDescent="0.35">
      <c r="A6">
        <v>5</v>
      </c>
      <c r="B6">
        <v>4.8</v>
      </c>
    </row>
    <row r="7" spans="1:2" x14ac:dyDescent="0.35">
      <c r="A7">
        <v>15</v>
      </c>
      <c r="B7">
        <v>4</v>
      </c>
    </row>
    <row r="8" spans="1:2" x14ac:dyDescent="0.35">
      <c r="A8">
        <v>55</v>
      </c>
      <c r="B8">
        <v>4.5999999999999996</v>
      </c>
    </row>
    <row r="9" spans="1:2" x14ac:dyDescent="0.35">
      <c r="A9">
        <v>2</v>
      </c>
      <c r="B9">
        <v>4</v>
      </c>
    </row>
    <row r="10" spans="1:2" x14ac:dyDescent="0.35">
      <c r="A10">
        <v>5</v>
      </c>
      <c r="B10">
        <v>4.8</v>
      </c>
    </row>
    <row r="11" spans="1:2" x14ac:dyDescent="0.35">
      <c r="A11">
        <v>5</v>
      </c>
      <c r="B11">
        <v>3.8</v>
      </c>
    </row>
    <row r="12" spans="1:2" x14ac:dyDescent="0.35">
      <c r="A12">
        <v>12</v>
      </c>
      <c r="B12">
        <v>4.0999999999999996</v>
      </c>
    </row>
    <row r="13" spans="1:2" x14ac:dyDescent="0.35">
      <c r="A13">
        <v>39</v>
      </c>
      <c r="B13">
        <v>4.7</v>
      </c>
    </row>
    <row r="14" spans="1:2" x14ac:dyDescent="0.35">
      <c r="A14">
        <v>12</v>
      </c>
      <c r="B14">
        <v>4.8</v>
      </c>
    </row>
    <row r="15" spans="1:2" x14ac:dyDescent="0.35">
      <c r="A15">
        <v>6</v>
      </c>
      <c r="B15">
        <v>4.5</v>
      </c>
    </row>
    <row r="16" spans="1:2" x14ac:dyDescent="0.35">
      <c r="A16">
        <v>9</v>
      </c>
      <c r="B16">
        <v>4.2</v>
      </c>
    </row>
    <row r="17" spans="1:2" x14ac:dyDescent="0.35">
      <c r="A17">
        <v>2</v>
      </c>
      <c r="B17">
        <v>5</v>
      </c>
    </row>
    <row r="18" spans="1:2" x14ac:dyDescent="0.35">
      <c r="A18">
        <v>2</v>
      </c>
      <c r="B18">
        <v>5</v>
      </c>
    </row>
    <row r="19" spans="1:2" x14ac:dyDescent="0.35">
      <c r="A19">
        <v>3</v>
      </c>
      <c r="B19">
        <v>5</v>
      </c>
    </row>
    <row r="20" spans="1:2" x14ac:dyDescent="0.35">
      <c r="A20">
        <v>5</v>
      </c>
      <c r="B20">
        <v>4.5999999999999996</v>
      </c>
    </row>
    <row r="21" spans="1:2" x14ac:dyDescent="0.35">
      <c r="A21">
        <v>44</v>
      </c>
      <c r="B21">
        <v>4.5999999999999996</v>
      </c>
    </row>
    <row r="22" spans="1:2" x14ac:dyDescent="0.35">
      <c r="A22">
        <v>13</v>
      </c>
      <c r="B22">
        <v>3.3</v>
      </c>
    </row>
    <row r="23" spans="1:2" x14ac:dyDescent="0.35">
      <c r="A23" t="s">
        <v>16703</v>
      </c>
      <c r="B23" t="s">
        <v>16703</v>
      </c>
    </row>
    <row r="24" spans="1:2" x14ac:dyDescent="0.35">
      <c r="A24">
        <v>6</v>
      </c>
      <c r="B24">
        <v>4</v>
      </c>
    </row>
    <row r="25" spans="1:2" x14ac:dyDescent="0.35">
      <c r="A25">
        <v>14</v>
      </c>
      <c r="B25">
        <v>4.4000000000000004</v>
      </c>
    </row>
    <row r="26" spans="1:2" x14ac:dyDescent="0.35">
      <c r="A26">
        <v>7</v>
      </c>
      <c r="B26">
        <v>4.3</v>
      </c>
    </row>
    <row r="27" spans="1:2" x14ac:dyDescent="0.35">
      <c r="A27">
        <v>49</v>
      </c>
      <c r="B27">
        <v>4.5999999999999996</v>
      </c>
    </row>
    <row r="28" spans="1:2" x14ac:dyDescent="0.35">
      <c r="A28">
        <v>12</v>
      </c>
      <c r="B28">
        <v>3.8</v>
      </c>
    </row>
    <row r="29" spans="1:2" x14ac:dyDescent="0.35">
      <c r="A29">
        <v>13</v>
      </c>
      <c r="B29">
        <v>3.8</v>
      </c>
    </row>
    <row r="30" spans="1:2" x14ac:dyDescent="0.35">
      <c r="A30">
        <v>20</v>
      </c>
      <c r="B30">
        <v>4.0999999999999996</v>
      </c>
    </row>
    <row r="31" spans="1:2" x14ac:dyDescent="0.35">
      <c r="A31" t="s">
        <v>16703</v>
      </c>
      <c r="B31" t="s">
        <v>16703</v>
      </c>
    </row>
    <row r="32" spans="1:2" x14ac:dyDescent="0.35">
      <c r="A32">
        <v>9</v>
      </c>
      <c r="B32">
        <v>4.3</v>
      </c>
    </row>
    <row r="33" spans="1:2" x14ac:dyDescent="0.35">
      <c r="A33">
        <v>12</v>
      </c>
      <c r="B33">
        <v>4.7</v>
      </c>
    </row>
    <row r="34" spans="1:2" x14ac:dyDescent="0.35">
      <c r="A34">
        <v>9</v>
      </c>
      <c r="B34">
        <v>4.3</v>
      </c>
    </row>
    <row r="35" spans="1:2" x14ac:dyDescent="0.35">
      <c r="A35">
        <v>20</v>
      </c>
      <c r="B35">
        <v>4.7</v>
      </c>
    </row>
    <row r="36" spans="1:2" x14ac:dyDescent="0.35">
      <c r="A36">
        <v>32</v>
      </c>
      <c r="B36">
        <v>4.5</v>
      </c>
    </row>
    <row r="37" spans="1:2" x14ac:dyDescent="0.35">
      <c r="A37">
        <v>1</v>
      </c>
      <c r="B37">
        <v>5</v>
      </c>
    </row>
    <row r="38" spans="1:2" x14ac:dyDescent="0.35">
      <c r="A38">
        <v>2</v>
      </c>
      <c r="B38">
        <v>5</v>
      </c>
    </row>
    <row r="39" spans="1:2" x14ac:dyDescent="0.35">
      <c r="A39">
        <v>36</v>
      </c>
      <c r="B39">
        <v>4.3</v>
      </c>
    </row>
    <row r="40" spans="1:2" x14ac:dyDescent="0.35">
      <c r="A40">
        <v>2</v>
      </c>
      <c r="B40">
        <v>4.5</v>
      </c>
    </row>
    <row r="41" spans="1:2" x14ac:dyDescent="0.35">
      <c r="A41" t="s">
        <v>16703</v>
      </c>
      <c r="B41" t="s">
        <v>16703</v>
      </c>
    </row>
    <row r="42" spans="1:2" x14ac:dyDescent="0.35">
      <c r="A42" t="s">
        <v>16703</v>
      </c>
      <c r="B42" t="s">
        <v>16703</v>
      </c>
    </row>
    <row r="43" spans="1:2" x14ac:dyDescent="0.35">
      <c r="A43" t="s">
        <v>16703</v>
      </c>
      <c r="B43" t="s">
        <v>16703</v>
      </c>
    </row>
    <row r="44" spans="1:2" x14ac:dyDescent="0.35">
      <c r="A44" t="s">
        <v>16703</v>
      </c>
      <c r="B44" t="s">
        <v>16703</v>
      </c>
    </row>
    <row r="45" spans="1:2" x14ac:dyDescent="0.35">
      <c r="A45" t="s">
        <v>16703</v>
      </c>
      <c r="B45" t="s">
        <v>16703</v>
      </c>
    </row>
    <row r="46" spans="1:2" x14ac:dyDescent="0.35">
      <c r="A46" t="s">
        <v>16703</v>
      </c>
      <c r="B46" t="s">
        <v>16703</v>
      </c>
    </row>
    <row r="47" spans="1:2" x14ac:dyDescent="0.35">
      <c r="A47" t="s">
        <v>16703</v>
      </c>
      <c r="B47" t="s">
        <v>16703</v>
      </c>
    </row>
    <row r="48" spans="1:2" x14ac:dyDescent="0.35">
      <c r="A48" t="s">
        <v>16703</v>
      </c>
      <c r="B48" t="s">
        <v>16703</v>
      </c>
    </row>
    <row r="49" spans="1:2" x14ac:dyDescent="0.35">
      <c r="A49" t="s">
        <v>16703</v>
      </c>
      <c r="B49" t="s">
        <v>16703</v>
      </c>
    </row>
    <row r="50" spans="1:2" x14ac:dyDescent="0.35">
      <c r="A50" t="s">
        <v>16703</v>
      </c>
      <c r="B50" t="s">
        <v>16703</v>
      </c>
    </row>
    <row r="51" spans="1:2" x14ac:dyDescent="0.35">
      <c r="A51" t="s">
        <v>16703</v>
      </c>
      <c r="B51" t="s">
        <v>16703</v>
      </c>
    </row>
    <row r="52" spans="1:2" x14ac:dyDescent="0.35">
      <c r="A52" t="s">
        <v>16703</v>
      </c>
      <c r="B52" t="s">
        <v>16703</v>
      </c>
    </row>
    <row r="53" spans="1:2" x14ac:dyDescent="0.35">
      <c r="A53" t="s">
        <v>16703</v>
      </c>
      <c r="B53" t="s">
        <v>16703</v>
      </c>
    </row>
    <row r="54" spans="1:2" x14ac:dyDescent="0.35">
      <c r="A54" t="s">
        <v>16703</v>
      </c>
      <c r="B54" t="s">
        <v>16703</v>
      </c>
    </row>
    <row r="55" spans="1:2" x14ac:dyDescent="0.35">
      <c r="A55" t="s">
        <v>16703</v>
      </c>
      <c r="B55" t="s">
        <v>16703</v>
      </c>
    </row>
    <row r="56" spans="1:2" x14ac:dyDescent="0.35">
      <c r="A56" t="s">
        <v>16703</v>
      </c>
      <c r="B56" t="s">
        <v>16703</v>
      </c>
    </row>
    <row r="57" spans="1:2" x14ac:dyDescent="0.35">
      <c r="A57" t="s">
        <v>16703</v>
      </c>
      <c r="B57" t="s">
        <v>16703</v>
      </c>
    </row>
    <row r="58" spans="1:2" x14ac:dyDescent="0.35">
      <c r="A58" t="s">
        <v>16703</v>
      </c>
      <c r="B58" t="s">
        <v>16703</v>
      </c>
    </row>
    <row r="59" spans="1:2" x14ac:dyDescent="0.35">
      <c r="A59" t="s">
        <v>16703</v>
      </c>
      <c r="B59" t="s">
        <v>16703</v>
      </c>
    </row>
    <row r="60" spans="1:2" x14ac:dyDescent="0.35">
      <c r="A60" t="s">
        <v>16703</v>
      </c>
      <c r="B60" t="s">
        <v>16703</v>
      </c>
    </row>
    <row r="61" spans="1:2" x14ac:dyDescent="0.35">
      <c r="A61">
        <v>6</v>
      </c>
      <c r="B61">
        <v>2.5</v>
      </c>
    </row>
    <row r="62" spans="1:2" x14ac:dyDescent="0.35">
      <c r="A62">
        <v>10</v>
      </c>
      <c r="B62">
        <v>3</v>
      </c>
    </row>
    <row r="63" spans="1:2" x14ac:dyDescent="0.35">
      <c r="A63">
        <v>13</v>
      </c>
      <c r="B63">
        <v>2.1</v>
      </c>
    </row>
    <row r="64" spans="1:2" x14ac:dyDescent="0.35">
      <c r="A64">
        <v>69</v>
      </c>
      <c r="B64">
        <v>2.8</v>
      </c>
    </row>
    <row r="65" spans="1:2" x14ac:dyDescent="0.35">
      <c r="A65">
        <v>15</v>
      </c>
      <c r="B65">
        <v>2.7</v>
      </c>
    </row>
    <row r="66" spans="1:2" x14ac:dyDescent="0.35">
      <c r="A66">
        <v>16</v>
      </c>
      <c r="B66">
        <v>2.9</v>
      </c>
    </row>
    <row r="67" spans="1:2" x14ac:dyDescent="0.35">
      <c r="A67">
        <v>6</v>
      </c>
      <c r="B67">
        <v>2.2000000000000002</v>
      </c>
    </row>
    <row r="68" spans="1:2" x14ac:dyDescent="0.35">
      <c r="A68">
        <v>7</v>
      </c>
      <c r="B68">
        <v>2.2999999999999998</v>
      </c>
    </row>
    <row r="69" spans="1:2" x14ac:dyDescent="0.35">
      <c r="A69">
        <v>5</v>
      </c>
      <c r="B69">
        <v>3</v>
      </c>
    </row>
    <row r="70" spans="1:2" x14ac:dyDescent="0.35">
      <c r="A70">
        <v>17</v>
      </c>
      <c r="B70">
        <v>2.6</v>
      </c>
    </row>
    <row r="71" spans="1:2" x14ac:dyDescent="0.35">
      <c r="A71">
        <v>5</v>
      </c>
      <c r="B71">
        <v>3</v>
      </c>
    </row>
    <row r="72" spans="1:2" x14ac:dyDescent="0.35">
      <c r="A72">
        <v>6</v>
      </c>
      <c r="B72">
        <v>2.2999999999999998</v>
      </c>
    </row>
    <row r="73" spans="1:2" x14ac:dyDescent="0.35">
      <c r="A73">
        <v>5</v>
      </c>
      <c r="B73">
        <v>3</v>
      </c>
    </row>
    <row r="74" spans="1:2" x14ac:dyDescent="0.35">
      <c r="A74">
        <v>6</v>
      </c>
      <c r="B74">
        <v>2.2000000000000002</v>
      </c>
    </row>
    <row r="75" spans="1:2" x14ac:dyDescent="0.35">
      <c r="A75">
        <v>7</v>
      </c>
      <c r="B75">
        <v>2.1</v>
      </c>
    </row>
    <row r="76" spans="1:2" x14ac:dyDescent="0.35">
      <c r="A76" t="s">
        <v>16703</v>
      </c>
      <c r="B76" t="s">
        <v>16703</v>
      </c>
    </row>
    <row r="77" spans="1:2" x14ac:dyDescent="0.35">
      <c r="A77" t="s">
        <v>16703</v>
      </c>
      <c r="B77" t="s">
        <v>16703</v>
      </c>
    </row>
    <row r="78" spans="1:2" x14ac:dyDescent="0.35">
      <c r="A78" t="s">
        <v>16703</v>
      </c>
      <c r="B78" t="s">
        <v>16703</v>
      </c>
    </row>
    <row r="79" spans="1:2" x14ac:dyDescent="0.35">
      <c r="A79" t="s">
        <v>16703</v>
      </c>
      <c r="B79" t="s">
        <v>16703</v>
      </c>
    </row>
    <row r="80" spans="1:2" x14ac:dyDescent="0.35">
      <c r="A80">
        <v>1</v>
      </c>
      <c r="B80">
        <v>3</v>
      </c>
    </row>
    <row r="81" spans="1:2" x14ac:dyDescent="0.35">
      <c r="A81">
        <v>1</v>
      </c>
      <c r="B81">
        <v>5</v>
      </c>
    </row>
    <row r="82" spans="1:2" x14ac:dyDescent="0.35">
      <c r="A82" t="s">
        <v>16703</v>
      </c>
      <c r="B82" t="s">
        <v>16703</v>
      </c>
    </row>
    <row r="83" spans="1:2" x14ac:dyDescent="0.35">
      <c r="A83" t="s">
        <v>16703</v>
      </c>
      <c r="B83" t="s">
        <v>16703</v>
      </c>
    </row>
    <row r="84" spans="1:2" x14ac:dyDescent="0.35">
      <c r="A84">
        <v>1</v>
      </c>
      <c r="B84">
        <v>4</v>
      </c>
    </row>
    <row r="85" spans="1:2" x14ac:dyDescent="0.35">
      <c r="A85" t="s">
        <v>16703</v>
      </c>
      <c r="B85" t="s">
        <v>16703</v>
      </c>
    </row>
    <row r="86" spans="1:2" x14ac:dyDescent="0.35">
      <c r="A86" t="s">
        <v>16703</v>
      </c>
      <c r="B86" t="s">
        <v>16703</v>
      </c>
    </row>
    <row r="87" spans="1:2" x14ac:dyDescent="0.35">
      <c r="A87" t="s">
        <v>16703</v>
      </c>
      <c r="B87" t="s">
        <v>16703</v>
      </c>
    </row>
    <row r="88" spans="1:2" x14ac:dyDescent="0.35">
      <c r="A88" t="s">
        <v>16703</v>
      </c>
      <c r="B88" t="s">
        <v>16703</v>
      </c>
    </row>
    <row r="89" spans="1:2" x14ac:dyDescent="0.35">
      <c r="A89" t="s">
        <v>16703</v>
      </c>
      <c r="B89" t="s">
        <v>16703</v>
      </c>
    </row>
    <row r="90" spans="1:2" x14ac:dyDescent="0.35">
      <c r="A90" t="s">
        <v>16703</v>
      </c>
      <c r="B90" t="s">
        <v>16703</v>
      </c>
    </row>
    <row r="91" spans="1:2" x14ac:dyDescent="0.35">
      <c r="A91" t="s">
        <v>16703</v>
      </c>
      <c r="B91" t="s">
        <v>16703</v>
      </c>
    </row>
    <row r="92" spans="1:2" x14ac:dyDescent="0.35">
      <c r="A92" t="s">
        <v>16703</v>
      </c>
      <c r="B92" t="s">
        <v>16703</v>
      </c>
    </row>
    <row r="93" spans="1:2" x14ac:dyDescent="0.35">
      <c r="A93" t="s">
        <v>16703</v>
      </c>
      <c r="B93" t="s">
        <v>16703</v>
      </c>
    </row>
    <row r="94" spans="1:2" x14ac:dyDescent="0.35">
      <c r="A94" t="s">
        <v>16703</v>
      </c>
      <c r="B94" t="s">
        <v>16703</v>
      </c>
    </row>
    <row r="95" spans="1:2" x14ac:dyDescent="0.35">
      <c r="A95" t="s">
        <v>16703</v>
      </c>
      <c r="B95" t="s">
        <v>16703</v>
      </c>
    </row>
    <row r="96" spans="1:2" x14ac:dyDescent="0.35">
      <c r="A96" t="s">
        <v>16703</v>
      </c>
      <c r="B96" t="s">
        <v>16703</v>
      </c>
    </row>
    <row r="97" spans="1:2" x14ac:dyDescent="0.35">
      <c r="A97" t="s">
        <v>16703</v>
      </c>
      <c r="B97" t="s">
        <v>16703</v>
      </c>
    </row>
    <row r="98" spans="1:2" x14ac:dyDescent="0.35">
      <c r="A98" t="s">
        <v>16703</v>
      </c>
      <c r="B98" t="s">
        <v>16703</v>
      </c>
    </row>
    <row r="99" spans="1:2" x14ac:dyDescent="0.35">
      <c r="A99" t="s">
        <v>16703</v>
      </c>
      <c r="B99" t="s">
        <v>16703</v>
      </c>
    </row>
    <row r="100" spans="1:2" x14ac:dyDescent="0.35">
      <c r="A100" t="s">
        <v>16703</v>
      </c>
      <c r="B100" t="s">
        <v>16703</v>
      </c>
    </row>
    <row r="101" spans="1:2" x14ac:dyDescent="0.35">
      <c r="A101" t="s">
        <v>16703</v>
      </c>
      <c r="B101" t="s">
        <v>16703</v>
      </c>
    </row>
    <row r="102" spans="1:2" x14ac:dyDescent="0.35">
      <c r="A102" t="s">
        <v>16703</v>
      </c>
      <c r="B102" t="s">
        <v>16703</v>
      </c>
    </row>
    <row r="103" spans="1:2" x14ac:dyDescent="0.35">
      <c r="A103">
        <v>1</v>
      </c>
      <c r="B103">
        <v>5</v>
      </c>
    </row>
    <row r="104" spans="1:2" x14ac:dyDescent="0.35">
      <c r="A104" t="s">
        <v>16703</v>
      </c>
      <c r="B104" t="s">
        <v>16703</v>
      </c>
    </row>
    <row r="105" spans="1:2" x14ac:dyDescent="0.35">
      <c r="A105" t="s">
        <v>16703</v>
      </c>
      <c r="B105" t="s">
        <v>16703</v>
      </c>
    </row>
    <row r="106" spans="1:2" x14ac:dyDescent="0.35">
      <c r="A106" t="s">
        <v>16703</v>
      </c>
      <c r="B106" t="s">
        <v>16703</v>
      </c>
    </row>
    <row r="107" spans="1:2" x14ac:dyDescent="0.35">
      <c r="A107" t="s">
        <v>16703</v>
      </c>
      <c r="B107" t="s">
        <v>16703</v>
      </c>
    </row>
    <row r="108" spans="1:2" x14ac:dyDescent="0.35">
      <c r="A108" t="s">
        <v>16703</v>
      </c>
      <c r="B108" t="s">
        <v>16703</v>
      </c>
    </row>
    <row r="109" spans="1:2" x14ac:dyDescent="0.35">
      <c r="A109" t="s">
        <v>16703</v>
      </c>
      <c r="B109" t="s">
        <v>16703</v>
      </c>
    </row>
    <row r="110" spans="1:2" x14ac:dyDescent="0.35">
      <c r="A110" t="s">
        <v>16703</v>
      </c>
      <c r="B110" t="s">
        <v>16703</v>
      </c>
    </row>
    <row r="111" spans="1:2" x14ac:dyDescent="0.35">
      <c r="A111" t="s">
        <v>16703</v>
      </c>
      <c r="B111" t="s">
        <v>16703</v>
      </c>
    </row>
    <row r="112" spans="1:2" x14ac:dyDescent="0.35">
      <c r="A112">
        <v>1</v>
      </c>
      <c r="B112">
        <v>2</v>
      </c>
    </row>
    <row r="113" spans="1:2" x14ac:dyDescent="0.35">
      <c r="A113" t="s">
        <v>16703</v>
      </c>
      <c r="B113" t="s">
        <v>16703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C14C-4187-49D0-AE23-AE228659101D}">
  <dimension ref="A1:B113"/>
  <sheetViews>
    <sheetView workbookViewId="0">
      <selection activeCell="B1" activeCellId="1" sqref="A1:A1048576 B1:B1048576"/>
    </sheetView>
  </sheetViews>
  <sheetFormatPr defaultRowHeight="14.5" x14ac:dyDescent="0.35"/>
  <cols>
    <col min="1" max="1" width="13.7265625" style="6" bestFit="1" customWidth="1"/>
    <col min="2" max="2" width="9.6328125" bestFit="1" customWidth="1"/>
  </cols>
  <sheetData>
    <row r="1" spans="1:2" x14ac:dyDescent="0.35">
      <c r="A1" s="5" t="s">
        <v>1</v>
      </c>
      <c r="B1" s="2" t="s">
        <v>324</v>
      </c>
    </row>
    <row r="2" spans="1:2" x14ac:dyDescent="0.35">
      <c r="A2" s="6">
        <v>950</v>
      </c>
      <c r="B2">
        <v>4.5</v>
      </c>
    </row>
    <row r="3" spans="1:2" x14ac:dyDescent="0.35">
      <c r="A3" s="6">
        <v>527</v>
      </c>
      <c r="B3">
        <v>4.0999999999999996</v>
      </c>
    </row>
    <row r="4" spans="1:2" x14ac:dyDescent="0.35">
      <c r="A4" s="6">
        <v>2199</v>
      </c>
      <c r="B4">
        <v>4.5999999999999996</v>
      </c>
    </row>
    <row r="5" spans="1:2" x14ac:dyDescent="0.35">
      <c r="A5" s="6">
        <v>1580</v>
      </c>
      <c r="B5">
        <v>4.7</v>
      </c>
    </row>
    <row r="6" spans="1:2" x14ac:dyDescent="0.35">
      <c r="A6" s="6">
        <v>1740</v>
      </c>
      <c r="B6">
        <v>4.8</v>
      </c>
    </row>
    <row r="7" spans="1:2" x14ac:dyDescent="0.35">
      <c r="A7" s="6">
        <v>2999</v>
      </c>
      <c r="B7">
        <v>4</v>
      </c>
    </row>
    <row r="8" spans="1:2" x14ac:dyDescent="0.35">
      <c r="A8" s="6">
        <v>2319</v>
      </c>
      <c r="B8">
        <v>4.5999999999999996</v>
      </c>
    </row>
    <row r="9" spans="1:2" x14ac:dyDescent="0.35">
      <c r="A9" s="6">
        <v>988</v>
      </c>
      <c r="B9">
        <v>4</v>
      </c>
    </row>
    <row r="10" spans="1:2" x14ac:dyDescent="0.35">
      <c r="A10" s="6">
        <v>1274</v>
      </c>
      <c r="B10">
        <v>4.8</v>
      </c>
    </row>
    <row r="11" spans="1:2" x14ac:dyDescent="0.35">
      <c r="A11" s="6">
        <v>1600</v>
      </c>
      <c r="B11">
        <v>3.8</v>
      </c>
    </row>
    <row r="12" spans="1:2" x14ac:dyDescent="0.35">
      <c r="A12" s="6">
        <v>799</v>
      </c>
      <c r="B12">
        <v>4.0999999999999996</v>
      </c>
    </row>
    <row r="13" spans="1:2" x14ac:dyDescent="0.35">
      <c r="A13" s="6">
        <v>990</v>
      </c>
      <c r="B13">
        <v>4.7</v>
      </c>
    </row>
    <row r="14" spans="1:2" x14ac:dyDescent="0.35">
      <c r="A14" s="6">
        <v>552</v>
      </c>
      <c r="B14">
        <v>4.8</v>
      </c>
    </row>
    <row r="15" spans="1:2" x14ac:dyDescent="0.35">
      <c r="A15" s="6">
        <v>501</v>
      </c>
      <c r="B15">
        <v>4.5</v>
      </c>
    </row>
    <row r="16" spans="1:2" x14ac:dyDescent="0.35">
      <c r="A16" s="6">
        <v>1680</v>
      </c>
      <c r="B16">
        <v>4.2</v>
      </c>
    </row>
    <row r="17" spans="1:2" x14ac:dyDescent="0.35">
      <c r="A17" s="6">
        <v>332</v>
      </c>
      <c r="B17">
        <v>5</v>
      </c>
    </row>
    <row r="18" spans="1:2" x14ac:dyDescent="0.35">
      <c r="A18" s="6">
        <v>195</v>
      </c>
      <c r="B18">
        <v>5</v>
      </c>
    </row>
    <row r="19" spans="1:2" x14ac:dyDescent="0.35">
      <c r="A19" s="6">
        <v>2025</v>
      </c>
      <c r="B19">
        <v>5</v>
      </c>
    </row>
    <row r="20" spans="1:2" x14ac:dyDescent="0.35">
      <c r="A20" s="6">
        <v>2999</v>
      </c>
      <c r="B20">
        <v>4.5999999999999996</v>
      </c>
    </row>
    <row r="21" spans="1:2" x14ac:dyDescent="0.35">
      <c r="A21" s="6">
        <v>998</v>
      </c>
      <c r="B21">
        <v>4.5999999999999996</v>
      </c>
    </row>
    <row r="22" spans="1:2" x14ac:dyDescent="0.35">
      <c r="A22" s="6">
        <v>38</v>
      </c>
      <c r="B22">
        <v>3.3</v>
      </c>
    </row>
    <row r="23" spans="1:2" x14ac:dyDescent="0.35">
      <c r="A23" s="6">
        <v>1860</v>
      </c>
      <c r="B23" t="s">
        <v>16703</v>
      </c>
    </row>
    <row r="24" spans="1:2" x14ac:dyDescent="0.35">
      <c r="A24" s="6">
        <v>880</v>
      </c>
      <c r="B24">
        <v>4</v>
      </c>
    </row>
    <row r="25" spans="1:2" x14ac:dyDescent="0.35">
      <c r="A25" s="6">
        <v>1650</v>
      </c>
      <c r="B25">
        <v>4.4000000000000004</v>
      </c>
    </row>
    <row r="26" spans="1:2" x14ac:dyDescent="0.35">
      <c r="A26" s="6">
        <v>2048</v>
      </c>
      <c r="B26">
        <v>4.3</v>
      </c>
    </row>
    <row r="27" spans="1:2" x14ac:dyDescent="0.35">
      <c r="A27" s="6">
        <v>420</v>
      </c>
      <c r="B27">
        <v>4.5999999999999996</v>
      </c>
    </row>
    <row r="28" spans="1:2" x14ac:dyDescent="0.35">
      <c r="A28" s="6">
        <v>2880</v>
      </c>
      <c r="B28">
        <v>3.8</v>
      </c>
    </row>
    <row r="29" spans="1:2" x14ac:dyDescent="0.35">
      <c r="A29" s="6">
        <v>1350</v>
      </c>
      <c r="B29">
        <v>3.8</v>
      </c>
    </row>
    <row r="30" spans="1:2" x14ac:dyDescent="0.35">
      <c r="A30" s="6">
        <v>1758</v>
      </c>
      <c r="B30">
        <v>4.0999999999999996</v>
      </c>
    </row>
    <row r="31" spans="1:2" x14ac:dyDescent="0.35">
      <c r="A31" s="6">
        <v>2200</v>
      </c>
      <c r="B31" t="s">
        <v>16703</v>
      </c>
    </row>
    <row r="32" spans="1:2" x14ac:dyDescent="0.35">
      <c r="A32" s="6">
        <v>185</v>
      </c>
      <c r="B32">
        <v>4.3</v>
      </c>
    </row>
    <row r="33" spans="1:2" x14ac:dyDescent="0.35">
      <c r="A33" s="6">
        <v>980</v>
      </c>
      <c r="B33">
        <v>4.7</v>
      </c>
    </row>
    <row r="34" spans="1:2" x14ac:dyDescent="0.35">
      <c r="A34" s="6">
        <v>1820</v>
      </c>
      <c r="B34">
        <v>4.3</v>
      </c>
    </row>
    <row r="35" spans="1:2" x14ac:dyDescent="0.35">
      <c r="A35" s="6">
        <v>1940</v>
      </c>
      <c r="B35">
        <v>4.7</v>
      </c>
    </row>
    <row r="36" spans="1:2" x14ac:dyDescent="0.35">
      <c r="A36" s="6">
        <v>1980</v>
      </c>
      <c r="B36">
        <v>4.5</v>
      </c>
    </row>
    <row r="37" spans="1:2" x14ac:dyDescent="0.35">
      <c r="A37" s="6">
        <v>1620</v>
      </c>
      <c r="B37">
        <v>5</v>
      </c>
    </row>
    <row r="38" spans="1:2" x14ac:dyDescent="0.35">
      <c r="A38" s="6">
        <v>171</v>
      </c>
      <c r="B38">
        <v>5</v>
      </c>
    </row>
    <row r="39" spans="1:2" x14ac:dyDescent="0.35">
      <c r="A39" s="6">
        <v>389</v>
      </c>
      <c r="B39">
        <v>4.3</v>
      </c>
    </row>
    <row r="40" spans="1:2" x14ac:dyDescent="0.35">
      <c r="A40" s="6">
        <v>1980</v>
      </c>
      <c r="B40">
        <v>4.5</v>
      </c>
    </row>
    <row r="41" spans="1:2" x14ac:dyDescent="0.35">
      <c r="A41" s="6">
        <v>2750</v>
      </c>
      <c r="B41" t="s">
        <v>16703</v>
      </c>
    </row>
    <row r="42" spans="1:2" x14ac:dyDescent="0.35">
      <c r="A42" s="6">
        <v>475</v>
      </c>
      <c r="B42" t="s">
        <v>16703</v>
      </c>
    </row>
    <row r="43" spans="1:2" x14ac:dyDescent="0.35">
      <c r="A43" s="6">
        <v>238</v>
      </c>
      <c r="B43" t="s">
        <v>16703</v>
      </c>
    </row>
    <row r="44" spans="1:2" x14ac:dyDescent="0.35">
      <c r="A44" s="6">
        <v>610</v>
      </c>
      <c r="B44" t="s">
        <v>16703</v>
      </c>
    </row>
    <row r="45" spans="1:2" x14ac:dyDescent="0.35">
      <c r="A45" s="6">
        <v>2132</v>
      </c>
      <c r="B45" t="s">
        <v>16703</v>
      </c>
    </row>
    <row r="46" spans="1:2" x14ac:dyDescent="0.35">
      <c r="A46" s="6">
        <v>999</v>
      </c>
      <c r="B46" t="s">
        <v>16703</v>
      </c>
    </row>
    <row r="47" spans="1:2" x14ac:dyDescent="0.35">
      <c r="A47" s="6">
        <v>1190</v>
      </c>
      <c r="B47" t="s">
        <v>16703</v>
      </c>
    </row>
    <row r="48" spans="1:2" x14ac:dyDescent="0.35">
      <c r="A48" s="6">
        <v>671</v>
      </c>
      <c r="B48" t="s">
        <v>16703</v>
      </c>
    </row>
    <row r="49" spans="1:2" x14ac:dyDescent="0.35">
      <c r="A49" s="6">
        <v>1200</v>
      </c>
      <c r="B49" t="s">
        <v>16703</v>
      </c>
    </row>
    <row r="50" spans="1:2" x14ac:dyDescent="0.35">
      <c r="A50" s="6">
        <v>199</v>
      </c>
      <c r="B50" t="s">
        <v>16703</v>
      </c>
    </row>
    <row r="51" spans="1:2" x14ac:dyDescent="0.35">
      <c r="A51" s="6">
        <v>299</v>
      </c>
      <c r="B51" t="s">
        <v>16703</v>
      </c>
    </row>
    <row r="52" spans="1:2" x14ac:dyDescent="0.35">
      <c r="A52" s="6">
        <v>1660</v>
      </c>
      <c r="B52" t="s">
        <v>16703</v>
      </c>
    </row>
    <row r="53" spans="1:2" x14ac:dyDescent="0.35">
      <c r="A53" s="6">
        <v>299</v>
      </c>
      <c r="B53" t="s">
        <v>16703</v>
      </c>
    </row>
    <row r="54" spans="1:2" x14ac:dyDescent="0.35">
      <c r="A54" s="6">
        <v>1459</v>
      </c>
      <c r="B54" t="s">
        <v>16703</v>
      </c>
    </row>
    <row r="55" spans="1:2" x14ac:dyDescent="0.35">
      <c r="A55" s="6">
        <v>799</v>
      </c>
      <c r="B55" t="s">
        <v>16703</v>
      </c>
    </row>
    <row r="56" spans="1:2" x14ac:dyDescent="0.35">
      <c r="A56" s="6">
        <v>499</v>
      </c>
      <c r="B56" t="s">
        <v>16703</v>
      </c>
    </row>
    <row r="57" spans="1:2" x14ac:dyDescent="0.35">
      <c r="A57" s="6">
        <v>699</v>
      </c>
      <c r="B57" t="s">
        <v>16703</v>
      </c>
    </row>
    <row r="58" spans="1:2" x14ac:dyDescent="0.35">
      <c r="A58" s="6">
        <v>799</v>
      </c>
      <c r="B58" t="s">
        <v>16703</v>
      </c>
    </row>
    <row r="59" spans="1:2" x14ac:dyDescent="0.35">
      <c r="A59" s="6">
        <v>2799</v>
      </c>
      <c r="B59" t="s">
        <v>16703</v>
      </c>
    </row>
    <row r="60" spans="1:2" x14ac:dyDescent="0.35">
      <c r="A60" s="6">
        <v>399</v>
      </c>
      <c r="B60" t="s">
        <v>16703</v>
      </c>
    </row>
    <row r="61" spans="1:2" x14ac:dyDescent="0.35">
      <c r="A61" s="6">
        <v>2170</v>
      </c>
      <c r="B61">
        <v>2.5</v>
      </c>
    </row>
    <row r="62" spans="1:2" x14ac:dyDescent="0.35">
      <c r="A62" s="6">
        <v>458</v>
      </c>
      <c r="B62">
        <v>3</v>
      </c>
    </row>
    <row r="63" spans="1:2" x14ac:dyDescent="0.35">
      <c r="A63" s="6">
        <v>2115</v>
      </c>
      <c r="B63">
        <v>2.1</v>
      </c>
    </row>
    <row r="64" spans="1:2" x14ac:dyDescent="0.35">
      <c r="A64" s="6">
        <v>445</v>
      </c>
      <c r="B64">
        <v>2.8</v>
      </c>
    </row>
    <row r="65" spans="1:2" x14ac:dyDescent="0.35">
      <c r="A65" s="6">
        <v>325</v>
      </c>
      <c r="B65">
        <v>2.7</v>
      </c>
    </row>
    <row r="66" spans="1:2" x14ac:dyDescent="0.35">
      <c r="A66" s="6">
        <v>1220</v>
      </c>
      <c r="B66">
        <v>2.9</v>
      </c>
    </row>
    <row r="67" spans="1:2" x14ac:dyDescent="0.35">
      <c r="A67" s="6">
        <v>990</v>
      </c>
      <c r="B67">
        <v>2.2000000000000002</v>
      </c>
    </row>
    <row r="68" spans="1:2" x14ac:dyDescent="0.35">
      <c r="A68" s="6">
        <v>1000</v>
      </c>
      <c r="B68">
        <v>2.2999999999999998</v>
      </c>
    </row>
    <row r="69" spans="1:2" x14ac:dyDescent="0.35">
      <c r="A69" s="6">
        <v>3750</v>
      </c>
      <c r="B69">
        <v>3</v>
      </c>
    </row>
    <row r="70" spans="1:2" x14ac:dyDescent="0.35">
      <c r="A70" s="6">
        <v>382</v>
      </c>
      <c r="B70">
        <v>2.6</v>
      </c>
    </row>
    <row r="71" spans="1:2" x14ac:dyDescent="0.35">
      <c r="A71" s="6">
        <v>2300</v>
      </c>
      <c r="B71">
        <v>3</v>
      </c>
    </row>
    <row r="72" spans="1:2" x14ac:dyDescent="0.35">
      <c r="A72" s="6">
        <v>345</v>
      </c>
      <c r="B72">
        <v>2.2999999999999998</v>
      </c>
    </row>
    <row r="73" spans="1:2" x14ac:dyDescent="0.35">
      <c r="A73" s="6">
        <v>509</v>
      </c>
      <c r="B73">
        <v>3</v>
      </c>
    </row>
    <row r="74" spans="1:2" x14ac:dyDescent="0.35">
      <c r="A74" s="6">
        <v>968</v>
      </c>
      <c r="B74">
        <v>2.2000000000000002</v>
      </c>
    </row>
    <row r="75" spans="1:2" x14ac:dyDescent="0.35">
      <c r="A75" s="6">
        <v>1570</v>
      </c>
      <c r="B75">
        <v>2.1</v>
      </c>
    </row>
    <row r="76" spans="1:2" x14ac:dyDescent="0.35">
      <c r="A76" s="6">
        <v>790</v>
      </c>
      <c r="B76" t="s">
        <v>16703</v>
      </c>
    </row>
    <row r="77" spans="1:2" x14ac:dyDescent="0.35">
      <c r="A77" s="6">
        <v>690</v>
      </c>
      <c r="B77" t="s">
        <v>16703</v>
      </c>
    </row>
    <row r="78" spans="1:2" x14ac:dyDescent="0.35">
      <c r="A78" s="6">
        <v>1732</v>
      </c>
      <c r="B78" t="s">
        <v>16703</v>
      </c>
    </row>
    <row r="79" spans="1:2" x14ac:dyDescent="0.35">
      <c r="A79" s="6">
        <v>230</v>
      </c>
      <c r="B79" t="s">
        <v>16703</v>
      </c>
    </row>
    <row r="80" spans="1:2" x14ac:dyDescent="0.35">
      <c r="A80" s="6">
        <v>1189</v>
      </c>
      <c r="B80">
        <v>3</v>
      </c>
    </row>
    <row r="81" spans="1:2" x14ac:dyDescent="0.35">
      <c r="A81" s="6">
        <v>979</v>
      </c>
      <c r="B81">
        <v>5</v>
      </c>
    </row>
    <row r="82" spans="1:2" x14ac:dyDescent="0.35">
      <c r="A82" s="6">
        <v>1460</v>
      </c>
      <c r="B82" t="s">
        <v>16703</v>
      </c>
    </row>
    <row r="83" spans="1:2" x14ac:dyDescent="0.35">
      <c r="A83" s="6">
        <v>1666</v>
      </c>
      <c r="B83" t="s">
        <v>16703</v>
      </c>
    </row>
    <row r="84" spans="1:2" x14ac:dyDescent="0.35">
      <c r="A84" s="6">
        <v>330</v>
      </c>
      <c r="B84">
        <v>4</v>
      </c>
    </row>
    <row r="85" spans="1:2" x14ac:dyDescent="0.35">
      <c r="A85" s="6">
        <v>176</v>
      </c>
      <c r="B85" t="s">
        <v>16703</v>
      </c>
    </row>
    <row r="86" spans="1:2" x14ac:dyDescent="0.35">
      <c r="A86" s="6">
        <v>1466</v>
      </c>
      <c r="B86" t="s">
        <v>16703</v>
      </c>
    </row>
    <row r="87" spans="1:2" x14ac:dyDescent="0.35">
      <c r="A87" s="6">
        <v>274</v>
      </c>
      <c r="B87" t="s">
        <v>16703</v>
      </c>
    </row>
    <row r="88" spans="1:2" x14ac:dyDescent="0.35">
      <c r="A88" s="6">
        <v>799</v>
      </c>
      <c r="B88" t="s">
        <v>16703</v>
      </c>
    </row>
    <row r="89" spans="1:2" x14ac:dyDescent="0.35">
      <c r="A89" s="6">
        <v>657</v>
      </c>
      <c r="B89" t="s">
        <v>16703</v>
      </c>
    </row>
    <row r="90" spans="1:2" x14ac:dyDescent="0.35">
      <c r="A90" s="6">
        <v>1468</v>
      </c>
      <c r="B90" t="s">
        <v>16703</v>
      </c>
    </row>
    <row r="91" spans="1:2" x14ac:dyDescent="0.35">
      <c r="A91" s="6">
        <v>630</v>
      </c>
      <c r="B91" t="s">
        <v>16703</v>
      </c>
    </row>
    <row r="92" spans="1:2" x14ac:dyDescent="0.35">
      <c r="A92" s="6">
        <v>850</v>
      </c>
      <c r="B92" t="s">
        <v>16703</v>
      </c>
    </row>
    <row r="93" spans="1:2" x14ac:dyDescent="0.35">
      <c r="A93" s="6">
        <v>1300</v>
      </c>
      <c r="B93" t="s">
        <v>16703</v>
      </c>
    </row>
    <row r="94" spans="1:2" x14ac:dyDescent="0.35">
      <c r="A94" s="6">
        <v>105</v>
      </c>
      <c r="B94" t="s">
        <v>16703</v>
      </c>
    </row>
    <row r="95" spans="1:2" x14ac:dyDescent="0.35">
      <c r="A95" s="6">
        <v>899</v>
      </c>
      <c r="B95" t="s">
        <v>16703</v>
      </c>
    </row>
    <row r="96" spans="1:2" x14ac:dyDescent="0.35">
      <c r="A96" s="6">
        <v>1200</v>
      </c>
      <c r="B96" t="s">
        <v>16703</v>
      </c>
    </row>
    <row r="97" spans="1:2" x14ac:dyDescent="0.35">
      <c r="A97" s="6">
        <v>1526</v>
      </c>
      <c r="B97" t="s">
        <v>16703</v>
      </c>
    </row>
    <row r="98" spans="1:2" x14ac:dyDescent="0.35">
      <c r="A98" s="6">
        <v>1462</v>
      </c>
      <c r="B98" t="s">
        <v>16703</v>
      </c>
    </row>
    <row r="99" spans="1:2" x14ac:dyDescent="0.35">
      <c r="A99" s="6">
        <v>248</v>
      </c>
      <c r="B99" t="s">
        <v>16703</v>
      </c>
    </row>
    <row r="100" spans="1:2" x14ac:dyDescent="0.35">
      <c r="A100" s="6">
        <v>3546</v>
      </c>
      <c r="B100" t="s">
        <v>16703</v>
      </c>
    </row>
    <row r="101" spans="1:2" x14ac:dyDescent="0.35">
      <c r="A101" s="6">
        <v>525</v>
      </c>
      <c r="B101" t="s">
        <v>16703</v>
      </c>
    </row>
    <row r="102" spans="1:2" x14ac:dyDescent="0.35">
      <c r="A102" s="6">
        <v>1080</v>
      </c>
      <c r="B102" t="s">
        <v>16703</v>
      </c>
    </row>
    <row r="103" spans="1:2" x14ac:dyDescent="0.35">
      <c r="A103" s="6">
        <v>3640</v>
      </c>
      <c r="B103">
        <v>5</v>
      </c>
    </row>
    <row r="104" spans="1:2" x14ac:dyDescent="0.35">
      <c r="A104" s="6">
        <v>1420</v>
      </c>
      <c r="B104" t="s">
        <v>16703</v>
      </c>
    </row>
    <row r="105" spans="1:2" x14ac:dyDescent="0.35">
      <c r="A105" s="6">
        <v>1875</v>
      </c>
      <c r="B105" t="s">
        <v>16703</v>
      </c>
    </row>
    <row r="106" spans="1:2" x14ac:dyDescent="0.35">
      <c r="A106" s="6">
        <v>198</v>
      </c>
      <c r="B106" t="s">
        <v>16703</v>
      </c>
    </row>
    <row r="107" spans="1:2" x14ac:dyDescent="0.35">
      <c r="A107" s="6">
        <v>1150</v>
      </c>
      <c r="B107" t="s">
        <v>16703</v>
      </c>
    </row>
    <row r="108" spans="1:2" x14ac:dyDescent="0.35">
      <c r="A108" s="6">
        <v>1190</v>
      </c>
      <c r="B108" t="s">
        <v>16703</v>
      </c>
    </row>
    <row r="109" spans="1:2" x14ac:dyDescent="0.35">
      <c r="A109" s="6">
        <v>1658</v>
      </c>
      <c r="B109" t="s">
        <v>16703</v>
      </c>
    </row>
    <row r="110" spans="1:2" x14ac:dyDescent="0.35">
      <c r="A110" s="6">
        <v>1768</v>
      </c>
      <c r="B110" t="s">
        <v>16703</v>
      </c>
    </row>
    <row r="111" spans="1:2" x14ac:dyDescent="0.35">
      <c r="A111" s="6">
        <v>199</v>
      </c>
      <c r="B111" t="s">
        <v>16703</v>
      </c>
    </row>
    <row r="112" spans="1:2" x14ac:dyDescent="0.35">
      <c r="A112" s="6">
        <v>450</v>
      </c>
      <c r="B112">
        <v>2</v>
      </c>
    </row>
    <row r="113" spans="1:2" x14ac:dyDescent="0.35">
      <c r="A113" s="6">
        <v>169</v>
      </c>
      <c r="B113" t="s">
        <v>16703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7E5D8-A2BE-4221-94E2-8DBE9D49F140}">
  <dimension ref="A3:B114"/>
  <sheetViews>
    <sheetView topLeftCell="A106" workbookViewId="0">
      <selection activeCell="A3" sqref="A3"/>
    </sheetView>
  </sheetViews>
  <sheetFormatPr defaultRowHeight="14.5" x14ac:dyDescent="0.35"/>
  <cols>
    <col min="1" max="1" width="86.1796875" bestFit="1" customWidth="1"/>
    <col min="2" max="2" width="14.90625" bestFit="1" customWidth="1"/>
  </cols>
  <sheetData>
    <row r="3" spans="1:2" x14ac:dyDescent="0.35">
      <c r="A3" s="10" t="s">
        <v>16722</v>
      </c>
      <c r="B3" t="s">
        <v>16725</v>
      </c>
    </row>
    <row r="4" spans="1:2" x14ac:dyDescent="0.35">
      <c r="A4" s="11" t="s">
        <v>125</v>
      </c>
      <c r="B4" s="12">
        <v>1</v>
      </c>
    </row>
    <row r="5" spans="1:2" x14ac:dyDescent="0.35">
      <c r="A5" s="11" t="s">
        <v>44</v>
      </c>
      <c r="B5" s="12">
        <v>1</v>
      </c>
    </row>
    <row r="6" spans="1:2" x14ac:dyDescent="0.35">
      <c r="A6" s="11" t="s">
        <v>6</v>
      </c>
      <c r="B6" s="12">
        <v>1</v>
      </c>
    </row>
    <row r="7" spans="1:2" x14ac:dyDescent="0.35">
      <c r="A7" s="11" t="s">
        <v>95</v>
      </c>
      <c r="B7" s="12">
        <v>1</v>
      </c>
    </row>
    <row r="8" spans="1:2" x14ac:dyDescent="0.35">
      <c r="A8" s="11" t="s">
        <v>105</v>
      </c>
      <c r="B8" s="12">
        <v>1</v>
      </c>
    </row>
    <row r="9" spans="1:2" x14ac:dyDescent="0.35">
      <c r="A9" s="11" t="s">
        <v>194</v>
      </c>
      <c r="B9" s="12">
        <v>1</v>
      </c>
    </row>
    <row r="10" spans="1:2" x14ac:dyDescent="0.35">
      <c r="A10" s="11" t="s">
        <v>177</v>
      </c>
      <c r="B10" s="12">
        <v>1</v>
      </c>
    </row>
    <row r="11" spans="1:2" x14ac:dyDescent="0.35">
      <c r="A11" s="11" t="s">
        <v>38</v>
      </c>
      <c r="B11" s="12">
        <v>1</v>
      </c>
    </row>
    <row r="12" spans="1:2" x14ac:dyDescent="0.35">
      <c r="A12" s="11" t="s">
        <v>30</v>
      </c>
      <c r="B12" s="12">
        <v>1</v>
      </c>
    </row>
    <row r="13" spans="1:2" x14ac:dyDescent="0.35">
      <c r="A13" s="11" t="s">
        <v>304</v>
      </c>
      <c r="B13" s="12">
        <v>1</v>
      </c>
    </row>
    <row r="14" spans="1:2" x14ac:dyDescent="0.35">
      <c r="A14" s="11" t="s">
        <v>251</v>
      </c>
      <c r="B14" s="12">
        <v>1</v>
      </c>
    </row>
    <row r="15" spans="1:2" x14ac:dyDescent="0.35">
      <c r="A15" s="11" t="s">
        <v>26</v>
      </c>
      <c r="B15" s="12">
        <v>1</v>
      </c>
    </row>
    <row r="16" spans="1:2" x14ac:dyDescent="0.35">
      <c r="A16" s="11" t="s">
        <v>301</v>
      </c>
      <c r="B16" s="12">
        <v>1</v>
      </c>
    </row>
    <row r="17" spans="1:2" x14ac:dyDescent="0.35">
      <c r="A17" s="11" t="s">
        <v>278</v>
      </c>
      <c r="B17" s="12">
        <v>1</v>
      </c>
    </row>
    <row r="18" spans="1:2" x14ac:dyDescent="0.35">
      <c r="A18" s="11" t="s">
        <v>151</v>
      </c>
      <c r="B18" s="12">
        <v>1</v>
      </c>
    </row>
    <row r="19" spans="1:2" x14ac:dyDescent="0.35">
      <c r="A19" s="11" t="s">
        <v>232</v>
      </c>
      <c r="B19" s="12">
        <v>1</v>
      </c>
    </row>
    <row r="20" spans="1:2" x14ac:dyDescent="0.35">
      <c r="A20" s="11" t="s">
        <v>212</v>
      </c>
      <c r="B20" s="12">
        <v>1</v>
      </c>
    </row>
    <row r="21" spans="1:2" x14ac:dyDescent="0.35">
      <c r="A21" s="11" t="s">
        <v>209</v>
      </c>
      <c r="B21" s="12">
        <v>1</v>
      </c>
    </row>
    <row r="22" spans="1:2" x14ac:dyDescent="0.35">
      <c r="A22" s="11" t="s">
        <v>68</v>
      </c>
      <c r="B22" s="12">
        <v>1</v>
      </c>
    </row>
    <row r="23" spans="1:2" x14ac:dyDescent="0.35">
      <c r="A23" s="11" t="s">
        <v>235</v>
      </c>
      <c r="B23" s="12">
        <v>1</v>
      </c>
    </row>
    <row r="24" spans="1:2" x14ac:dyDescent="0.35">
      <c r="A24" s="11" t="s">
        <v>71</v>
      </c>
      <c r="B24" s="12">
        <v>1</v>
      </c>
    </row>
    <row r="25" spans="1:2" x14ac:dyDescent="0.35">
      <c r="A25" s="11" t="s">
        <v>284</v>
      </c>
      <c r="B25" s="12">
        <v>1</v>
      </c>
    </row>
    <row r="26" spans="1:2" x14ac:dyDescent="0.35">
      <c r="A26" s="11" t="s">
        <v>47</v>
      </c>
      <c r="B26" s="12">
        <v>1</v>
      </c>
    </row>
    <row r="27" spans="1:2" x14ac:dyDescent="0.35">
      <c r="A27" s="11" t="s">
        <v>131</v>
      </c>
      <c r="B27" s="12">
        <v>1</v>
      </c>
    </row>
    <row r="28" spans="1:2" x14ac:dyDescent="0.35">
      <c r="A28" s="11" t="s">
        <v>75</v>
      </c>
      <c r="B28" s="12">
        <v>1</v>
      </c>
    </row>
    <row r="29" spans="1:2" x14ac:dyDescent="0.35">
      <c r="A29" s="11" t="s">
        <v>182</v>
      </c>
      <c r="B29" s="12">
        <v>1</v>
      </c>
    </row>
    <row r="30" spans="1:2" x14ac:dyDescent="0.35">
      <c r="A30" s="11" t="s">
        <v>97</v>
      </c>
      <c r="B30" s="12">
        <v>1</v>
      </c>
    </row>
    <row r="31" spans="1:2" x14ac:dyDescent="0.35">
      <c r="A31" s="11" t="s">
        <v>114</v>
      </c>
      <c r="B31" s="12">
        <v>1</v>
      </c>
    </row>
    <row r="32" spans="1:2" x14ac:dyDescent="0.35">
      <c r="A32" s="11" t="s">
        <v>111</v>
      </c>
      <c r="B32" s="12">
        <v>1</v>
      </c>
    </row>
    <row r="33" spans="1:2" x14ac:dyDescent="0.35">
      <c r="A33" s="11" t="s">
        <v>248</v>
      </c>
      <c r="B33" s="12">
        <v>1</v>
      </c>
    </row>
    <row r="34" spans="1:2" x14ac:dyDescent="0.35">
      <c r="A34" s="11" t="s">
        <v>190</v>
      </c>
      <c r="B34" s="12">
        <v>1</v>
      </c>
    </row>
    <row r="35" spans="1:2" x14ac:dyDescent="0.35">
      <c r="A35" s="11" t="s">
        <v>316</v>
      </c>
      <c r="B35" s="12">
        <v>1</v>
      </c>
    </row>
    <row r="36" spans="1:2" x14ac:dyDescent="0.35">
      <c r="A36" s="11" t="s">
        <v>277</v>
      </c>
      <c r="B36" s="12">
        <v>1</v>
      </c>
    </row>
    <row r="37" spans="1:2" x14ac:dyDescent="0.35">
      <c r="A37" s="11" t="s">
        <v>145</v>
      </c>
      <c r="B37" s="12">
        <v>1</v>
      </c>
    </row>
    <row r="38" spans="1:2" x14ac:dyDescent="0.35">
      <c r="A38" s="11" t="s">
        <v>240</v>
      </c>
      <c r="B38" s="12">
        <v>1</v>
      </c>
    </row>
    <row r="39" spans="1:2" x14ac:dyDescent="0.35">
      <c r="A39" s="11" t="s">
        <v>227</v>
      </c>
      <c r="B39" s="12">
        <v>1</v>
      </c>
    </row>
    <row r="40" spans="1:2" x14ac:dyDescent="0.35">
      <c r="A40" s="11" t="s">
        <v>292</v>
      </c>
      <c r="B40" s="12">
        <v>1</v>
      </c>
    </row>
    <row r="41" spans="1:2" x14ac:dyDescent="0.35">
      <c r="A41" s="11" t="s">
        <v>298</v>
      </c>
      <c r="B41" s="12">
        <v>1</v>
      </c>
    </row>
    <row r="42" spans="1:2" x14ac:dyDescent="0.35">
      <c r="A42" s="11" t="s">
        <v>215</v>
      </c>
      <c r="B42" s="12">
        <v>1</v>
      </c>
    </row>
    <row r="43" spans="1:2" x14ac:dyDescent="0.35">
      <c r="A43" s="11" t="s">
        <v>175</v>
      </c>
      <c r="B43" s="12">
        <v>2</v>
      </c>
    </row>
    <row r="44" spans="1:2" x14ac:dyDescent="0.35">
      <c r="A44" s="11" t="s">
        <v>56</v>
      </c>
      <c r="B44" s="12">
        <v>1</v>
      </c>
    </row>
    <row r="45" spans="1:2" x14ac:dyDescent="0.35">
      <c r="A45" s="11" t="s">
        <v>206</v>
      </c>
      <c r="B45" s="12">
        <v>1</v>
      </c>
    </row>
    <row r="46" spans="1:2" x14ac:dyDescent="0.35">
      <c r="A46" s="11" t="s">
        <v>289</v>
      </c>
      <c r="B46" s="12">
        <v>1</v>
      </c>
    </row>
    <row r="47" spans="1:2" x14ac:dyDescent="0.35">
      <c r="A47" s="11" t="s">
        <v>137</v>
      </c>
      <c r="B47" s="12">
        <v>1</v>
      </c>
    </row>
    <row r="48" spans="1:2" x14ac:dyDescent="0.35">
      <c r="A48" s="11" t="s">
        <v>245</v>
      </c>
      <c r="B48" s="12">
        <v>1</v>
      </c>
    </row>
    <row r="49" spans="1:2" x14ac:dyDescent="0.35">
      <c r="A49" s="11" t="s">
        <v>320</v>
      </c>
      <c r="B49" s="12">
        <v>1</v>
      </c>
    </row>
    <row r="50" spans="1:2" x14ac:dyDescent="0.35">
      <c r="A50" s="11" t="s">
        <v>157</v>
      </c>
      <c r="B50" s="12">
        <v>1</v>
      </c>
    </row>
    <row r="51" spans="1:2" x14ac:dyDescent="0.35">
      <c r="A51" s="11" t="s">
        <v>148</v>
      </c>
      <c r="B51" s="12">
        <v>1</v>
      </c>
    </row>
    <row r="52" spans="1:2" x14ac:dyDescent="0.35">
      <c r="A52" s="11" t="s">
        <v>258</v>
      </c>
      <c r="B52" s="12">
        <v>1</v>
      </c>
    </row>
    <row r="53" spans="1:2" x14ac:dyDescent="0.35">
      <c r="A53" s="11" t="s">
        <v>310</v>
      </c>
      <c r="B53" s="12">
        <v>1</v>
      </c>
    </row>
    <row r="54" spans="1:2" x14ac:dyDescent="0.35">
      <c r="A54" s="11" t="s">
        <v>143</v>
      </c>
      <c r="B54" s="12">
        <v>1</v>
      </c>
    </row>
    <row r="55" spans="1:2" x14ac:dyDescent="0.35">
      <c r="A55" s="11" t="s">
        <v>173</v>
      </c>
      <c r="B55" s="12">
        <v>1</v>
      </c>
    </row>
    <row r="56" spans="1:2" x14ac:dyDescent="0.35">
      <c r="A56" s="11" t="s">
        <v>120</v>
      </c>
      <c r="B56" s="12">
        <v>1</v>
      </c>
    </row>
    <row r="57" spans="1:2" x14ac:dyDescent="0.35">
      <c r="A57" s="11" t="s">
        <v>154</v>
      </c>
      <c r="B57" s="12">
        <v>2</v>
      </c>
    </row>
    <row r="58" spans="1:2" x14ac:dyDescent="0.35">
      <c r="A58" s="11" t="s">
        <v>237</v>
      </c>
      <c r="B58" s="12">
        <v>1</v>
      </c>
    </row>
    <row r="59" spans="1:2" x14ac:dyDescent="0.35">
      <c r="A59" s="11" t="s">
        <v>168</v>
      </c>
      <c r="B59" s="12">
        <v>1</v>
      </c>
    </row>
    <row r="60" spans="1:2" x14ac:dyDescent="0.35">
      <c r="A60" s="11" t="s">
        <v>33</v>
      </c>
      <c r="B60" s="12">
        <v>1</v>
      </c>
    </row>
    <row r="61" spans="1:2" x14ac:dyDescent="0.35">
      <c r="A61" s="11" t="s">
        <v>117</v>
      </c>
      <c r="B61" s="12">
        <v>1</v>
      </c>
    </row>
    <row r="62" spans="1:2" x14ac:dyDescent="0.35">
      <c r="A62" s="11" t="s">
        <v>229</v>
      </c>
      <c r="B62" s="12">
        <v>1</v>
      </c>
    </row>
    <row r="63" spans="1:2" x14ac:dyDescent="0.35">
      <c r="A63" s="11" t="s">
        <v>89</v>
      </c>
      <c r="B63" s="12">
        <v>1</v>
      </c>
    </row>
    <row r="64" spans="1:2" x14ac:dyDescent="0.35">
      <c r="A64" s="11" t="s">
        <v>102</v>
      </c>
      <c r="B64" s="12">
        <v>1</v>
      </c>
    </row>
    <row r="65" spans="1:2" x14ac:dyDescent="0.35">
      <c r="A65" s="11" t="s">
        <v>81</v>
      </c>
      <c r="B65" s="12">
        <v>1</v>
      </c>
    </row>
    <row r="66" spans="1:2" x14ac:dyDescent="0.35">
      <c r="A66" s="11" t="s">
        <v>42</v>
      </c>
      <c r="B66" s="12">
        <v>1</v>
      </c>
    </row>
    <row r="67" spans="1:2" x14ac:dyDescent="0.35">
      <c r="A67" s="11" t="s">
        <v>253</v>
      </c>
      <c r="B67" s="12">
        <v>1</v>
      </c>
    </row>
    <row r="68" spans="1:2" x14ac:dyDescent="0.35">
      <c r="A68" s="11" t="s">
        <v>198</v>
      </c>
      <c r="B68" s="12">
        <v>1</v>
      </c>
    </row>
    <row r="69" spans="1:2" x14ac:dyDescent="0.35">
      <c r="A69" s="11" t="s">
        <v>295</v>
      </c>
      <c r="B69" s="12">
        <v>1</v>
      </c>
    </row>
    <row r="70" spans="1:2" x14ac:dyDescent="0.35">
      <c r="A70" s="11" t="s">
        <v>218</v>
      </c>
      <c r="B70" s="12">
        <v>1</v>
      </c>
    </row>
    <row r="71" spans="1:2" x14ac:dyDescent="0.35">
      <c r="A71" s="11" t="s">
        <v>85</v>
      </c>
      <c r="B71" s="12">
        <v>1</v>
      </c>
    </row>
    <row r="72" spans="1:2" x14ac:dyDescent="0.35">
      <c r="A72" s="11" t="s">
        <v>63</v>
      </c>
      <c r="B72" s="12">
        <v>1</v>
      </c>
    </row>
    <row r="73" spans="1:2" x14ac:dyDescent="0.35">
      <c r="A73" s="11" t="s">
        <v>50</v>
      </c>
      <c r="B73" s="12">
        <v>1</v>
      </c>
    </row>
    <row r="74" spans="1:2" x14ac:dyDescent="0.35">
      <c r="A74" s="11" t="s">
        <v>35</v>
      </c>
      <c r="B74" s="12">
        <v>1</v>
      </c>
    </row>
    <row r="75" spans="1:2" x14ac:dyDescent="0.35">
      <c r="A75" s="11" t="s">
        <v>128</v>
      </c>
      <c r="B75" s="12">
        <v>1</v>
      </c>
    </row>
    <row r="76" spans="1:2" x14ac:dyDescent="0.35">
      <c r="A76" s="11" t="s">
        <v>108</v>
      </c>
      <c r="B76" s="12">
        <v>1</v>
      </c>
    </row>
    <row r="77" spans="1:2" x14ac:dyDescent="0.35">
      <c r="A77" s="11" t="s">
        <v>78</v>
      </c>
      <c r="B77" s="12">
        <v>1</v>
      </c>
    </row>
    <row r="78" spans="1:2" x14ac:dyDescent="0.35">
      <c r="A78" s="11" t="s">
        <v>307</v>
      </c>
      <c r="B78" s="12">
        <v>1</v>
      </c>
    </row>
    <row r="79" spans="1:2" x14ac:dyDescent="0.35">
      <c r="A79" s="11" t="s">
        <v>66</v>
      </c>
      <c r="B79" s="12">
        <v>1</v>
      </c>
    </row>
    <row r="80" spans="1:2" x14ac:dyDescent="0.35">
      <c r="A80" s="11" t="s">
        <v>243</v>
      </c>
      <c r="B80" s="12">
        <v>1</v>
      </c>
    </row>
    <row r="81" spans="1:2" x14ac:dyDescent="0.35">
      <c r="A81" s="11" t="s">
        <v>10</v>
      </c>
      <c r="B81" s="12">
        <v>1</v>
      </c>
    </row>
    <row r="82" spans="1:2" x14ac:dyDescent="0.35">
      <c r="A82" s="11" t="s">
        <v>287</v>
      </c>
      <c r="B82" s="12">
        <v>1</v>
      </c>
    </row>
    <row r="83" spans="1:2" x14ac:dyDescent="0.35">
      <c r="A83" s="11" t="s">
        <v>134</v>
      </c>
      <c r="B83" s="12">
        <v>1</v>
      </c>
    </row>
    <row r="84" spans="1:2" x14ac:dyDescent="0.35">
      <c r="A84" s="11" t="s">
        <v>53</v>
      </c>
      <c r="B84" s="12">
        <v>1</v>
      </c>
    </row>
    <row r="85" spans="1:2" x14ac:dyDescent="0.35">
      <c r="A85" s="11" t="s">
        <v>266</v>
      </c>
      <c r="B85" s="12">
        <v>1</v>
      </c>
    </row>
    <row r="86" spans="1:2" x14ac:dyDescent="0.35">
      <c r="A86" s="11" t="s">
        <v>99</v>
      </c>
      <c r="B86" s="12">
        <v>1</v>
      </c>
    </row>
    <row r="87" spans="1:2" x14ac:dyDescent="0.35">
      <c r="A87" s="11" t="s">
        <v>165</v>
      </c>
      <c r="B87" s="12">
        <v>1</v>
      </c>
    </row>
    <row r="88" spans="1:2" x14ac:dyDescent="0.35">
      <c r="A88" s="11" t="s">
        <v>186</v>
      </c>
      <c r="B88" s="12">
        <v>1</v>
      </c>
    </row>
    <row r="89" spans="1:2" x14ac:dyDescent="0.35">
      <c r="A89" s="11" t="s">
        <v>256</v>
      </c>
      <c r="B89" s="12">
        <v>1</v>
      </c>
    </row>
    <row r="90" spans="1:2" x14ac:dyDescent="0.35">
      <c r="A90" s="11" t="s">
        <v>261</v>
      </c>
      <c r="B90" s="12">
        <v>1</v>
      </c>
    </row>
    <row r="91" spans="1:2" x14ac:dyDescent="0.35">
      <c r="A91" s="11" t="s">
        <v>60</v>
      </c>
      <c r="B91" s="12">
        <v>1</v>
      </c>
    </row>
    <row r="92" spans="1:2" x14ac:dyDescent="0.35">
      <c r="A92" s="11" t="s">
        <v>160</v>
      </c>
      <c r="B92" s="12">
        <v>1</v>
      </c>
    </row>
    <row r="93" spans="1:2" x14ac:dyDescent="0.35">
      <c r="A93" s="11" t="s">
        <v>163</v>
      </c>
      <c r="B93" s="12">
        <v>1</v>
      </c>
    </row>
    <row r="94" spans="1:2" x14ac:dyDescent="0.35">
      <c r="A94" s="11" t="s">
        <v>22</v>
      </c>
      <c r="B94" s="12">
        <v>1</v>
      </c>
    </row>
    <row r="95" spans="1:2" x14ac:dyDescent="0.35">
      <c r="A95" s="11" t="s">
        <v>14</v>
      </c>
      <c r="B95" s="12">
        <v>1</v>
      </c>
    </row>
    <row r="96" spans="1:2" x14ac:dyDescent="0.35">
      <c r="A96" s="11" t="s">
        <v>282</v>
      </c>
      <c r="B96" s="12">
        <v>1</v>
      </c>
    </row>
    <row r="97" spans="1:2" x14ac:dyDescent="0.35">
      <c r="A97" s="11" t="s">
        <v>92</v>
      </c>
      <c r="B97" s="12">
        <v>1</v>
      </c>
    </row>
    <row r="98" spans="1:2" x14ac:dyDescent="0.35">
      <c r="A98" s="11" t="s">
        <v>272</v>
      </c>
      <c r="B98" s="12">
        <v>1</v>
      </c>
    </row>
    <row r="99" spans="1:2" x14ac:dyDescent="0.35">
      <c r="A99" s="11" t="s">
        <v>122</v>
      </c>
      <c r="B99" s="12">
        <v>1</v>
      </c>
    </row>
    <row r="100" spans="1:2" x14ac:dyDescent="0.35">
      <c r="A100" s="11" t="s">
        <v>274</v>
      </c>
      <c r="B100" s="12">
        <v>1</v>
      </c>
    </row>
    <row r="101" spans="1:2" x14ac:dyDescent="0.35">
      <c r="A101" s="11" t="s">
        <v>140</v>
      </c>
      <c r="B101" s="12">
        <v>1</v>
      </c>
    </row>
    <row r="102" spans="1:2" x14ac:dyDescent="0.35">
      <c r="A102" s="11" t="s">
        <v>312</v>
      </c>
      <c r="B102" s="12">
        <v>1</v>
      </c>
    </row>
    <row r="103" spans="1:2" x14ac:dyDescent="0.35">
      <c r="A103" s="11" t="s">
        <v>170</v>
      </c>
      <c r="B103" s="12">
        <v>2</v>
      </c>
    </row>
    <row r="104" spans="1:2" x14ac:dyDescent="0.35">
      <c r="A104" s="11" t="s">
        <v>314</v>
      </c>
      <c r="B104" s="12">
        <v>1</v>
      </c>
    </row>
    <row r="105" spans="1:2" x14ac:dyDescent="0.35">
      <c r="A105" s="11" t="s">
        <v>202</v>
      </c>
      <c r="B105" s="12">
        <v>1</v>
      </c>
    </row>
    <row r="106" spans="1:2" x14ac:dyDescent="0.35">
      <c r="A106" s="11" t="s">
        <v>269</v>
      </c>
      <c r="B106" s="12">
        <v>1</v>
      </c>
    </row>
    <row r="107" spans="1:2" x14ac:dyDescent="0.35">
      <c r="A107" s="11" t="s">
        <v>280</v>
      </c>
      <c r="B107" s="12">
        <v>1</v>
      </c>
    </row>
    <row r="108" spans="1:2" x14ac:dyDescent="0.35">
      <c r="A108" s="11" t="s">
        <v>318</v>
      </c>
      <c r="B108" s="12">
        <v>1</v>
      </c>
    </row>
    <row r="109" spans="1:2" x14ac:dyDescent="0.35">
      <c r="A109" s="11" t="s">
        <v>264</v>
      </c>
      <c r="B109" s="12">
        <v>1</v>
      </c>
    </row>
    <row r="110" spans="1:2" x14ac:dyDescent="0.35">
      <c r="A110" s="11" t="s">
        <v>221</v>
      </c>
      <c r="B110" s="12">
        <v>1</v>
      </c>
    </row>
    <row r="111" spans="1:2" x14ac:dyDescent="0.35">
      <c r="A111" s="11" t="s">
        <v>18</v>
      </c>
      <c r="B111" s="12">
        <v>1</v>
      </c>
    </row>
    <row r="112" spans="1:2" x14ac:dyDescent="0.35">
      <c r="A112" s="11" t="s">
        <v>224</v>
      </c>
      <c r="B112" s="12">
        <v>1</v>
      </c>
    </row>
    <row r="113" spans="1:2" x14ac:dyDescent="0.35">
      <c r="A113" s="11" t="s">
        <v>16723</v>
      </c>
      <c r="B113" s="12"/>
    </row>
    <row r="114" spans="1:2" x14ac:dyDescent="0.35">
      <c r="A114" s="11" t="s">
        <v>16724</v>
      </c>
      <c r="B114" s="12">
        <v>112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D6E0-0F90-42FA-8143-234615340A63}">
  <dimension ref="A3:D14"/>
  <sheetViews>
    <sheetView topLeftCell="A10" workbookViewId="0">
      <selection activeCell="B16" sqref="B16"/>
    </sheetView>
  </sheetViews>
  <sheetFormatPr defaultRowHeight="14.5" x14ac:dyDescent="0.35"/>
  <cols>
    <col min="1" max="1" width="66.1796875" bestFit="1" customWidth="1"/>
    <col min="2" max="2" width="14.6328125" bestFit="1" customWidth="1"/>
    <col min="3" max="3" width="13.36328125" bestFit="1" customWidth="1"/>
    <col min="4" max="4" width="13.08984375" bestFit="1" customWidth="1"/>
  </cols>
  <sheetData>
    <row r="3" spans="1:4" x14ac:dyDescent="0.35">
      <c r="A3" s="10" t="s">
        <v>16722</v>
      </c>
      <c r="B3" t="s">
        <v>16729</v>
      </c>
      <c r="C3" t="s">
        <v>16736</v>
      </c>
      <c r="D3" t="s">
        <v>16734</v>
      </c>
    </row>
    <row r="4" spans="1:4" x14ac:dyDescent="0.35">
      <c r="A4" s="11" t="s">
        <v>71</v>
      </c>
      <c r="B4" s="1">
        <v>0.53</v>
      </c>
      <c r="C4" s="12">
        <v>3.3</v>
      </c>
      <c r="D4" s="12">
        <v>13</v>
      </c>
    </row>
    <row r="5" spans="1:4" x14ac:dyDescent="0.35">
      <c r="A5" s="11" t="s">
        <v>190</v>
      </c>
      <c r="B5" s="1">
        <v>0.55000000000000004</v>
      </c>
      <c r="C5" s="12">
        <v>2.1</v>
      </c>
      <c r="D5" s="12">
        <v>13</v>
      </c>
    </row>
    <row r="6" spans="1:4" x14ac:dyDescent="0.35">
      <c r="A6" s="11" t="s">
        <v>316</v>
      </c>
      <c r="B6" s="1">
        <v>0.64</v>
      </c>
      <c r="C6" s="12">
        <v>0</v>
      </c>
      <c r="D6" s="12">
        <v>0</v>
      </c>
    </row>
    <row r="7" spans="1:4" x14ac:dyDescent="0.35">
      <c r="A7" s="11" t="s">
        <v>175</v>
      </c>
      <c r="B7" s="1">
        <v>0.98</v>
      </c>
      <c r="C7" s="12">
        <v>0</v>
      </c>
      <c r="D7" s="12">
        <v>0</v>
      </c>
    </row>
    <row r="8" spans="1:4" x14ac:dyDescent="0.35">
      <c r="A8" s="11" t="s">
        <v>120</v>
      </c>
      <c r="B8" s="1">
        <v>0.53</v>
      </c>
      <c r="C8" s="12">
        <v>5</v>
      </c>
      <c r="D8" s="12">
        <v>2</v>
      </c>
    </row>
    <row r="9" spans="1:4" x14ac:dyDescent="0.35">
      <c r="A9" s="11" t="s">
        <v>154</v>
      </c>
      <c r="B9" s="1">
        <v>1.1000000000000001</v>
      </c>
      <c r="C9" s="12">
        <v>0</v>
      </c>
      <c r="D9" s="12">
        <v>0</v>
      </c>
    </row>
    <row r="10" spans="1:4" x14ac:dyDescent="0.35">
      <c r="A10" s="11" t="s">
        <v>85</v>
      </c>
      <c r="B10" s="1">
        <v>0.54</v>
      </c>
      <c r="C10" s="12">
        <v>4.3</v>
      </c>
      <c r="D10" s="12">
        <v>7</v>
      </c>
    </row>
    <row r="11" spans="1:4" x14ac:dyDescent="0.35">
      <c r="A11" s="11" t="s">
        <v>35</v>
      </c>
      <c r="B11" s="1">
        <v>0.55000000000000004</v>
      </c>
      <c r="C11" s="12">
        <v>4.8</v>
      </c>
      <c r="D11" s="12">
        <v>5</v>
      </c>
    </row>
    <row r="12" spans="1:4" x14ac:dyDescent="0.35">
      <c r="A12" s="11" t="s">
        <v>186</v>
      </c>
      <c r="B12" s="1">
        <v>0.54</v>
      </c>
      <c r="C12" s="12">
        <v>3</v>
      </c>
      <c r="D12" s="12">
        <v>10</v>
      </c>
    </row>
    <row r="13" spans="1:4" x14ac:dyDescent="0.35">
      <c r="A13" s="11" t="s">
        <v>170</v>
      </c>
      <c r="B13" s="1">
        <v>1</v>
      </c>
      <c r="C13" s="12">
        <v>0</v>
      </c>
      <c r="D13" s="12">
        <v>0</v>
      </c>
    </row>
    <row r="14" spans="1:4" x14ac:dyDescent="0.35">
      <c r="A14" s="11" t="s">
        <v>16724</v>
      </c>
      <c r="B14" s="1">
        <v>6.96</v>
      </c>
      <c r="C14" s="12">
        <v>22.5</v>
      </c>
      <c r="D14" s="12">
        <v>50</v>
      </c>
    </row>
  </sheetData>
  <sortState xmlns:xlrd2="http://schemas.microsoft.com/office/spreadsheetml/2017/richdata2" columnSort="1" ref="A3:D113">
    <sortCondition ref="D3"/>
  </sortState>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E72D5-83C1-4B1D-ABB2-FE25C69191C5}">
  <dimension ref="A3:B50"/>
  <sheetViews>
    <sheetView workbookViewId="0">
      <selection activeCell="B3" sqref="B3"/>
    </sheetView>
  </sheetViews>
  <sheetFormatPr defaultRowHeight="14.5" x14ac:dyDescent="0.35"/>
  <cols>
    <col min="1" max="1" width="12.453125" bestFit="1" customWidth="1"/>
    <col min="2" max="2" width="13.36328125" bestFit="1" customWidth="1"/>
  </cols>
  <sheetData>
    <row r="3" spans="1:2" x14ac:dyDescent="0.35">
      <c r="A3" s="10" t="s">
        <v>16722</v>
      </c>
      <c r="B3" t="s">
        <v>16736</v>
      </c>
    </row>
    <row r="4" spans="1:2" x14ac:dyDescent="0.35">
      <c r="A4" s="13">
        <v>0.01</v>
      </c>
      <c r="B4" s="12">
        <v>0</v>
      </c>
    </row>
    <row r="5" spans="1:2" x14ac:dyDescent="0.35">
      <c r="A5" s="13">
        <v>0.02</v>
      </c>
      <c r="B5" s="12">
        <v>0</v>
      </c>
    </row>
    <row r="6" spans="1:2" x14ac:dyDescent="0.35">
      <c r="A6" s="13">
        <v>0.03</v>
      </c>
      <c r="B6" s="12">
        <v>0</v>
      </c>
    </row>
    <row r="7" spans="1:2" x14ac:dyDescent="0.35">
      <c r="A7" s="13">
        <v>0.04</v>
      </c>
      <c r="B7" s="12">
        <v>0</v>
      </c>
    </row>
    <row r="8" spans="1:2" x14ac:dyDescent="0.35">
      <c r="A8" s="13">
        <v>0.08</v>
      </c>
      <c r="B8" s="12">
        <v>0</v>
      </c>
    </row>
    <row r="9" spans="1:2" x14ac:dyDescent="0.35">
      <c r="A9" s="13">
        <v>0.09</v>
      </c>
      <c r="B9" s="12">
        <v>4</v>
      </c>
    </row>
    <row r="10" spans="1:2" x14ac:dyDescent="0.35">
      <c r="A10" s="13">
        <v>0.11</v>
      </c>
      <c r="B10" s="12">
        <v>0</v>
      </c>
    </row>
    <row r="11" spans="1:2" x14ac:dyDescent="0.35">
      <c r="A11" s="13">
        <v>0.13</v>
      </c>
      <c r="B11" s="12">
        <v>2.5</v>
      </c>
    </row>
    <row r="12" spans="1:2" x14ac:dyDescent="0.35">
      <c r="A12" s="13">
        <v>0.14000000000000001</v>
      </c>
      <c r="B12" s="12">
        <v>0</v>
      </c>
    </row>
    <row r="13" spans="1:2" x14ac:dyDescent="0.35">
      <c r="A13" s="13">
        <v>0.18</v>
      </c>
      <c r="B13" s="12">
        <v>3.8</v>
      </c>
    </row>
    <row r="14" spans="1:2" x14ac:dyDescent="0.35">
      <c r="A14" s="13">
        <v>0.19</v>
      </c>
      <c r="B14" s="12">
        <v>4.5999999999999996</v>
      </c>
    </row>
    <row r="15" spans="1:2" x14ac:dyDescent="0.35">
      <c r="A15" s="13">
        <v>0.2</v>
      </c>
      <c r="B15" s="12">
        <v>4.0999999999999996</v>
      </c>
    </row>
    <row r="16" spans="1:2" x14ac:dyDescent="0.35">
      <c r="A16" s="13">
        <v>0.21</v>
      </c>
      <c r="B16" s="12">
        <v>5</v>
      </c>
    </row>
    <row r="17" spans="1:2" x14ac:dyDescent="0.35">
      <c r="A17" s="13">
        <v>0.22</v>
      </c>
      <c r="B17" s="12">
        <v>2.9</v>
      </c>
    </row>
    <row r="18" spans="1:2" x14ac:dyDescent="0.35">
      <c r="A18" s="13">
        <v>0.23</v>
      </c>
      <c r="B18" s="12">
        <v>4.4000000000000004</v>
      </c>
    </row>
    <row r="19" spans="1:2" x14ac:dyDescent="0.35">
      <c r="A19" s="13">
        <v>0.24</v>
      </c>
      <c r="B19" s="12">
        <v>4.5999999999999996</v>
      </c>
    </row>
    <row r="20" spans="1:2" x14ac:dyDescent="0.35">
      <c r="A20" s="13">
        <v>0.25</v>
      </c>
      <c r="B20" s="12">
        <v>4.5999999999999996</v>
      </c>
    </row>
    <row r="21" spans="1:2" x14ac:dyDescent="0.35">
      <c r="A21" s="13">
        <v>0.26</v>
      </c>
      <c r="B21" s="12">
        <v>4.8</v>
      </c>
    </row>
    <row r="22" spans="1:2" x14ac:dyDescent="0.35">
      <c r="A22" s="13">
        <v>0.27</v>
      </c>
      <c r="B22" s="12">
        <v>9.1999999999999993</v>
      </c>
    </row>
    <row r="23" spans="1:2" x14ac:dyDescent="0.35">
      <c r="A23" s="13">
        <v>0.28999999999999998</v>
      </c>
      <c r="B23" s="12">
        <v>3</v>
      </c>
    </row>
    <row r="24" spans="1:2" x14ac:dyDescent="0.35">
      <c r="A24" s="13">
        <v>0.3</v>
      </c>
      <c r="B24" s="12">
        <v>4.0999999999999996</v>
      </c>
    </row>
    <row r="25" spans="1:2" x14ac:dyDescent="0.35">
      <c r="A25" s="13">
        <v>0.32</v>
      </c>
      <c r="B25" s="12">
        <v>3.8</v>
      </c>
    </row>
    <row r="26" spans="1:2" x14ac:dyDescent="0.35">
      <c r="A26" s="13">
        <v>0.33</v>
      </c>
      <c r="B26" s="12">
        <v>4.2</v>
      </c>
    </row>
    <row r="27" spans="1:2" x14ac:dyDescent="0.35">
      <c r="A27" s="13">
        <v>0.34</v>
      </c>
      <c r="B27" s="12">
        <v>9.4</v>
      </c>
    </row>
    <row r="28" spans="1:2" x14ac:dyDescent="0.35">
      <c r="A28" s="13">
        <v>0.35</v>
      </c>
      <c r="B28" s="12">
        <v>8.6</v>
      </c>
    </row>
    <row r="29" spans="1:2" x14ac:dyDescent="0.35">
      <c r="A29" s="13">
        <v>0.36</v>
      </c>
      <c r="B29" s="12">
        <v>0</v>
      </c>
    </row>
    <row r="30" spans="1:2" x14ac:dyDescent="0.35">
      <c r="A30" s="13">
        <v>0.37</v>
      </c>
      <c r="B30" s="12">
        <v>8.6999999999999993</v>
      </c>
    </row>
    <row r="31" spans="1:2" x14ac:dyDescent="0.35">
      <c r="A31" s="13">
        <v>0.38</v>
      </c>
      <c r="B31" s="12">
        <v>9</v>
      </c>
    </row>
    <row r="32" spans="1:2" x14ac:dyDescent="0.35">
      <c r="A32" s="13">
        <v>0.39</v>
      </c>
      <c r="B32" s="12">
        <v>3</v>
      </c>
    </row>
    <row r="33" spans="1:2" x14ac:dyDescent="0.35">
      <c r="A33" s="13">
        <v>0.4</v>
      </c>
      <c r="B33" s="12">
        <v>5</v>
      </c>
    </row>
    <row r="34" spans="1:2" x14ac:dyDescent="0.35">
      <c r="A34" s="13">
        <v>0.41</v>
      </c>
      <c r="B34" s="12">
        <v>4.3</v>
      </c>
    </row>
    <row r="35" spans="1:2" x14ac:dyDescent="0.35">
      <c r="A35" s="13">
        <v>0.42</v>
      </c>
      <c r="B35" s="12">
        <v>4.5</v>
      </c>
    </row>
    <row r="36" spans="1:2" x14ac:dyDescent="0.35">
      <c r="A36" s="13">
        <v>0.43</v>
      </c>
      <c r="B36" s="12">
        <v>5.3</v>
      </c>
    </row>
    <row r="37" spans="1:2" x14ac:dyDescent="0.35">
      <c r="A37" s="13">
        <v>0.45</v>
      </c>
      <c r="B37" s="12">
        <v>8.6000000000000014</v>
      </c>
    </row>
    <row r="38" spans="1:2" x14ac:dyDescent="0.35">
      <c r="A38" s="13">
        <v>0.46</v>
      </c>
      <c r="B38" s="12">
        <v>8</v>
      </c>
    </row>
    <row r="39" spans="1:2" x14ac:dyDescent="0.35">
      <c r="A39" s="13">
        <v>0.47</v>
      </c>
      <c r="B39" s="12">
        <v>13.199999999999998</v>
      </c>
    </row>
    <row r="40" spans="1:2" x14ac:dyDescent="0.35">
      <c r="A40" s="13">
        <v>0.48</v>
      </c>
      <c r="B40" s="12">
        <v>4.3</v>
      </c>
    </row>
    <row r="41" spans="1:2" x14ac:dyDescent="0.35">
      <c r="A41" s="13">
        <v>0.49</v>
      </c>
      <c r="B41" s="12">
        <v>21.400000000000002</v>
      </c>
    </row>
    <row r="42" spans="1:2" x14ac:dyDescent="0.35">
      <c r="A42" s="13">
        <v>0.5</v>
      </c>
      <c r="B42" s="12">
        <v>4.3</v>
      </c>
    </row>
    <row r="43" spans="1:2" x14ac:dyDescent="0.35">
      <c r="A43" s="13">
        <v>0.51</v>
      </c>
      <c r="B43" s="12">
        <v>5</v>
      </c>
    </row>
    <row r="44" spans="1:2" x14ac:dyDescent="0.35">
      <c r="A44" s="13">
        <v>0.52</v>
      </c>
      <c r="B44" s="12">
        <v>7</v>
      </c>
    </row>
    <row r="45" spans="1:2" x14ac:dyDescent="0.35">
      <c r="A45" s="13">
        <v>0.53</v>
      </c>
      <c r="B45" s="12">
        <v>8.3000000000000007</v>
      </c>
    </row>
    <row r="46" spans="1:2" x14ac:dyDescent="0.35">
      <c r="A46" s="13">
        <v>0.54</v>
      </c>
      <c r="B46" s="12">
        <v>7.3</v>
      </c>
    </row>
    <row r="47" spans="1:2" x14ac:dyDescent="0.35">
      <c r="A47" s="13">
        <v>0.55000000000000004</v>
      </c>
      <c r="B47" s="12">
        <v>6.9</v>
      </c>
    </row>
    <row r="48" spans="1:2" x14ac:dyDescent="0.35">
      <c r="A48" s="13">
        <v>0.61</v>
      </c>
      <c r="B48" s="12">
        <v>0</v>
      </c>
    </row>
    <row r="49" spans="1:2" x14ac:dyDescent="0.35">
      <c r="A49" s="13">
        <v>0.64</v>
      </c>
      <c r="B49" s="12">
        <v>0</v>
      </c>
    </row>
    <row r="50" spans="1:2" x14ac:dyDescent="0.35">
      <c r="A50" s="13" t="s">
        <v>16724</v>
      </c>
      <c r="B50" s="12">
        <v>221.70000000000005</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B24E-7D29-4790-A404-D1D517C707F7}">
  <dimension ref="A3:B113"/>
  <sheetViews>
    <sheetView workbookViewId="0">
      <selection activeCell="D12" sqref="D12"/>
    </sheetView>
  </sheetViews>
  <sheetFormatPr defaultRowHeight="14.5" x14ac:dyDescent="0.35"/>
  <cols>
    <col min="1" max="1" width="86.1796875" bestFit="1" customWidth="1"/>
    <col min="2" max="2" width="12.7265625" bestFit="1" customWidth="1"/>
  </cols>
  <sheetData>
    <row r="3" spans="1:2" x14ac:dyDescent="0.35">
      <c r="A3" s="10" t="s">
        <v>16722</v>
      </c>
      <c r="B3" t="s">
        <v>16737</v>
      </c>
    </row>
    <row r="4" spans="1:2" x14ac:dyDescent="0.35">
      <c r="A4" s="11" t="s">
        <v>125</v>
      </c>
      <c r="B4" s="12">
        <v>2</v>
      </c>
    </row>
    <row r="5" spans="1:2" x14ac:dyDescent="0.35">
      <c r="A5" s="11" t="s">
        <v>44</v>
      </c>
      <c r="B5" s="12">
        <v>39</v>
      </c>
    </row>
    <row r="6" spans="1:2" x14ac:dyDescent="0.35">
      <c r="A6" s="11" t="s">
        <v>6</v>
      </c>
      <c r="B6" s="12">
        <v>2</v>
      </c>
    </row>
    <row r="7" spans="1:2" x14ac:dyDescent="0.35">
      <c r="A7" s="11" t="s">
        <v>95</v>
      </c>
      <c r="B7" s="12">
        <v>13</v>
      </c>
    </row>
    <row r="8" spans="1:2" x14ac:dyDescent="0.35">
      <c r="A8" s="11" t="s">
        <v>105</v>
      </c>
      <c r="B8" s="12">
        <v>12</v>
      </c>
    </row>
    <row r="9" spans="1:2" x14ac:dyDescent="0.35">
      <c r="A9" s="11" t="s">
        <v>194</v>
      </c>
      <c r="B9" s="12">
        <v>69</v>
      </c>
    </row>
    <row r="10" spans="1:2" x14ac:dyDescent="0.35">
      <c r="A10" s="11" t="s">
        <v>177</v>
      </c>
      <c r="B10" s="12">
        <v>0</v>
      </c>
    </row>
    <row r="11" spans="1:2" x14ac:dyDescent="0.35">
      <c r="A11" s="11" t="s">
        <v>38</v>
      </c>
      <c r="B11" s="12">
        <v>5</v>
      </c>
    </row>
    <row r="12" spans="1:2" x14ac:dyDescent="0.35">
      <c r="A12" s="11" t="s">
        <v>30</v>
      </c>
      <c r="B12" s="12">
        <v>55</v>
      </c>
    </row>
    <row r="13" spans="1:2" x14ac:dyDescent="0.35">
      <c r="A13" s="11" t="s">
        <v>304</v>
      </c>
      <c r="B13" s="12">
        <v>0</v>
      </c>
    </row>
    <row r="14" spans="1:2" x14ac:dyDescent="0.35">
      <c r="A14" s="11" t="s">
        <v>251</v>
      </c>
      <c r="B14" s="12">
        <v>0</v>
      </c>
    </row>
    <row r="15" spans="1:2" x14ac:dyDescent="0.35">
      <c r="A15" s="11" t="s">
        <v>26</v>
      </c>
      <c r="B15" s="12">
        <v>15</v>
      </c>
    </row>
    <row r="16" spans="1:2" x14ac:dyDescent="0.35">
      <c r="A16" s="11" t="s">
        <v>301</v>
      </c>
      <c r="B16" s="12">
        <v>0</v>
      </c>
    </row>
    <row r="17" spans="1:2" x14ac:dyDescent="0.35">
      <c r="A17" s="11" t="s">
        <v>278</v>
      </c>
      <c r="B17" s="12">
        <v>0</v>
      </c>
    </row>
    <row r="18" spans="1:2" x14ac:dyDescent="0.35">
      <c r="A18" s="11" t="s">
        <v>151</v>
      </c>
      <c r="B18" s="12">
        <v>0</v>
      </c>
    </row>
    <row r="19" spans="1:2" x14ac:dyDescent="0.35">
      <c r="A19" s="11" t="s">
        <v>232</v>
      </c>
      <c r="B19" s="12">
        <v>0</v>
      </c>
    </row>
    <row r="20" spans="1:2" x14ac:dyDescent="0.35">
      <c r="A20" s="11" t="s">
        <v>212</v>
      </c>
      <c r="B20" s="12">
        <v>5</v>
      </c>
    </row>
    <row r="21" spans="1:2" x14ac:dyDescent="0.35">
      <c r="A21" s="11" t="s">
        <v>209</v>
      </c>
      <c r="B21" s="12">
        <v>7</v>
      </c>
    </row>
    <row r="22" spans="1:2" x14ac:dyDescent="0.35">
      <c r="A22" s="11" t="s">
        <v>68</v>
      </c>
      <c r="B22" s="12">
        <v>44</v>
      </c>
    </row>
    <row r="23" spans="1:2" x14ac:dyDescent="0.35">
      <c r="A23" s="11" t="s">
        <v>235</v>
      </c>
      <c r="B23" s="12">
        <v>0</v>
      </c>
    </row>
    <row r="24" spans="1:2" x14ac:dyDescent="0.35">
      <c r="A24" s="11" t="s">
        <v>71</v>
      </c>
      <c r="B24" s="12">
        <v>13</v>
      </c>
    </row>
    <row r="25" spans="1:2" x14ac:dyDescent="0.35">
      <c r="A25" s="11" t="s">
        <v>284</v>
      </c>
      <c r="B25" s="12">
        <v>0</v>
      </c>
    </row>
    <row r="26" spans="1:2" x14ac:dyDescent="0.35">
      <c r="A26" s="11" t="s">
        <v>47</v>
      </c>
      <c r="B26" s="12">
        <v>12</v>
      </c>
    </row>
    <row r="27" spans="1:2" x14ac:dyDescent="0.35">
      <c r="A27" s="11" t="s">
        <v>131</v>
      </c>
      <c r="B27" s="12">
        <v>0</v>
      </c>
    </row>
    <row r="28" spans="1:2" x14ac:dyDescent="0.35">
      <c r="A28" s="11" t="s">
        <v>75</v>
      </c>
      <c r="B28" s="12">
        <v>0</v>
      </c>
    </row>
    <row r="29" spans="1:2" x14ac:dyDescent="0.35">
      <c r="A29" s="11" t="s">
        <v>182</v>
      </c>
      <c r="B29" s="12">
        <v>6</v>
      </c>
    </row>
    <row r="30" spans="1:2" x14ac:dyDescent="0.35">
      <c r="A30" s="11" t="s">
        <v>97</v>
      </c>
      <c r="B30" s="12">
        <v>20</v>
      </c>
    </row>
    <row r="31" spans="1:2" x14ac:dyDescent="0.35">
      <c r="A31" s="11" t="s">
        <v>114</v>
      </c>
      <c r="B31" s="12">
        <v>32</v>
      </c>
    </row>
    <row r="32" spans="1:2" x14ac:dyDescent="0.35">
      <c r="A32" s="11" t="s">
        <v>111</v>
      </c>
      <c r="B32" s="12">
        <v>20</v>
      </c>
    </row>
    <row r="33" spans="1:2" x14ac:dyDescent="0.35">
      <c r="A33" s="11" t="s">
        <v>248</v>
      </c>
      <c r="B33" s="12">
        <v>0</v>
      </c>
    </row>
    <row r="34" spans="1:2" x14ac:dyDescent="0.35">
      <c r="A34" s="11" t="s">
        <v>190</v>
      </c>
      <c r="B34" s="12">
        <v>13</v>
      </c>
    </row>
    <row r="35" spans="1:2" x14ac:dyDescent="0.35">
      <c r="A35" s="11" t="s">
        <v>316</v>
      </c>
      <c r="B35" s="12">
        <v>0</v>
      </c>
    </row>
    <row r="36" spans="1:2" x14ac:dyDescent="0.35">
      <c r="A36" s="11" t="s">
        <v>277</v>
      </c>
      <c r="B36" s="12">
        <v>0</v>
      </c>
    </row>
    <row r="37" spans="1:2" x14ac:dyDescent="0.35">
      <c r="A37" s="11" t="s">
        <v>145</v>
      </c>
      <c r="B37" s="12">
        <v>0</v>
      </c>
    </row>
    <row r="38" spans="1:2" x14ac:dyDescent="0.35">
      <c r="A38" s="11" t="s">
        <v>240</v>
      </c>
      <c r="B38" s="12">
        <v>0</v>
      </c>
    </row>
    <row r="39" spans="1:2" x14ac:dyDescent="0.35">
      <c r="A39" s="11" t="s">
        <v>227</v>
      </c>
      <c r="B39" s="12">
        <v>6</v>
      </c>
    </row>
    <row r="40" spans="1:2" x14ac:dyDescent="0.35">
      <c r="A40" s="11" t="s">
        <v>292</v>
      </c>
      <c r="B40" s="12">
        <v>0</v>
      </c>
    </row>
    <row r="41" spans="1:2" x14ac:dyDescent="0.35">
      <c r="A41" s="11" t="s">
        <v>298</v>
      </c>
      <c r="B41" s="12">
        <v>0</v>
      </c>
    </row>
    <row r="42" spans="1:2" x14ac:dyDescent="0.35">
      <c r="A42" s="11" t="s">
        <v>215</v>
      </c>
      <c r="B42" s="12">
        <v>17</v>
      </c>
    </row>
    <row r="43" spans="1:2" x14ac:dyDescent="0.35">
      <c r="A43" s="11" t="s">
        <v>175</v>
      </c>
      <c r="B43" s="12">
        <v>0</v>
      </c>
    </row>
    <row r="44" spans="1:2" x14ac:dyDescent="0.35">
      <c r="A44" s="11" t="s">
        <v>56</v>
      </c>
      <c r="B44" s="12">
        <v>2</v>
      </c>
    </row>
    <row r="45" spans="1:2" x14ac:dyDescent="0.35">
      <c r="A45" s="11" t="s">
        <v>206</v>
      </c>
      <c r="B45" s="12">
        <v>6</v>
      </c>
    </row>
    <row r="46" spans="1:2" x14ac:dyDescent="0.35">
      <c r="A46" s="11" t="s">
        <v>289</v>
      </c>
      <c r="B46" s="12">
        <v>0</v>
      </c>
    </row>
    <row r="47" spans="1:2" x14ac:dyDescent="0.35">
      <c r="A47" s="11" t="s">
        <v>137</v>
      </c>
      <c r="B47" s="12">
        <v>0</v>
      </c>
    </row>
    <row r="48" spans="1:2" x14ac:dyDescent="0.35">
      <c r="A48" s="11" t="s">
        <v>245</v>
      </c>
      <c r="B48" s="12">
        <v>1</v>
      </c>
    </row>
    <row r="49" spans="1:2" x14ac:dyDescent="0.35">
      <c r="A49" s="11" t="s">
        <v>320</v>
      </c>
      <c r="B49" s="12">
        <v>0</v>
      </c>
    </row>
    <row r="50" spans="1:2" x14ac:dyDescent="0.35">
      <c r="A50" s="11" t="s">
        <v>157</v>
      </c>
      <c r="B50" s="12">
        <v>0</v>
      </c>
    </row>
    <row r="51" spans="1:2" x14ac:dyDescent="0.35">
      <c r="A51" s="11" t="s">
        <v>148</v>
      </c>
      <c r="B51" s="12">
        <v>0</v>
      </c>
    </row>
    <row r="52" spans="1:2" x14ac:dyDescent="0.35">
      <c r="A52" s="11" t="s">
        <v>258</v>
      </c>
      <c r="B52" s="12">
        <v>0</v>
      </c>
    </row>
    <row r="53" spans="1:2" x14ac:dyDescent="0.35">
      <c r="A53" s="11" t="s">
        <v>310</v>
      </c>
      <c r="B53" s="12">
        <v>0</v>
      </c>
    </row>
    <row r="54" spans="1:2" x14ac:dyDescent="0.35">
      <c r="A54" s="11" t="s">
        <v>143</v>
      </c>
      <c r="B54" s="12">
        <v>0</v>
      </c>
    </row>
    <row r="55" spans="1:2" x14ac:dyDescent="0.35">
      <c r="A55" s="11" t="s">
        <v>173</v>
      </c>
      <c r="B55" s="12">
        <v>0</v>
      </c>
    </row>
    <row r="56" spans="1:2" x14ac:dyDescent="0.35">
      <c r="A56" s="11" t="s">
        <v>120</v>
      </c>
      <c r="B56" s="12">
        <v>2</v>
      </c>
    </row>
    <row r="57" spans="1:2" x14ac:dyDescent="0.35">
      <c r="A57" s="11" t="s">
        <v>154</v>
      </c>
      <c r="B57" s="12">
        <v>0</v>
      </c>
    </row>
    <row r="58" spans="1:2" x14ac:dyDescent="0.35">
      <c r="A58" s="11" t="s">
        <v>237</v>
      </c>
      <c r="B58" s="12">
        <v>0</v>
      </c>
    </row>
    <row r="59" spans="1:2" x14ac:dyDescent="0.35">
      <c r="A59" s="11" t="s">
        <v>168</v>
      </c>
      <c r="B59" s="12">
        <v>0</v>
      </c>
    </row>
    <row r="60" spans="1:2" x14ac:dyDescent="0.35">
      <c r="A60" s="11" t="s">
        <v>33</v>
      </c>
      <c r="B60" s="12">
        <v>2</v>
      </c>
    </row>
    <row r="61" spans="1:2" x14ac:dyDescent="0.35">
      <c r="A61" s="11" t="s">
        <v>117</v>
      </c>
      <c r="B61" s="12">
        <v>1</v>
      </c>
    </row>
    <row r="62" spans="1:2" x14ac:dyDescent="0.35">
      <c r="A62" s="11" t="s">
        <v>229</v>
      </c>
      <c r="B62" s="12">
        <v>7</v>
      </c>
    </row>
    <row r="63" spans="1:2" x14ac:dyDescent="0.35">
      <c r="A63" s="11" t="s">
        <v>89</v>
      </c>
      <c r="B63" s="12">
        <v>49</v>
      </c>
    </row>
    <row r="64" spans="1:2" x14ac:dyDescent="0.35">
      <c r="A64" s="11" t="s">
        <v>102</v>
      </c>
      <c r="B64" s="12">
        <v>9</v>
      </c>
    </row>
    <row r="65" spans="1:2" x14ac:dyDescent="0.35">
      <c r="A65" s="11" t="s">
        <v>81</v>
      </c>
      <c r="B65" s="12">
        <v>14</v>
      </c>
    </row>
    <row r="66" spans="1:2" x14ac:dyDescent="0.35">
      <c r="A66" s="11" t="s">
        <v>42</v>
      </c>
      <c r="B66" s="12">
        <v>12</v>
      </c>
    </row>
    <row r="67" spans="1:2" x14ac:dyDescent="0.35">
      <c r="A67" s="11" t="s">
        <v>253</v>
      </c>
      <c r="B67" s="12">
        <v>1</v>
      </c>
    </row>
    <row r="68" spans="1:2" x14ac:dyDescent="0.35">
      <c r="A68" s="11" t="s">
        <v>198</v>
      </c>
      <c r="B68" s="12">
        <v>15</v>
      </c>
    </row>
    <row r="69" spans="1:2" x14ac:dyDescent="0.35">
      <c r="A69" s="11" t="s">
        <v>295</v>
      </c>
      <c r="B69" s="12">
        <v>1</v>
      </c>
    </row>
    <row r="70" spans="1:2" x14ac:dyDescent="0.35">
      <c r="A70" s="11" t="s">
        <v>218</v>
      </c>
      <c r="B70" s="12">
        <v>5</v>
      </c>
    </row>
    <row r="71" spans="1:2" x14ac:dyDescent="0.35">
      <c r="A71" s="11" t="s">
        <v>85</v>
      </c>
      <c r="B71" s="12">
        <v>7</v>
      </c>
    </row>
    <row r="72" spans="1:2" x14ac:dyDescent="0.35">
      <c r="A72" s="11" t="s">
        <v>63</v>
      </c>
      <c r="B72" s="12">
        <v>3</v>
      </c>
    </row>
    <row r="73" spans="1:2" x14ac:dyDescent="0.35">
      <c r="A73" s="11" t="s">
        <v>50</v>
      </c>
      <c r="B73" s="12">
        <v>6</v>
      </c>
    </row>
    <row r="74" spans="1:2" x14ac:dyDescent="0.35">
      <c r="A74" s="11" t="s">
        <v>35</v>
      </c>
      <c r="B74" s="12">
        <v>5</v>
      </c>
    </row>
    <row r="75" spans="1:2" x14ac:dyDescent="0.35">
      <c r="A75" s="11" t="s">
        <v>128</v>
      </c>
      <c r="B75" s="12">
        <v>0</v>
      </c>
    </row>
    <row r="76" spans="1:2" x14ac:dyDescent="0.35">
      <c r="A76" s="11" t="s">
        <v>108</v>
      </c>
      <c r="B76" s="12">
        <v>9</v>
      </c>
    </row>
    <row r="77" spans="1:2" x14ac:dyDescent="0.35">
      <c r="A77" s="11" t="s">
        <v>78</v>
      </c>
      <c r="B77" s="12">
        <v>6</v>
      </c>
    </row>
    <row r="78" spans="1:2" x14ac:dyDescent="0.35">
      <c r="A78" s="11" t="s">
        <v>307</v>
      </c>
      <c r="B78" s="12">
        <v>0</v>
      </c>
    </row>
    <row r="79" spans="1:2" x14ac:dyDescent="0.35">
      <c r="A79" s="11" t="s">
        <v>66</v>
      </c>
      <c r="B79" s="12">
        <v>5</v>
      </c>
    </row>
    <row r="80" spans="1:2" x14ac:dyDescent="0.35">
      <c r="A80" s="11" t="s">
        <v>243</v>
      </c>
      <c r="B80" s="12">
        <v>1</v>
      </c>
    </row>
    <row r="81" spans="1:2" x14ac:dyDescent="0.35">
      <c r="A81" s="11" t="s">
        <v>10</v>
      </c>
      <c r="B81" s="12">
        <v>14</v>
      </c>
    </row>
    <row r="82" spans="1:2" x14ac:dyDescent="0.35">
      <c r="A82" s="11" t="s">
        <v>287</v>
      </c>
      <c r="B82" s="12">
        <v>0</v>
      </c>
    </row>
    <row r="83" spans="1:2" x14ac:dyDescent="0.35">
      <c r="A83" s="11" t="s">
        <v>134</v>
      </c>
      <c r="B83" s="12">
        <v>0</v>
      </c>
    </row>
    <row r="84" spans="1:2" x14ac:dyDescent="0.35">
      <c r="A84" s="11" t="s">
        <v>53</v>
      </c>
      <c r="B84" s="12">
        <v>9</v>
      </c>
    </row>
    <row r="85" spans="1:2" x14ac:dyDescent="0.35">
      <c r="A85" s="11" t="s">
        <v>266</v>
      </c>
      <c r="B85" s="12">
        <v>0</v>
      </c>
    </row>
    <row r="86" spans="1:2" x14ac:dyDescent="0.35">
      <c r="A86" s="11" t="s">
        <v>99</v>
      </c>
      <c r="B86" s="12">
        <v>0</v>
      </c>
    </row>
    <row r="87" spans="1:2" x14ac:dyDescent="0.35">
      <c r="A87" s="11" t="s">
        <v>165</v>
      </c>
      <c r="B87" s="12">
        <v>0</v>
      </c>
    </row>
    <row r="88" spans="1:2" x14ac:dyDescent="0.35">
      <c r="A88" s="11" t="s">
        <v>186</v>
      </c>
      <c r="B88" s="12">
        <v>10</v>
      </c>
    </row>
    <row r="89" spans="1:2" x14ac:dyDescent="0.35">
      <c r="A89" s="11" t="s">
        <v>256</v>
      </c>
      <c r="B89" s="12">
        <v>0</v>
      </c>
    </row>
    <row r="90" spans="1:2" x14ac:dyDescent="0.35">
      <c r="A90" s="11" t="s">
        <v>261</v>
      </c>
      <c r="B90" s="12">
        <v>0</v>
      </c>
    </row>
    <row r="91" spans="1:2" x14ac:dyDescent="0.35">
      <c r="A91" s="11" t="s">
        <v>60</v>
      </c>
      <c r="B91" s="12">
        <v>2</v>
      </c>
    </row>
    <row r="92" spans="1:2" x14ac:dyDescent="0.35">
      <c r="A92" s="11" t="s">
        <v>160</v>
      </c>
      <c r="B92" s="12">
        <v>0</v>
      </c>
    </row>
    <row r="93" spans="1:2" x14ac:dyDescent="0.35">
      <c r="A93" s="11" t="s">
        <v>163</v>
      </c>
      <c r="B93" s="12">
        <v>0</v>
      </c>
    </row>
    <row r="94" spans="1:2" x14ac:dyDescent="0.35">
      <c r="A94" s="11" t="s">
        <v>22</v>
      </c>
      <c r="B94" s="12">
        <v>5</v>
      </c>
    </row>
    <row r="95" spans="1:2" x14ac:dyDescent="0.35">
      <c r="A95" s="11" t="s">
        <v>14</v>
      </c>
      <c r="B95" s="12">
        <v>24</v>
      </c>
    </row>
    <row r="96" spans="1:2" x14ac:dyDescent="0.35">
      <c r="A96" s="11" t="s">
        <v>282</v>
      </c>
      <c r="B96" s="12">
        <v>0</v>
      </c>
    </row>
    <row r="97" spans="1:2" x14ac:dyDescent="0.35">
      <c r="A97" s="11" t="s">
        <v>92</v>
      </c>
      <c r="B97" s="12">
        <v>12</v>
      </c>
    </row>
    <row r="98" spans="1:2" x14ac:dyDescent="0.35">
      <c r="A98" s="11" t="s">
        <v>272</v>
      </c>
      <c r="B98" s="12">
        <v>0</v>
      </c>
    </row>
    <row r="99" spans="1:2" x14ac:dyDescent="0.35">
      <c r="A99" s="11" t="s">
        <v>122</v>
      </c>
      <c r="B99" s="12">
        <v>36</v>
      </c>
    </row>
    <row r="100" spans="1:2" x14ac:dyDescent="0.35">
      <c r="A100" s="11" t="s">
        <v>274</v>
      </c>
      <c r="B100" s="12">
        <v>0</v>
      </c>
    </row>
    <row r="101" spans="1:2" x14ac:dyDescent="0.35">
      <c r="A101" s="11" t="s">
        <v>140</v>
      </c>
      <c r="B101" s="12">
        <v>0</v>
      </c>
    </row>
    <row r="102" spans="1:2" x14ac:dyDescent="0.35">
      <c r="A102" s="11" t="s">
        <v>312</v>
      </c>
      <c r="B102" s="12">
        <v>0</v>
      </c>
    </row>
    <row r="103" spans="1:2" x14ac:dyDescent="0.35">
      <c r="A103" s="11" t="s">
        <v>170</v>
      </c>
      <c r="B103" s="12">
        <v>0</v>
      </c>
    </row>
    <row r="104" spans="1:2" x14ac:dyDescent="0.35">
      <c r="A104" s="11" t="s">
        <v>314</v>
      </c>
      <c r="B104" s="12">
        <v>0</v>
      </c>
    </row>
    <row r="105" spans="1:2" x14ac:dyDescent="0.35">
      <c r="A105" s="11" t="s">
        <v>202</v>
      </c>
      <c r="B105" s="12">
        <v>16</v>
      </c>
    </row>
    <row r="106" spans="1:2" x14ac:dyDescent="0.35">
      <c r="A106" s="11" t="s">
        <v>269</v>
      </c>
      <c r="B106" s="12">
        <v>0</v>
      </c>
    </row>
    <row r="107" spans="1:2" x14ac:dyDescent="0.35">
      <c r="A107" s="11" t="s">
        <v>280</v>
      </c>
      <c r="B107" s="12">
        <v>0</v>
      </c>
    </row>
    <row r="108" spans="1:2" x14ac:dyDescent="0.35">
      <c r="A108" s="11" t="s">
        <v>318</v>
      </c>
      <c r="B108" s="12">
        <v>1</v>
      </c>
    </row>
    <row r="109" spans="1:2" x14ac:dyDescent="0.35">
      <c r="A109" s="11" t="s">
        <v>264</v>
      </c>
      <c r="B109" s="12">
        <v>0</v>
      </c>
    </row>
    <row r="110" spans="1:2" x14ac:dyDescent="0.35">
      <c r="A110" s="11" t="s">
        <v>221</v>
      </c>
      <c r="B110" s="12">
        <v>6</v>
      </c>
    </row>
    <row r="111" spans="1:2" x14ac:dyDescent="0.35">
      <c r="A111" s="11" t="s">
        <v>18</v>
      </c>
      <c r="B111" s="12">
        <v>7</v>
      </c>
    </row>
    <row r="112" spans="1:2" x14ac:dyDescent="0.35">
      <c r="A112" s="11" t="s">
        <v>224</v>
      </c>
      <c r="B112" s="12">
        <v>5</v>
      </c>
    </row>
    <row r="113" spans="1:2" x14ac:dyDescent="0.35">
      <c r="A113" s="11" t="s">
        <v>16724</v>
      </c>
      <c r="B113" s="12">
        <v>723</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8858-D342-4959-ABAF-438E126AD345}">
  <dimension ref="A1:J113"/>
  <sheetViews>
    <sheetView workbookViewId="0">
      <selection activeCell="A78" sqref="A1:J113"/>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16712</v>
      </c>
      <c r="H1" s="2" t="s">
        <v>16711</v>
      </c>
      <c r="I1" s="2" t="s">
        <v>16710</v>
      </c>
      <c r="J1" s="2" t="s">
        <v>16709</v>
      </c>
    </row>
    <row r="2" spans="1:10" x14ac:dyDescent="0.35">
      <c r="A2" s="4" t="s">
        <v>75</v>
      </c>
      <c r="B2" s="6">
        <v>1860</v>
      </c>
      <c r="C2" s="6">
        <v>3220</v>
      </c>
      <c r="D2" s="1">
        <v>0.42</v>
      </c>
      <c r="E2" t="s">
        <v>16703</v>
      </c>
      <c r="F2" t="s">
        <v>16703</v>
      </c>
      <c r="G2" t="str">
        <f t="shared" ref="G2:G33" si="0">IF(F2&lt;3,"Poor",IF(F2&lt;=4.5,"Average","Excellent"))</f>
        <v>Excellent</v>
      </c>
      <c r="H2" s="6">
        <f t="shared" ref="H2:H33" si="1">C2-B2</f>
        <v>1360</v>
      </c>
      <c r="J2" t="str">
        <f t="shared" ref="J2:J33" si="2">IF(D2&lt;20%,"Low Discount",IF(D2&lt;=40%,"Medium Discount","High Discount"))</f>
        <v>High Discount</v>
      </c>
    </row>
    <row r="3" spans="1:10" x14ac:dyDescent="0.35">
      <c r="A3" s="4" t="s">
        <v>99</v>
      </c>
      <c r="B3" s="6">
        <v>2200</v>
      </c>
      <c r="C3" s="6">
        <v>4080</v>
      </c>
      <c r="D3" s="1">
        <v>0.46</v>
      </c>
      <c r="E3" t="s">
        <v>16703</v>
      </c>
      <c r="F3" t="s">
        <v>16703</v>
      </c>
      <c r="G3" t="str">
        <f t="shared" si="0"/>
        <v>Excellent</v>
      </c>
      <c r="H3" s="6">
        <f t="shared" si="1"/>
        <v>1880</v>
      </c>
      <c r="J3" t="str">
        <f t="shared" si="2"/>
        <v>High Discount</v>
      </c>
    </row>
    <row r="4" spans="1:10" x14ac:dyDescent="0.35">
      <c r="A4" s="4" t="s">
        <v>128</v>
      </c>
      <c r="B4" s="6">
        <v>2750</v>
      </c>
      <c r="C4" s="6">
        <v>4471</v>
      </c>
      <c r="D4" s="1">
        <v>0.38</v>
      </c>
      <c r="E4" t="s">
        <v>16703</v>
      </c>
      <c r="F4" t="s">
        <v>16703</v>
      </c>
      <c r="G4" t="str">
        <f t="shared" si="0"/>
        <v>Excellent</v>
      </c>
      <c r="H4" s="6">
        <f t="shared" si="1"/>
        <v>1721</v>
      </c>
      <c r="J4" t="str">
        <f t="shared" si="2"/>
        <v>Medium Discount</v>
      </c>
    </row>
    <row r="5" spans="1:10" x14ac:dyDescent="0.35">
      <c r="A5" s="4" t="s">
        <v>131</v>
      </c>
      <c r="B5" s="6">
        <v>475</v>
      </c>
      <c r="C5" s="6">
        <v>931</v>
      </c>
      <c r="D5" s="1">
        <v>0.49</v>
      </c>
      <c r="E5" t="s">
        <v>16703</v>
      </c>
      <c r="F5" t="s">
        <v>16703</v>
      </c>
      <c r="G5" t="str">
        <f t="shared" si="0"/>
        <v>Excellent</v>
      </c>
      <c r="H5" s="6">
        <f t="shared" si="1"/>
        <v>456</v>
      </c>
      <c r="J5" t="str">
        <f t="shared" si="2"/>
        <v>High Discount</v>
      </c>
    </row>
    <row r="6" spans="1:10" x14ac:dyDescent="0.35">
      <c r="A6" s="4" t="s">
        <v>134</v>
      </c>
      <c r="B6" s="6">
        <v>238</v>
      </c>
      <c r="C6" s="6">
        <v>476</v>
      </c>
      <c r="D6" s="1">
        <v>0.5</v>
      </c>
      <c r="E6" t="s">
        <v>16703</v>
      </c>
      <c r="F6" t="s">
        <v>16703</v>
      </c>
      <c r="G6" t="str">
        <f t="shared" si="0"/>
        <v>Excellent</v>
      </c>
      <c r="H6" s="6">
        <f t="shared" si="1"/>
        <v>238</v>
      </c>
      <c r="J6" t="str">
        <f t="shared" si="2"/>
        <v>High Discount</v>
      </c>
    </row>
    <row r="7" spans="1:10" x14ac:dyDescent="0.35">
      <c r="A7" s="4" t="s">
        <v>137</v>
      </c>
      <c r="B7" s="6">
        <v>610</v>
      </c>
      <c r="C7" s="6">
        <v>1060</v>
      </c>
      <c r="D7" s="1">
        <v>0.42</v>
      </c>
      <c r="E7" t="s">
        <v>16703</v>
      </c>
      <c r="F7" t="s">
        <v>16703</v>
      </c>
      <c r="G7" t="str">
        <f t="shared" si="0"/>
        <v>Excellent</v>
      </c>
      <c r="H7" s="6">
        <f t="shared" si="1"/>
        <v>450</v>
      </c>
      <c r="J7" t="str">
        <f t="shared" si="2"/>
        <v>High Discount</v>
      </c>
    </row>
    <row r="8" spans="1:10" x14ac:dyDescent="0.35">
      <c r="A8" s="4" t="s">
        <v>140</v>
      </c>
      <c r="B8" s="6">
        <v>2132</v>
      </c>
      <c r="C8" s="6">
        <v>2169</v>
      </c>
      <c r="D8" s="1">
        <v>0.02</v>
      </c>
      <c r="E8" t="s">
        <v>16703</v>
      </c>
      <c r="F8" t="s">
        <v>16703</v>
      </c>
      <c r="G8" t="str">
        <f t="shared" si="0"/>
        <v>Excellent</v>
      </c>
      <c r="H8" s="6">
        <f t="shared" si="1"/>
        <v>37</v>
      </c>
      <c r="J8" t="str">
        <f t="shared" si="2"/>
        <v>Low Discount</v>
      </c>
    </row>
    <row r="9" spans="1:10" x14ac:dyDescent="0.35">
      <c r="A9" s="4" t="s">
        <v>143</v>
      </c>
      <c r="B9" s="6">
        <v>999</v>
      </c>
      <c r="C9" s="6">
        <v>2000</v>
      </c>
      <c r="D9" s="1">
        <v>0.5</v>
      </c>
      <c r="E9" t="s">
        <v>16703</v>
      </c>
      <c r="F9" t="s">
        <v>16703</v>
      </c>
      <c r="G9" t="str">
        <f t="shared" si="0"/>
        <v>Excellent</v>
      </c>
      <c r="H9" s="6">
        <f t="shared" si="1"/>
        <v>1001</v>
      </c>
      <c r="J9" t="str">
        <f t="shared" si="2"/>
        <v>High Discount</v>
      </c>
    </row>
    <row r="10" spans="1:10" x14ac:dyDescent="0.35">
      <c r="A10" s="4" t="s">
        <v>145</v>
      </c>
      <c r="B10" s="6">
        <v>1190</v>
      </c>
      <c r="C10" s="6">
        <v>1785</v>
      </c>
      <c r="D10" s="1">
        <v>0.33</v>
      </c>
      <c r="E10" t="s">
        <v>16703</v>
      </c>
      <c r="F10" t="s">
        <v>16703</v>
      </c>
      <c r="G10" t="str">
        <f t="shared" si="0"/>
        <v>Excellent</v>
      </c>
      <c r="H10" s="6">
        <f t="shared" si="1"/>
        <v>595</v>
      </c>
      <c r="J10" t="str">
        <f t="shared" si="2"/>
        <v>Medium Discount</v>
      </c>
    </row>
    <row r="11" spans="1:10" x14ac:dyDescent="0.35">
      <c r="A11" s="4" t="s">
        <v>148</v>
      </c>
      <c r="B11" s="6">
        <v>671</v>
      </c>
      <c r="C11" s="6">
        <v>1316</v>
      </c>
      <c r="D11" s="1">
        <v>0.49</v>
      </c>
      <c r="E11" t="s">
        <v>16703</v>
      </c>
      <c r="F11" t="s">
        <v>16703</v>
      </c>
      <c r="G11" t="str">
        <f t="shared" si="0"/>
        <v>Excellent</v>
      </c>
      <c r="H11" s="6">
        <f t="shared" si="1"/>
        <v>645</v>
      </c>
      <c r="J11" t="str">
        <f t="shared" si="2"/>
        <v>High Discount</v>
      </c>
    </row>
    <row r="12" spans="1:10" x14ac:dyDescent="0.35">
      <c r="A12" s="4" t="s">
        <v>151</v>
      </c>
      <c r="B12" s="6">
        <v>1200</v>
      </c>
      <c r="C12" s="6">
        <v>1950</v>
      </c>
      <c r="D12" s="1">
        <v>0.38</v>
      </c>
      <c r="E12" t="s">
        <v>16703</v>
      </c>
      <c r="F12" t="s">
        <v>16703</v>
      </c>
      <c r="G12" t="str">
        <f t="shared" si="0"/>
        <v>Excellent</v>
      </c>
      <c r="H12" s="6">
        <f t="shared" si="1"/>
        <v>750</v>
      </c>
      <c r="J12" t="str">
        <f t="shared" si="2"/>
        <v>Medium Discount</v>
      </c>
    </row>
    <row r="13" spans="1:10" x14ac:dyDescent="0.35">
      <c r="A13" s="4" t="s">
        <v>154</v>
      </c>
      <c r="B13" s="6">
        <v>199</v>
      </c>
      <c r="C13" s="6">
        <v>504</v>
      </c>
      <c r="D13" s="1">
        <v>0.61</v>
      </c>
      <c r="E13" t="s">
        <v>16703</v>
      </c>
      <c r="F13" t="s">
        <v>16703</v>
      </c>
      <c r="G13" t="str">
        <f t="shared" si="0"/>
        <v>Excellent</v>
      </c>
      <c r="H13" s="6">
        <f t="shared" si="1"/>
        <v>305</v>
      </c>
      <c r="J13" t="str">
        <f t="shared" si="2"/>
        <v>High Discount</v>
      </c>
    </row>
    <row r="14" spans="1:10" x14ac:dyDescent="0.35">
      <c r="A14" s="4" t="s">
        <v>157</v>
      </c>
      <c r="B14" s="6">
        <v>299</v>
      </c>
      <c r="C14" s="6">
        <v>600</v>
      </c>
      <c r="D14" s="1">
        <v>0.5</v>
      </c>
      <c r="E14" t="s">
        <v>16703</v>
      </c>
      <c r="F14" t="s">
        <v>16703</v>
      </c>
      <c r="G14" t="str">
        <f t="shared" si="0"/>
        <v>Excellent</v>
      </c>
      <c r="H14" s="6">
        <f t="shared" si="1"/>
        <v>301</v>
      </c>
      <c r="J14" t="str">
        <f t="shared" si="2"/>
        <v>High Discount</v>
      </c>
    </row>
    <row r="15" spans="1:10" x14ac:dyDescent="0.35">
      <c r="A15" s="4" t="s">
        <v>160</v>
      </c>
      <c r="B15" s="6">
        <v>1660</v>
      </c>
      <c r="C15" s="6">
        <v>1699</v>
      </c>
      <c r="D15" s="1">
        <v>0.02</v>
      </c>
      <c r="E15" t="s">
        <v>16703</v>
      </c>
      <c r="F15" t="s">
        <v>16703</v>
      </c>
      <c r="G15" t="str">
        <f t="shared" si="0"/>
        <v>Excellent</v>
      </c>
      <c r="H15" s="6">
        <f t="shared" si="1"/>
        <v>39</v>
      </c>
      <c r="J15" t="str">
        <f t="shared" si="2"/>
        <v>Low Discount</v>
      </c>
    </row>
    <row r="16" spans="1:10" x14ac:dyDescent="0.35">
      <c r="A16" s="4" t="s">
        <v>163</v>
      </c>
      <c r="B16" s="6">
        <v>299</v>
      </c>
      <c r="C16" s="6">
        <v>384</v>
      </c>
      <c r="D16" s="1">
        <v>0.22</v>
      </c>
      <c r="E16" t="s">
        <v>16703</v>
      </c>
      <c r="F16" t="s">
        <v>16703</v>
      </c>
      <c r="G16" t="str">
        <f t="shared" si="0"/>
        <v>Excellent</v>
      </c>
      <c r="H16" s="6">
        <f t="shared" si="1"/>
        <v>85</v>
      </c>
      <c r="J16" t="str">
        <f t="shared" si="2"/>
        <v>Medium Discount</v>
      </c>
    </row>
    <row r="17" spans="1:10" x14ac:dyDescent="0.35">
      <c r="A17" s="4" t="s">
        <v>165</v>
      </c>
      <c r="B17" s="6">
        <v>1459</v>
      </c>
      <c r="C17" s="6">
        <v>1499</v>
      </c>
      <c r="D17" s="1">
        <v>0.03</v>
      </c>
      <c r="E17" t="s">
        <v>16703</v>
      </c>
      <c r="F17" t="s">
        <v>16703</v>
      </c>
      <c r="G17" t="str">
        <f t="shared" si="0"/>
        <v>Excellent</v>
      </c>
      <c r="H17" s="6">
        <f t="shared" si="1"/>
        <v>40</v>
      </c>
      <c r="J17" t="str">
        <f t="shared" si="2"/>
        <v>Low Discount</v>
      </c>
    </row>
    <row r="18" spans="1:10" x14ac:dyDescent="0.35">
      <c r="A18" s="4" t="s">
        <v>168</v>
      </c>
      <c r="B18" s="6">
        <v>799</v>
      </c>
      <c r="C18" s="6">
        <v>1343</v>
      </c>
      <c r="D18" s="1">
        <v>0.41</v>
      </c>
      <c r="E18" t="s">
        <v>16703</v>
      </c>
      <c r="F18" t="s">
        <v>16703</v>
      </c>
      <c r="G18" t="str">
        <f t="shared" si="0"/>
        <v>Excellent</v>
      </c>
      <c r="H18" s="6">
        <f t="shared" si="1"/>
        <v>544</v>
      </c>
      <c r="J18" t="str">
        <f t="shared" si="2"/>
        <v>High Discount</v>
      </c>
    </row>
    <row r="19" spans="1:10" x14ac:dyDescent="0.35">
      <c r="A19" s="4" t="s">
        <v>170</v>
      </c>
      <c r="B19" s="6">
        <v>499</v>
      </c>
      <c r="C19" s="6">
        <v>900</v>
      </c>
      <c r="D19" s="1">
        <v>0.45</v>
      </c>
      <c r="E19" t="s">
        <v>16703</v>
      </c>
      <c r="F19" t="s">
        <v>16703</v>
      </c>
      <c r="G19" t="str">
        <f t="shared" si="0"/>
        <v>Excellent</v>
      </c>
      <c r="H19" s="6">
        <f t="shared" si="1"/>
        <v>401</v>
      </c>
      <c r="J19" t="str">
        <f t="shared" si="2"/>
        <v>High Discount</v>
      </c>
    </row>
    <row r="20" spans="1:10" x14ac:dyDescent="0.35">
      <c r="A20" s="4" t="s">
        <v>173</v>
      </c>
      <c r="B20" s="6">
        <v>699</v>
      </c>
      <c r="C20" s="6">
        <v>1343</v>
      </c>
      <c r="D20" s="1">
        <v>0.48</v>
      </c>
      <c r="E20" t="s">
        <v>16703</v>
      </c>
      <c r="F20" t="s">
        <v>16703</v>
      </c>
      <c r="G20" t="str">
        <f t="shared" si="0"/>
        <v>Excellent</v>
      </c>
      <c r="H20" s="6">
        <f t="shared" si="1"/>
        <v>644</v>
      </c>
      <c r="J20" t="str">
        <f t="shared" si="2"/>
        <v>High Discount</v>
      </c>
    </row>
    <row r="21" spans="1:10" x14ac:dyDescent="0.35">
      <c r="A21" s="4" t="s">
        <v>175</v>
      </c>
      <c r="B21" s="6">
        <v>799</v>
      </c>
      <c r="C21" s="6">
        <v>1567</v>
      </c>
      <c r="D21" s="1">
        <v>0.49</v>
      </c>
      <c r="E21" t="s">
        <v>16703</v>
      </c>
      <c r="F21" t="s">
        <v>16703</v>
      </c>
      <c r="G21" t="str">
        <f t="shared" si="0"/>
        <v>Excellent</v>
      </c>
      <c r="H21" s="6">
        <f t="shared" si="1"/>
        <v>768</v>
      </c>
      <c r="J21" t="str">
        <f t="shared" si="2"/>
        <v>High Discount</v>
      </c>
    </row>
    <row r="22" spans="1:10" x14ac:dyDescent="0.35">
      <c r="A22" s="4" t="s">
        <v>177</v>
      </c>
      <c r="B22" s="6">
        <v>2799</v>
      </c>
      <c r="C22" s="6">
        <v>3810</v>
      </c>
      <c r="D22" s="1">
        <v>0.27</v>
      </c>
      <c r="E22" t="s">
        <v>16703</v>
      </c>
      <c r="F22" t="s">
        <v>16703</v>
      </c>
      <c r="G22" t="str">
        <f t="shared" si="0"/>
        <v>Excellent</v>
      </c>
      <c r="H22" s="6">
        <f t="shared" si="1"/>
        <v>1011</v>
      </c>
      <c r="J22" t="str">
        <f t="shared" si="2"/>
        <v>Medium Discount</v>
      </c>
    </row>
    <row r="23" spans="1:10" x14ac:dyDescent="0.35">
      <c r="A23" s="4" t="s">
        <v>170</v>
      </c>
      <c r="B23" s="6">
        <v>399</v>
      </c>
      <c r="C23" s="6">
        <v>896</v>
      </c>
      <c r="D23" s="1">
        <v>0.55000000000000004</v>
      </c>
      <c r="E23" t="s">
        <v>16703</v>
      </c>
      <c r="F23" t="s">
        <v>16703</v>
      </c>
      <c r="G23" t="str">
        <f t="shared" si="0"/>
        <v>Excellent</v>
      </c>
      <c r="H23" s="6">
        <f t="shared" si="1"/>
        <v>497</v>
      </c>
      <c r="J23" t="str">
        <f t="shared" si="2"/>
        <v>High Discount</v>
      </c>
    </row>
    <row r="24" spans="1:10" x14ac:dyDescent="0.35">
      <c r="A24" s="4" t="s">
        <v>232</v>
      </c>
      <c r="B24" s="6">
        <v>790</v>
      </c>
      <c r="C24" s="6">
        <v>1485</v>
      </c>
      <c r="D24" s="1">
        <v>0.47</v>
      </c>
      <c r="E24" t="s">
        <v>16703</v>
      </c>
      <c r="F24" t="s">
        <v>16703</v>
      </c>
      <c r="G24" t="str">
        <f t="shared" si="0"/>
        <v>Excellent</v>
      </c>
      <c r="H24" s="6">
        <f t="shared" si="1"/>
        <v>695</v>
      </c>
      <c r="J24" t="str">
        <f t="shared" si="2"/>
        <v>High Discount</v>
      </c>
    </row>
    <row r="25" spans="1:10" x14ac:dyDescent="0.35">
      <c r="A25" s="4" t="s">
        <v>235</v>
      </c>
      <c r="B25" s="6">
        <v>690</v>
      </c>
      <c r="C25" s="6">
        <v>1200</v>
      </c>
      <c r="D25" s="1">
        <v>0.43</v>
      </c>
      <c r="E25" t="s">
        <v>16703</v>
      </c>
      <c r="F25" t="s">
        <v>16703</v>
      </c>
      <c r="G25" t="str">
        <f t="shared" si="0"/>
        <v>Excellent</v>
      </c>
      <c r="H25" s="6">
        <f t="shared" si="1"/>
        <v>510</v>
      </c>
      <c r="J25" t="str">
        <f t="shared" si="2"/>
        <v>High Discount</v>
      </c>
    </row>
    <row r="26" spans="1:10" x14ac:dyDescent="0.35">
      <c r="A26" s="4" t="s">
        <v>237</v>
      </c>
      <c r="B26" s="6">
        <v>1732</v>
      </c>
      <c r="C26" s="6">
        <v>1799</v>
      </c>
      <c r="D26" s="1">
        <v>0.04</v>
      </c>
      <c r="E26" t="s">
        <v>16703</v>
      </c>
      <c r="F26" t="s">
        <v>16703</v>
      </c>
      <c r="G26" t="str">
        <f t="shared" si="0"/>
        <v>Excellent</v>
      </c>
      <c r="H26" s="6">
        <f t="shared" si="1"/>
        <v>67</v>
      </c>
      <c r="J26" t="str">
        <f t="shared" si="2"/>
        <v>Low Discount</v>
      </c>
    </row>
    <row r="27" spans="1:10" x14ac:dyDescent="0.35">
      <c r="A27" s="4" t="s">
        <v>240</v>
      </c>
      <c r="B27" s="6">
        <v>230</v>
      </c>
      <c r="C27" s="6">
        <v>450</v>
      </c>
      <c r="D27" s="1">
        <v>0.49</v>
      </c>
      <c r="E27" t="s">
        <v>16703</v>
      </c>
      <c r="F27" t="s">
        <v>16703</v>
      </c>
      <c r="G27" t="str">
        <f t="shared" si="0"/>
        <v>Excellent</v>
      </c>
      <c r="H27" s="6">
        <f t="shared" si="1"/>
        <v>220</v>
      </c>
      <c r="J27" t="str">
        <f t="shared" si="2"/>
        <v>High Discount</v>
      </c>
    </row>
    <row r="28" spans="1:10" x14ac:dyDescent="0.35">
      <c r="A28" s="4" t="s">
        <v>248</v>
      </c>
      <c r="B28" s="6">
        <v>1460</v>
      </c>
      <c r="C28" s="6">
        <v>2290</v>
      </c>
      <c r="D28" s="1">
        <v>0.36</v>
      </c>
      <c r="E28" t="s">
        <v>16703</v>
      </c>
      <c r="F28" t="s">
        <v>16703</v>
      </c>
      <c r="G28" t="str">
        <f t="shared" si="0"/>
        <v>Excellent</v>
      </c>
      <c r="H28" s="6">
        <f t="shared" si="1"/>
        <v>830</v>
      </c>
      <c r="J28" t="str">
        <f t="shared" si="2"/>
        <v>Medium Discount</v>
      </c>
    </row>
    <row r="29" spans="1:10" x14ac:dyDescent="0.35">
      <c r="A29" s="4" t="s">
        <v>251</v>
      </c>
      <c r="B29" s="6">
        <v>1666</v>
      </c>
      <c r="C29" s="6">
        <v>1699</v>
      </c>
      <c r="D29" s="1">
        <v>0.02</v>
      </c>
      <c r="E29" t="s">
        <v>16703</v>
      </c>
      <c r="F29" t="s">
        <v>16703</v>
      </c>
      <c r="G29" t="str">
        <f t="shared" si="0"/>
        <v>Excellent</v>
      </c>
      <c r="H29" s="6">
        <f t="shared" si="1"/>
        <v>33</v>
      </c>
      <c r="J29" t="str">
        <f t="shared" si="2"/>
        <v>Low Discount</v>
      </c>
    </row>
    <row r="30" spans="1:10" x14ac:dyDescent="0.35">
      <c r="A30" s="4" t="s">
        <v>154</v>
      </c>
      <c r="B30" s="6">
        <v>176</v>
      </c>
      <c r="C30" s="6">
        <v>345</v>
      </c>
      <c r="D30" s="1">
        <v>0.49</v>
      </c>
      <c r="E30" t="s">
        <v>16703</v>
      </c>
      <c r="F30" t="s">
        <v>16703</v>
      </c>
      <c r="G30" t="str">
        <f t="shared" si="0"/>
        <v>Excellent</v>
      </c>
      <c r="H30" s="6">
        <f t="shared" si="1"/>
        <v>169</v>
      </c>
      <c r="J30" t="str">
        <f t="shared" si="2"/>
        <v>High Discount</v>
      </c>
    </row>
    <row r="31" spans="1:10" x14ac:dyDescent="0.35">
      <c r="A31" s="4" t="s">
        <v>256</v>
      </c>
      <c r="B31" s="6">
        <v>1466</v>
      </c>
      <c r="C31" s="6">
        <v>1699</v>
      </c>
      <c r="D31" s="1">
        <v>0.14000000000000001</v>
      </c>
      <c r="E31" t="s">
        <v>16703</v>
      </c>
      <c r="F31" t="s">
        <v>16703</v>
      </c>
      <c r="G31" t="str">
        <f t="shared" si="0"/>
        <v>Excellent</v>
      </c>
      <c r="H31" s="6">
        <f t="shared" si="1"/>
        <v>233</v>
      </c>
      <c r="J31" t="str">
        <f t="shared" si="2"/>
        <v>Low Discount</v>
      </c>
    </row>
    <row r="32" spans="1:10" x14ac:dyDescent="0.35">
      <c r="A32" s="4" t="s">
        <v>258</v>
      </c>
      <c r="B32" s="6">
        <v>274</v>
      </c>
      <c r="C32" s="6">
        <v>537</v>
      </c>
      <c r="D32" s="1">
        <v>0.49</v>
      </c>
      <c r="E32" t="s">
        <v>16703</v>
      </c>
      <c r="F32" t="s">
        <v>16703</v>
      </c>
      <c r="G32" t="str">
        <f t="shared" si="0"/>
        <v>Excellent</v>
      </c>
      <c r="H32" s="6">
        <f t="shared" si="1"/>
        <v>263</v>
      </c>
      <c r="J32" t="str">
        <f t="shared" si="2"/>
        <v>High Discount</v>
      </c>
    </row>
    <row r="33" spans="1:10" x14ac:dyDescent="0.35">
      <c r="A33" s="4" t="s">
        <v>261</v>
      </c>
      <c r="B33" s="6">
        <v>799</v>
      </c>
      <c r="C33" s="6">
        <v>900</v>
      </c>
      <c r="D33" s="1">
        <v>0.11</v>
      </c>
      <c r="E33" t="s">
        <v>16703</v>
      </c>
      <c r="F33" t="s">
        <v>16703</v>
      </c>
      <c r="G33" t="str">
        <f t="shared" si="0"/>
        <v>Excellent</v>
      </c>
      <c r="H33" s="6">
        <f t="shared" si="1"/>
        <v>101</v>
      </c>
      <c r="J33" t="str">
        <f t="shared" si="2"/>
        <v>Low Discount</v>
      </c>
    </row>
    <row r="34" spans="1:10" x14ac:dyDescent="0.35">
      <c r="A34" s="4" t="s">
        <v>175</v>
      </c>
      <c r="B34" s="6">
        <v>657</v>
      </c>
      <c r="C34" s="6">
        <v>1288</v>
      </c>
      <c r="D34" s="1">
        <v>0.49</v>
      </c>
      <c r="E34" t="s">
        <v>16703</v>
      </c>
      <c r="F34" t="s">
        <v>16703</v>
      </c>
      <c r="G34" t="str">
        <f t="shared" ref="G34:G65" si="3">IF(F34&lt;3,"Poor",IF(F34&lt;=4.5,"Average","Excellent"))</f>
        <v>Excellent</v>
      </c>
      <c r="H34" s="6">
        <f t="shared" ref="H34:H65" si="4">C34-B34</f>
        <v>631</v>
      </c>
      <c r="J34" t="str">
        <f t="shared" ref="J34:J65" si="5">IF(D34&lt;20%,"Low Discount",IF(D34&lt;=40%,"Medium Discount","High Discount"))</f>
        <v>High Discount</v>
      </c>
    </row>
    <row r="35" spans="1:10" x14ac:dyDescent="0.35">
      <c r="A35" s="4" t="s">
        <v>264</v>
      </c>
      <c r="B35" s="6">
        <v>1468</v>
      </c>
      <c r="C35" s="6">
        <v>1699</v>
      </c>
      <c r="D35" s="1">
        <v>0.14000000000000001</v>
      </c>
      <c r="E35" t="s">
        <v>16703</v>
      </c>
      <c r="F35" t="s">
        <v>16703</v>
      </c>
      <c r="G35" t="str">
        <f t="shared" si="3"/>
        <v>Excellent</v>
      </c>
      <c r="H35" s="6">
        <f t="shared" si="4"/>
        <v>231</v>
      </c>
      <c r="J35" t="str">
        <f t="shared" si="5"/>
        <v>Low Discount</v>
      </c>
    </row>
    <row r="36" spans="1:10" x14ac:dyDescent="0.35">
      <c r="A36" s="4" t="s">
        <v>266</v>
      </c>
      <c r="B36" s="6">
        <v>630</v>
      </c>
      <c r="C36" s="6">
        <v>1100</v>
      </c>
      <c r="D36" s="1">
        <v>0.43</v>
      </c>
      <c r="E36" t="s">
        <v>16703</v>
      </c>
      <c r="F36" t="s">
        <v>16703</v>
      </c>
      <c r="G36" t="str">
        <f t="shared" si="3"/>
        <v>Excellent</v>
      </c>
      <c r="H36" s="6">
        <f t="shared" si="4"/>
        <v>470</v>
      </c>
      <c r="J36" t="str">
        <f t="shared" si="5"/>
        <v>High Discount</v>
      </c>
    </row>
    <row r="37" spans="1:10" x14ac:dyDescent="0.35">
      <c r="A37" s="4" t="s">
        <v>269</v>
      </c>
      <c r="B37" s="6">
        <v>850</v>
      </c>
      <c r="C37" s="6">
        <v>1700</v>
      </c>
      <c r="D37" s="1">
        <v>0.5</v>
      </c>
      <c r="E37" t="s">
        <v>16703</v>
      </c>
      <c r="F37" t="s">
        <v>16703</v>
      </c>
      <c r="G37" t="str">
        <f t="shared" si="3"/>
        <v>Excellent</v>
      </c>
      <c r="H37" s="6">
        <f t="shared" si="4"/>
        <v>850</v>
      </c>
      <c r="J37" t="str">
        <f t="shared" si="5"/>
        <v>High Discount</v>
      </c>
    </row>
    <row r="38" spans="1:10" x14ac:dyDescent="0.35">
      <c r="A38" s="4" t="s">
        <v>272</v>
      </c>
      <c r="B38" s="6">
        <v>1300</v>
      </c>
      <c r="C38" s="6">
        <v>2500</v>
      </c>
      <c r="D38" s="1">
        <v>0.48</v>
      </c>
      <c r="E38" t="s">
        <v>16703</v>
      </c>
      <c r="F38" t="s">
        <v>16703</v>
      </c>
      <c r="G38" t="str">
        <f t="shared" si="3"/>
        <v>Excellent</v>
      </c>
      <c r="H38" s="6">
        <f t="shared" si="4"/>
        <v>1200</v>
      </c>
      <c r="J38" t="str">
        <f t="shared" si="5"/>
        <v>High Discount</v>
      </c>
    </row>
    <row r="39" spans="1:10" x14ac:dyDescent="0.35">
      <c r="A39" s="4" t="s">
        <v>274</v>
      </c>
      <c r="B39" s="6">
        <v>105</v>
      </c>
      <c r="C39" s="6">
        <v>200</v>
      </c>
      <c r="D39" s="1">
        <v>0.48</v>
      </c>
      <c r="E39" t="s">
        <v>16703</v>
      </c>
      <c r="F39" t="s">
        <v>16703</v>
      </c>
      <c r="G39" t="str">
        <f t="shared" si="3"/>
        <v>Excellent</v>
      </c>
      <c r="H39" s="6">
        <f t="shared" si="4"/>
        <v>95</v>
      </c>
      <c r="J39" t="str">
        <f t="shared" si="5"/>
        <v>High Discount</v>
      </c>
    </row>
    <row r="40" spans="1:10" x14ac:dyDescent="0.35">
      <c r="A40" s="4" t="s">
        <v>277</v>
      </c>
      <c r="B40" s="6">
        <v>899</v>
      </c>
      <c r="C40" s="6">
        <v>1699</v>
      </c>
      <c r="D40" s="1">
        <v>0.47</v>
      </c>
      <c r="E40" t="s">
        <v>16703</v>
      </c>
      <c r="F40" t="s">
        <v>16703</v>
      </c>
      <c r="G40" t="str">
        <f t="shared" si="3"/>
        <v>Excellent</v>
      </c>
      <c r="H40" s="6">
        <f t="shared" si="4"/>
        <v>800</v>
      </c>
      <c r="J40" t="str">
        <f t="shared" si="5"/>
        <v>High Discount</v>
      </c>
    </row>
    <row r="41" spans="1:10" x14ac:dyDescent="0.35">
      <c r="A41" s="4" t="s">
        <v>278</v>
      </c>
      <c r="B41" s="6">
        <v>1200</v>
      </c>
      <c r="C41" s="6">
        <v>2400</v>
      </c>
      <c r="D41" s="1">
        <v>0.5</v>
      </c>
      <c r="E41" t="s">
        <v>16703</v>
      </c>
      <c r="F41" t="s">
        <v>16703</v>
      </c>
      <c r="G41" t="str">
        <f t="shared" si="3"/>
        <v>Excellent</v>
      </c>
      <c r="H41" s="6">
        <f t="shared" si="4"/>
        <v>1200</v>
      </c>
      <c r="J41" t="str">
        <f t="shared" si="5"/>
        <v>High Discount</v>
      </c>
    </row>
    <row r="42" spans="1:10" x14ac:dyDescent="0.35">
      <c r="A42" s="4" t="s">
        <v>280</v>
      </c>
      <c r="B42" s="6">
        <v>1526</v>
      </c>
      <c r="C42" s="6">
        <v>1660</v>
      </c>
      <c r="D42" s="1">
        <v>0.08</v>
      </c>
      <c r="E42" t="s">
        <v>16703</v>
      </c>
      <c r="F42" t="s">
        <v>16703</v>
      </c>
      <c r="G42" t="str">
        <f t="shared" si="3"/>
        <v>Excellent</v>
      </c>
      <c r="H42" s="6">
        <f t="shared" si="4"/>
        <v>134</v>
      </c>
      <c r="J42" t="str">
        <f t="shared" si="5"/>
        <v>Low Discount</v>
      </c>
    </row>
    <row r="43" spans="1:10" x14ac:dyDescent="0.35">
      <c r="A43" s="4" t="s">
        <v>282</v>
      </c>
      <c r="B43" s="6">
        <v>1462</v>
      </c>
      <c r="C43" s="6">
        <v>1499</v>
      </c>
      <c r="D43" s="1">
        <v>0.02</v>
      </c>
      <c r="E43" t="s">
        <v>16703</v>
      </c>
      <c r="F43" t="s">
        <v>16703</v>
      </c>
      <c r="G43" t="str">
        <f t="shared" si="3"/>
        <v>Excellent</v>
      </c>
      <c r="H43" s="6">
        <f t="shared" si="4"/>
        <v>37</v>
      </c>
      <c r="J43" t="str">
        <f t="shared" si="5"/>
        <v>Low Discount</v>
      </c>
    </row>
    <row r="44" spans="1:10" x14ac:dyDescent="0.35">
      <c r="A44" s="4" t="s">
        <v>284</v>
      </c>
      <c r="B44" s="6">
        <v>248</v>
      </c>
      <c r="C44" s="6">
        <v>486</v>
      </c>
      <c r="D44" s="1">
        <v>0.49</v>
      </c>
      <c r="E44" t="s">
        <v>16703</v>
      </c>
      <c r="F44" t="s">
        <v>16703</v>
      </c>
      <c r="G44" t="str">
        <f t="shared" si="3"/>
        <v>Excellent</v>
      </c>
      <c r="H44" s="6">
        <f t="shared" si="4"/>
        <v>238</v>
      </c>
      <c r="J44" t="str">
        <f t="shared" si="5"/>
        <v>High Discount</v>
      </c>
    </row>
    <row r="45" spans="1:10" x14ac:dyDescent="0.35">
      <c r="A45" s="4" t="s">
        <v>287</v>
      </c>
      <c r="B45" s="6">
        <v>3546</v>
      </c>
      <c r="C45" s="6">
        <v>3699</v>
      </c>
      <c r="D45" s="1">
        <v>0.04</v>
      </c>
      <c r="E45" t="s">
        <v>16703</v>
      </c>
      <c r="F45" t="s">
        <v>16703</v>
      </c>
      <c r="G45" t="str">
        <f t="shared" si="3"/>
        <v>Excellent</v>
      </c>
      <c r="H45" s="6">
        <f t="shared" si="4"/>
        <v>153</v>
      </c>
      <c r="J45" t="str">
        <f t="shared" si="5"/>
        <v>Low Discount</v>
      </c>
    </row>
    <row r="46" spans="1:10" x14ac:dyDescent="0.35">
      <c r="A46" s="4" t="s">
        <v>289</v>
      </c>
      <c r="B46" s="6">
        <v>525</v>
      </c>
      <c r="C46" s="6">
        <v>1029</v>
      </c>
      <c r="D46" s="1">
        <v>0.49</v>
      </c>
      <c r="E46" t="s">
        <v>16703</v>
      </c>
      <c r="F46" t="s">
        <v>16703</v>
      </c>
      <c r="G46" t="str">
        <f t="shared" si="3"/>
        <v>Excellent</v>
      </c>
      <c r="H46" s="6">
        <f t="shared" si="4"/>
        <v>504</v>
      </c>
      <c r="J46" t="str">
        <f t="shared" si="5"/>
        <v>High Discount</v>
      </c>
    </row>
    <row r="47" spans="1:10" x14ac:dyDescent="0.35">
      <c r="A47" s="4" t="s">
        <v>292</v>
      </c>
      <c r="B47" s="6">
        <v>1080</v>
      </c>
      <c r="C47" s="6">
        <v>1874</v>
      </c>
      <c r="D47" s="1">
        <v>0.42</v>
      </c>
      <c r="E47" t="s">
        <v>16703</v>
      </c>
      <c r="F47" t="s">
        <v>16703</v>
      </c>
      <c r="G47" t="str">
        <f t="shared" si="3"/>
        <v>Excellent</v>
      </c>
      <c r="H47" s="6">
        <f t="shared" si="4"/>
        <v>794</v>
      </c>
      <c r="J47" t="str">
        <f t="shared" si="5"/>
        <v>High Discount</v>
      </c>
    </row>
    <row r="48" spans="1:10" x14ac:dyDescent="0.35">
      <c r="A48" s="4" t="s">
        <v>298</v>
      </c>
      <c r="B48" s="6">
        <v>1420</v>
      </c>
      <c r="C48" s="6">
        <v>2420</v>
      </c>
      <c r="D48" s="1">
        <v>0.41</v>
      </c>
      <c r="E48" t="s">
        <v>16703</v>
      </c>
      <c r="F48" t="s">
        <v>16703</v>
      </c>
      <c r="G48" t="str">
        <f t="shared" si="3"/>
        <v>Excellent</v>
      </c>
      <c r="H48" s="6">
        <f t="shared" si="4"/>
        <v>1000</v>
      </c>
      <c r="J48" t="str">
        <f t="shared" si="5"/>
        <v>High Discount</v>
      </c>
    </row>
    <row r="49" spans="1:10" x14ac:dyDescent="0.35">
      <c r="A49" s="4" t="s">
        <v>301</v>
      </c>
      <c r="B49" s="6">
        <v>1875</v>
      </c>
      <c r="C49" s="6">
        <v>1899</v>
      </c>
      <c r="D49" s="1">
        <v>0.01</v>
      </c>
      <c r="E49" t="s">
        <v>16703</v>
      </c>
      <c r="F49" t="s">
        <v>16703</v>
      </c>
      <c r="G49" t="str">
        <f t="shared" si="3"/>
        <v>Excellent</v>
      </c>
      <c r="H49" s="6">
        <f t="shared" si="4"/>
        <v>24</v>
      </c>
      <c r="J49" t="str">
        <f t="shared" si="5"/>
        <v>Low Discount</v>
      </c>
    </row>
    <row r="50" spans="1:10" x14ac:dyDescent="0.35">
      <c r="A50" s="4" t="s">
        <v>304</v>
      </c>
      <c r="B50" s="6">
        <v>198</v>
      </c>
      <c r="C50" s="6">
        <v>260</v>
      </c>
      <c r="D50" s="1">
        <v>0.24</v>
      </c>
      <c r="E50" t="s">
        <v>16703</v>
      </c>
      <c r="F50" t="s">
        <v>16703</v>
      </c>
      <c r="G50" t="str">
        <f t="shared" si="3"/>
        <v>Excellent</v>
      </c>
      <c r="H50" s="6">
        <f t="shared" si="4"/>
        <v>62</v>
      </c>
      <c r="J50" t="str">
        <f t="shared" si="5"/>
        <v>Medium Discount</v>
      </c>
    </row>
    <row r="51" spans="1:10" x14ac:dyDescent="0.35">
      <c r="A51" s="4" t="s">
        <v>307</v>
      </c>
      <c r="B51" s="6">
        <v>1150</v>
      </c>
      <c r="C51" s="6">
        <v>1737</v>
      </c>
      <c r="D51" s="1">
        <v>0.34</v>
      </c>
      <c r="E51" t="s">
        <v>16703</v>
      </c>
      <c r="F51" t="s">
        <v>16703</v>
      </c>
      <c r="G51" t="str">
        <f t="shared" si="3"/>
        <v>Excellent</v>
      </c>
      <c r="H51" s="6">
        <f t="shared" si="4"/>
        <v>587</v>
      </c>
      <c r="J51" t="str">
        <f t="shared" si="5"/>
        <v>Medium Discount</v>
      </c>
    </row>
    <row r="52" spans="1:10" x14ac:dyDescent="0.35">
      <c r="A52" s="4" t="s">
        <v>310</v>
      </c>
      <c r="B52" s="6">
        <v>1190</v>
      </c>
      <c r="C52" s="6">
        <v>1810</v>
      </c>
      <c r="D52" s="1">
        <v>0.34</v>
      </c>
      <c r="E52" t="s">
        <v>16703</v>
      </c>
      <c r="F52" t="s">
        <v>16703</v>
      </c>
      <c r="G52" t="str">
        <f t="shared" si="3"/>
        <v>Excellent</v>
      </c>
      <c r="H52" s="6">
        <f t="shared" si="4"/>
        <v>620</v>
      </c>
      <c r="J52" t="str">
        <f t="shared" si="5"/>
        <v>Medium Discount</v>
      </c>
    </row>
    <row r="53" spans="1:10" x14ac:dyDescent="0.35">
      <c r="A53" s="4" t="s">
        <v>312</v>
      </c>
      <c r="B53" s="6">
        <v>1658</v>
      </c>
      <c r="C53" s="6">
        <v>1699</v>
      </c>
      <c r="D53" s="1">
        <v>0.02</v>
      </c>
      <c r="E53" t="s">
        <v>16703</v>
      </c>
      <c r="F53" t="s">
        <v>16703</v>
      </c>
      <c r="G53" t="str">
        <f t="shared" si="3"/>
        <v>Excellent</v>
      </c>
      <c r="H53" s="6">
        <f t="shared" si="4"/>
        <v>41</v>
      </c>
      <c r="J53" t="str">
        <f t="shared" si="5"/>
        <v>Low Discount</v>
      </c>
    </row>
    <row r="54" spans="1:10" x14ac:dyDescent="0.35">
      <c r="A54" s="4" t="s">
        <v>314</v>
      </c>
      <c r="B54" s="6">
        <v>1768</v>
      </c>
      <c r="C54" s="6">
        <v>1799</v>
      </c>
      <c r="D54" s="1">
        <v>0.02</v>
      </c>
      <c r="E54" t="s">
        <v>16703</v>
      </c>
      <c r="F54" t="s">
        <v>16703</v>
      </c>
      <c r="G54" t="str">
        <f t="shared" si="3"/>
        <v>Excellent</v>
      </c>
      <c r="H54" s="6">
        <f t="shared" si="4"/>
        <v>31</v>
      </c>
      <c r="J54" t="str">
        <f t="shared" si="5"/>
        <v>Low Discount</v>
      </c>
    </row>
    <row r="55" spans="1:10" x14ac:dyDescent="0.35">
      <c r="A55" s="4" t="s">
        <v>316</v>
      </c>
      <c r="B55" s="6">
        <v>199</v>
      </c>
      <c r="C55" s="6">
        <v>553</v>
      </c>
      <c r="D55" s="1">
        <v>0.64</v>
      </c>
      <c r="E55" t="s">
        <v>16703</v>
      </c>
      <c r="F55" t="s">
        <v>16703</v>
      </c>
      <c r="G55" t="str">
        <f t="shared" si="3"/>
        <v>Excellent</v>
      </c>
      <c r="H55" s="6">
        <f t="shared" si="4"/>
        <v>354</v>
      </c>
      <c r="J55" t="str">
        <f t="shared" si="5"/>
        <v>High Discount</v>
      </c>
    </row>
    <row r="56" spans="1:10" x14ac:dyDescent="0.35">
      <c r="A56" s="4" t="s">
        <v>320</v>
      </c>
      <c r="B56" s="6">
        <v>169</v>
      </c>
      <c r="C56" s="6">
        <v>320</v>
      </c>
      <c r="D56" s="1">
        <v>0.47</v>
      </c>
      <c r="E56" t="s">
        <v>16703</v>
      </c>
      <c r="F56" t="s">
        <v>16703</v>
      </c>
      <c r="G56" t="str">
        <f t="shared" si="3"/>
        <v>Excellent</v>
      </c>
      <c r="H56" s="6">
        <f t="shared" si="4"/>
        <v>151</v>
      </c>
      <c r="J56" t="str">
        <f t="shared" si="5"/>
        <v>High Discount</v>
      </c>
    </row>
    <row r="57" spans="1:10" x14ac:dyDescent="0.35">
      <c r="A57" s="4" t="s">
        <v>56</v>
      </c>
      <c r="B57" s="6">
        <v>332</v>
      </c>
      <c r="C57" s="6">
        <v>684</v>
      </c>
      <c r="D57" s="1">
        <v>0.51</v>
      </c>
      <c r="E57">
        <v>2</v>
      </c>
      <c r="F57">
        <v>5</v>
      </c>
      <c r="G57" t="str">
        <f t="shared" si="3"/>
        <v>Excellent</v>
      </c>
      <c r="H57" s="6">
        <f t="shared" si="4"/>
        <v>352</v>
      </c>
      <c r="J57" t="str">
        <f t="shared" si="5"/>
        <v>High Discount</v>
      </c>
    </row>
    <row r="58" spans="1:10" x14ac:dyDescent="0.35">
      <c r="A58" s="4" t="s">
        <v>60</v>
      </c>
      <c r="B58" s="6">
        <v>195</v>
      </c>
      <c r="C58" s="6">
        <v>360</v>
      </c>
      <c r="D58" s="1">
        <v>0.46</v>
      </c>
      <c r="E58">
        <v>2</v>
      </c>
      <c r="F58">
        <v>5</v>
      </c>
      <c r="G58" t="str">
        <f t="shared" si="3"/>
        <v>Excellent</v>
      </c>
      <c r="H58" s="6">
        <f t="shared" si="4"/>
        <v>165</v>
      </c>
      <c r="J58" t="str">
        <f t="shared" si="5"/>
        <v>High Discount</v>
      </c>
    </row>
    <row r="59" spans="1:10" x14ac:dyDescent="0.35">
      <c r="A59" s="4" t="s">
        <v>63</v>
      </c>
      <c r="B59" s="6">
        <v>2025</v>
      </c>
      <c r="C59" s="6">
        <v>3971</v>
      </c>
      <c r="D59" s="1">
        <v>0.49</v>
      </c>
      <c r="E59">
        <v>3</v>
      </c>
      <c r="F59">
        <v>5</v>
      </c>
      <c r="G59" t="str">
        <f t="shared" si="3"/>
        <v>Excellent</v>
      </c>
      <c r="H59" s="6">
        <f t="shared" si="4"/>
        <v>1946</v>
      </c>
      <c r="J59" t="str">
        <f t="shared" si="5"/>
        <v>High Discount</v>
      </c>
    </row>
    <row r="60" spans="1:10" x14ac:dyDescent="0.35">
      <c r="A60" s="4" t="s">
        <v>117</v>
      </c>
      <c r="B60" s="6">
        <v>1620</v>
      </c>
      <c r="C60" s="6">
        <v>2690</v>
      </c>
      <c r="D60" s="1">
        <v>0.4</v>
      </c>
      <c r="E60">
        <v>1</v>
      </c>
      <c r="F60">
        <v>5</v>
      </c>
      <c r="G60" t="str">
        <f t="shared" si="3"/>
        <v>Excellent</v>
      </c>
      <c r="H60" s="6">
        <f t="shared" si="4"/>
        <v>1070</v>
      </c>
      <c r="J60" t="str">
        <f t="shared" si="5"/>
        <v>Medium Discount</v>
      </c>
    </row>
    <row r="61" spans="1:10" x14ac:dyDescent="0.35">
      <c r="A61" s="4" t="s">
        <v>120</v>
      </c>
      <c r="B61" s="6">
        <v>171</v>
      </c>
      <c r="C61" s="6">
        <v>360</v>
      </c>
      <c r="D61" s="1">
        <v>0.53</v>
      </c>
      <c r="E61">
        <v>2</v>
      </c>
      <c r="F61">
        <v>5</v>
      </c>
      <c r="G61" t="str">
        <f t="shared" si="3"/>
        <v>Excellent</v>
      </c>
      <c r="H61" s="6">
        <f t="shared" si="4"/>
        <v>189</v>
      </c>
      <c r="J61" t="str">
        <f t="shared" si="5"/>
        <v>High Discount</v>
      </c>
    </row>
    <row r="62" spans="1:10" x14ac:dyDescent="0.35">
      <c r="A62" s="4" t="s">
        <v>245</v>
      </c>
      <c r="B62" s="6">
        <v>979</v>
      </c>
      <c r="C62" s="6">
        <v>1920</v>
      </c>
      <c r="D62" s="1">
        <v>0.49</v>
      </c>
      <c r="E62">
        <v>1</v>
      </c>
      <c r="F62">
        <v>5</v>
      </c>
      <c r="G62" t="str">
        <f t="shared" si="3"/>
        <v>Excellent</v>
      </c>
      <c r="H62" s="6">
        <f t="shared" si="4"/>
        <v>941</v>
      </c>
      <c r="J62" t="str">
        <f t="shared" si="5"/>
        <v>High Discount</v>
      </c>
    </row>
    <row r="63" spans="1:10" x14ac:dyDescent="0.35">
      <c r="A63" s="4" t="s">
        <v>295</v>
      </c>
      <c r="B63" s="6">
        <v>3640</v>
      </c>
      <c r="C63" s="6">
        <v>4588</v>
      </c>
      <c r="D63" s="1">
        <v>0.21</v>
      </c>
      <c r="E63">
        <v>1</v>
      </c>
      <c r="F63">
        <v>5</v>
      </c>
      <c r="G63" t="str">
        <f t="shared" si="3"/>
        <v>Excellent</v>
      </c>
      <c r="H63" s="6">
        <f t="shared" si="4"/>
        <v>948</v>
      </c>
      <c r="J63" t="str">
        <f t="shared" si="5"/>
        <v>Medium Discount</v>
      </c>
    </row>
    <row r="64" spans="1:10" x14ac:dyDescent="0.35">
      <c r="A64" s="4" t="s">
        <v>22</v>
      </c>
      <c r="B64" s="6">
        <v>1740</v>
      </c>
      <c r="C64" s="6">
        <v>2356</v>
      </c>
      <c r="D64" s="1">
        <v>0.26</v>
      </c>
      <c r="E64">
        <v>5</v>
      </c>
      <c r="F64">
        <v>4.8</v>
      </c>
      <c r="G64" t="str">
        <f t="shared" si="3"/>
        <v>Excellent</v>
      </c>
      <c r="H64" s="6">
        <f t="shared" si="4"/>
        <v>616</v>
      </c>
      <c r="J64" t="str">
        <f t="shared" si="5"/>
        <v>Medium Discount</v>
      </c>
    </row>
    <row r="65" spans="1:10" x14ac:dyDescent="0.35">
      <c r="A65" s="4" t="s">
        <v>35</v>
      </c>
      <c r="B65" s="6">
        <v>1274</v>
      </c>
      <c r="C65" s="6">
        <v>2800</v>
      </c>
      <c r="D65" s="1">
        <v>0.55000000000000004</v>
      </c>
      <c r="E65">
        <v>5</v>
      </c>
      <c r="F65">
        <v>4.8</v>
      </c>
      <c r="G65" t="str">
        <f t="shared" si="3"/>
        <v>Excellent</v>
      </c>
      <c r="H65" s="6">
        <f t="shared" si="4"/>
        <v>1526</v>
      </c>
      <c r="J65" t="str">
        <f t="shared" si="5"/>
        <v>High Discount</v>
      </c>
    </row>
    <row r="66" spans="1:10" x14ac:dyDescent="0.35">
      <c r="A66" s="4" t="s">
        <v>47</v>
      </c>
      <c r="B66" s="6">
        <v>552</v>
      </c>
      <c r="C66" s="6">
        <v>1035</v>
      </c>
      <c r="D66" s="1">
        <v>0.47</v>
      </c>
      <c r="E66">
        <v>12</v>
      </c>
      <c r="F66">
        <v>4.8</v>
      </c>
      <c r="G66" t="str">
        <f t="shared" ref="G66:G97" si="6">IF(F66&lt;3,"Poor",IF(F66&lt;=4.5,"Average","Excellent"))</f>
        <v>Excellent</v>
      </c>
      <c r="H66" s="6">
        <f t="shared" ref="H66:H97" si="7">C66-B66</f>
        <v>483</v>
      </c>
      <c r="J66" t="str">
        <f t="shared" ref="J66:J97" si="8">IF(D66&lt;20%,"Low Discount",IF(D66&lt;=40%,"Medium Discount","High Discount"))</f>
        <v>High Discount</v>
      </c>
    </row>
    <row r="67" spans="1:10" x14ac:dyDescent="0.35">
      <c r="A67" s="4" t="s">
        <v>18</v>
      </c>
      <c r="B67" s="6">
        <v>1580</v>
      </c>
      <c r="C67" s="6">
        <v>2499</v>
      </c>
      <c r="D67" s="1">
        <v>0.37</v>
      </c>
      <c r="E67">
        <v>7</v>
      </c>
      <c r="F67">
        <v>4.7</v>
      </c>
      <c r="G67" t="str">
        <f t="shared" si="6"/>
        <v>Excellent</v>
      </c>
      <c r="H67" s="6">
        <f t="shared" si="7"/>
        <v>919</v>
      </c>
      <c r="J67" t="str">
        <f t="shared" si="8"/>
        <v>Medium Discount</v>
      </c>
    </row>
    <row r="68" spans="1:10" x14ac:dyDescent="0.35">
      <c r="A68" s="4" t="s">
        <v>44</v>
      </c>
      <c r="B68" s="6">
        <v>990</v>
      </c>
      <c r="C68" s="6">
        <v>1500</v>
      </c>
      <c r="D68" s="1">
        <v>0.34</v>
      </c>
      <c r="E68">
        <v>39</v>
      </c>
      <c r="F68">
        <v>4.7</v>
      </c>
      <c r="G68" t="str">
        <f t="shared" si="6"/>
        <v>Excellent</v>
      </c>
      <c r="H68" s="6">
        <f t="shared" si="7"/>
        <v>510</v>
      </c>
      <c r="J68" t="str">
        <f t="shared" si="8"/>
        <v>Medium Discount</v>
      </c>
    </row>
    <row r="69" spans="1:10" x14ac:dyDescent="0.35">
      <c r="A69" s="4" t="s">
        <v>105</v>
      </c>
      <c r="B69" s="6">
        <v>980</v>
      </c>
      <c r="C69" s="6">
        <v>1490</v>
      </c>
      <c r="D69" s="1">
        <v>0.34</v>
      </c>
      <c r="E69">
        <v>12</v>
      </c>
      <c r="F69">
        <v>4.7</v>
      </c>
      <c r="G69" t="str">
        <f t="shared" si="6"/>
        <v>Excellent</v>
      </c>
      <c r="H69" s="6">
        <f t="shared" si="7"/>
        <v>510</v>
      </c>
      <c r="J69" t="str">
        <f t="shared" si="8"/>
        <v>Medium Discount</v>
      </c>
    </row>
    <row r="70" spans="1:10" x14ac:dyDescent="0.35">
      <c r="A70" s="4" t="s">
        <v>111</v>
      </c>
      <c r="B70" s="6">
        <v>1940</v>
      </c>
      <c r="C70" s="6">
        <v>2650</v>
      </c>
      <c r="D70" s="1">
        <v>0.27</v>
      </c>
      <c r="E70">
        <v>20</v>
      </c>
      <c r="F70">
        <v>4.7</v>
      </c>
      <c r="G70" t="str">
        <f t="shared" si="6"/>
        <v>Excellent</v>
      </c>
      <c r="H70" s="6">
        <f t="shared" si="7"/>
        <v>710</v>
      </c>
      <c r="J70" t="str">
        <f t="shared" si="8"/>
        <v>Medium Discount</v>
      </c>
    </row>
    <row r="71" spans="1:10" x14ac:dyDescent="0.35">
      <c r="A71" s="4" t="s">
        <v>14</v>
      </c>
      <c r="B71" s="6">
        <v>2199</v>
      </c>
      <c r="C71" s="6">
        <v>2923</v>
      </c>
      <c r="D71" s="1">
        <v>0.25</v>
      </c>
      <c r="E71">
        <v>24</v>
      </c>
      <c r="F71">
        <v>4.5999999999999996</v>
      </c>
      <c r="G71" t="str">
        <f t="shared" si="6"/>
        <v>Excellent</v>
      </c>
      <c r="H71" s="6">
        <f t="shared" si="7"/>
        <v>724</v>
      </c>
      <c r="J71" t="str">
        <f t="shared" si="8"/>
        <v>Medium Discount</v>
      </c>
    </row>
    <row r="72" spans="1:10" x14ac:dyDescent="0.35">
      <c r="A72" s="4" t="s">
        <v>30</v>
      </c>
      <c r="B72" s="6">
        <v>2319</v>
      </c>
      <c r="C72" s="6">
        <v>3032</v>
      </c>
      <c r="D72" s="1">
        <v>0.24</v>
      </c>
      <c r="E72">
        <v>55</v>
      </c>
      <c r="F72">
        <v>4.5999999999999996</v>
      </c>
      <c r="G72" t="str">
        <f t="shared" si="6"/>
        <v>Excellent</v>
      </c>
      <c r="H72" s="6">
        <f t="shared" si="7"/>
        <v>713</v>
      </c>
      <c r="J72" t="str">
        <f t="shared" si="8"/>
        <v>Medium Discount</v>
      </c>
    </row>
    <row r="73" spans="1:10" x14ac:dyDescent="0.35">
      <c r="A73" s="4" t="s">
        <v>66</v>
      </c>
      <c r="B73" s="6">
        <v>2999</v>
      </c>
      <c r="C73" s="6">
        <v>3699</v>
      </c>
      <c r="D73" s="1">
        <v>0.19</v>
      </c>
      <c r="E73">
        <v>5</v>
      </c>
      <c r="F73">
        <v>4.5999999999999996</v>
      </c>
      <c r="G73" t="str">
        <f t="shared" si="6"/>
        <v>Excellent</v>
      </c>
      <c r="H73" s="6">
        <f t="shared" si="7"/>
        <v>700</v>
      </c>
      <c r="J73" t="str">
        <f t="shared" si="8"/>
        <v>Low Discount</v>
      </c>
    </row>
    <row r="74" spans="1:10" x14ac:dyDescent="0.35">
      <c r="A74" s="4" t="s">
        <v>68</v>
      </c>
      <c r="B74" s="6">
        <v>998</v>
      </c>
      <c r="C74" s="6">
        <v>1966</v>
      </c>
      <c r="D74" s="1">
        <v>0.49</v>
      </c>
      <c r="E74">
        <v>44</v>
      </c>
      <c r="F74">
        <v>4.5999999999999996</v>
      </c>
      <c r="G74" t="str">
        <f t="shared" si="6"/>
        <v>Excellent</v>
      </c>
      <c r="H74" s="6">
        <f t="shared" si="7"/>
        <v>968</v>
      </c>
      <c r="J74" t="str">
        <f t="shared" si="8"/>
        <v>High Discount</v>
      </c>
    </row>
    <row r="75" spans="1:10" x14ac:dyDescent="0.35">
      <c r="A75" s="4" t="s">
        <v>89</v>
      </c>
      <c r="B75" s="6">
        <v>420</v>
      </c>
      <c r="C75" s="6">
        <v>647</v>
      </c>
      <c r="D75" s="1">
        <v>0.35</v>
      </c>
      <c r="E75">
        <v>49</v>
      </c>
      <c r="F75">
        <v>4.5999999999999996</v>
      </c>
      <c r="G75" t="str">
        <f t="shared" si="6"/>
        <v>Excellent</v>
      </c>
      <c r="H75" s="6">
        <f t="shared" si="7"/>
        <v>227</v>
      </c>
      <c r="J75" t="str">
        <f t="shared" si="8"/>
        <v>Medium Discount</v>
      </c>
    </row>
    <row r="76" spans="1:10" x14ac:dyDescent="0.35">
      <c r="A76" s="4" t="s">
        <v>6</v>
      </c>
      <c r="B76" s="6">
        <v>950</v>
      </c>
      <c r="C76" s="6">
        <v>1525</v>
      </c>
      <c r="D76" s="1">
        <v>0.38</v>
      </c>
      <c r="E76">
        <v>2</v>
      </c>
      <c r="F76">
        <v>4.5</v>
      </c>
      <c r="G76" t="str">
        <f t="shared" si="6"/>
        <v>Average</v>
      </c>
      <c r="H76" s="6">
        <f t="shared" si="7"/>
        <v>575</v>
      </c>
      <c r="J76" t="str">
        <f t="shared" si="8"/>
        <v>Medium Discount</v>
      </c>
    </row>
    <row r="77" spans="1:10" x14ac:dyDescent="0.35">
      <c r="A77" s="4" t="s">
        <v>50</v>
      </c>
      <c r="B77" s="6">
        <v>501</v>
      </c>
      <c r="C77" s="6">
        <v>860</v>
      </c>
      <c r="D77" s="1">
        <v>0.42</v>
      </c>
      <c r="E77">
        <v>6</v>
      </c>
      <c r="F77">
        <v>4.5</v>
      </c>
      <c r="G77" t="str">
        <f t="shared" si="6"/>
        <v>Average</v>
      </c>
      <c r="H77" s="6">
        <f t="shared" si="7"/>
        <v>359</v>
      </c>
      <c r="J77" t="str">
        <f t="shared" si="8"/>
        <v>High Discount</v>
      </c>
    </row>
    <row r="78" spans="1:10" x14ac:dyDescent="0.35">
      <c r="A78" s="4" t="s">
        <v>114</v>
      </c>
      <c r="B78" s="6">
        <v>1980</v>
      </c>
      <c r="C78" s="6">
        <v>2699</v>
      </c>
      <c r="D78" s="1">
        <v>0.27</v>
      </c>
      <c r="E78">
        <v>32</v>
      </c>
      <c r="F78">
        <v>4.5</v>
      </c>
      <c r="G78" t="str">
        <f t="shared" si="6"/>
        <v>Average</v>
      </c>
      <c r="H78" s="6">
        <f t="shared" si="7"/>
        <v>719</v>
      </c>
      <c r="J78" t="str">
        <f t="shared" si="8"/>
        <v>Medium Discount</v>
      </c>
    </row>
    <row r="79" spans="1:10" x14ac:dyDescent="0.35">
      <c r="A79" s="4" t="s">
        <v>125</v>
      </c>
      <c r="B79" s="6">
        <v>1980</v>
      </c>
      <c r="C79" s="6">
        <v>3200</v>
      </c>
      <c r="D79" s="1">
        <v>0.38</v>
      </c>
      <c r="E79">
        <v>2</v>
      </c>
      <c r="F79">
        <v>4.5</v>
      </c>
      <c r="G79" t="str">
        <f t="shared" si="6"/>
        <v>Average</v>
      </c>
      <c r="H79" s="6">
        <f t="shared" si="7"/>
        <v>1220</v>
      </c>
      <c r="J79" t="str">
        <f t="shared" si="8"/>
        <v>Medium Discount</v>
      </c>
    </row>
    <row r="80" spans="1:10" x14ac:dyDescent="0.35">
      <c r="A80" s="4" t="s">
        <v>81</v>
      </c>
      <c r="B80" s="6">
        <v>1650</v>
      </c>
      <c r="C80" s="6">
        <v>2150</v>
      </c>
      <c r="D80" s="1">
        <v>0.23</v>
      </c>
      <c r="E80">
        <v>14</v>
      </c>
      <c r="F80">
        <v>4.4000000000000004</v>
      </c>
      <c r="G80" t="str">
        <f t="shared" si="6"/>
        <v>Average</v>
      </c>
      <c r="H80" s="6">
        <f t="shared" si="7"/>
        <v>500</v>
      </c>
      <c r="J80" t="str">
        <f t="shared" si="8"/>
        <v>Medium Discount</v>
      </c>
    </row>
    <row r="81" spans="1:10" x14ac:dyDescent="0.35">
      <c r="A81" s="4" t="s">
        <v>85</v>
      </c>
      <c r="B81" s="6">
        <v>2048</v>
      </c>
      <c r="C81" s="6">
        <v>4500</v>
      </c>
      <c r="D81" s="1">
        <v>0.54</v>
      </c>
      <c r="E81">
        <v>7</v>
      </c>
      <c r="F81">
        <v>4.3</v>
      </c>
      <c r="G81" t="str">
        <f t="shared" si="6"/>
        <v>Average</v>
      </c>
      <c r="H81" s="6">
        <f t="shared" si="7"/>
        <v>2452</v>
      </c>
      <c r="J81" t="str">
        <f t="shared" si="8"/>
        <v>High Discount</v>
      </c>
    </row>
    <row r="82" spans="1:10" x14ac:dyDescent="0.35">
      <c r="A82" s="4" t="s">
        <v>102</v>
      </c>
      <c r="B82" s="6">
        <v>185</v>
      </c>
      <c r="C82" s="6">
        <v>382</v>
      </c>
      <c r="D82" s="1">
        <v>0.52</v>
      </c>
      <c r="E82">
        <v>9</v>
      </c>
      <c r="F82">
        <v>4.3</v>
      </c>
      <c r="G82" t="str">
        <f t="shared" si="6"/>
        <v>Average</v>
      </c>
      <c r="H82" s="6">
        <f t="shared" si="7"/>
        <v>197</v>
      </c>
      <c r="J82" t="str">
        <f t="shared" si="8"/>
        <v>High Discount</v>
      </c>
    </row>
    <row r="83" spans="1:10" x14ac:dyDescent="0.35">
      <c r="A83" s="4" t="s">
        <v>108</v>
      </c>
      <c r="B83" s="6">
        <v>1820</v>
      </c>
      <c r="C83" s="6">
        <v>3490</v>
      </c>
      <c r="D83" s="1">
        <v>0.48</v>
      </c>
      <c r="E83">
        <v>9</v>
      </c>
      <c r="F83">
        <v>4.3</v>
      </c>
      <c r="G83" t="str">
        <f t="shared" si="6"/>
        <v>Average</v>
      </c>
      <c r="H83" s="6">
        <f t="shared" si="7"/>
        <v>1670</v>
      </c>
      <c r="J83" t="str">
        <f t="shared" si="8"/>
        <v>High Discount</v>
      </c>
    </row>
    <row r="84" spans="1:10" x14ac:dyDescent="0.35">
      <c r="A84" s="4" t="s">
        <v>122</v>
      </c>
      <c r="B84" s="6">
        <v>389</v>
      </c>
      <c r="C84" s="6">
        <v>656</v>
      </c>
      <c r="D84" s="1">
        <v>0.41</v>
      </c>
      <c r="E84">
        <v>36</v>
      </c>
      <c r="F84">
        <v>4.3</v>
      </c>
      <c r="G84" t="str">
        <f t="shared" si="6"/>
        <v>Average</v>
      </c>
      <c r="H84" s="6">
        <f t="shared" si="7"/>
        <v>267</v>
      </c>
      <c r="J84" t="str">
        <f t="shared" si="8"/>
        <v>High Discount</v>
      </c>
    </row>
    <row r="85" spans="1:10" x14ac:dyDescent="0.35">
      <c r="A85" s="4" t="s">
        <v>53</v>
      </c>
      <c r="B85" s="6">
        <v>1680</v>
      </c>
      <c r="C85" s="6">
        <v>2499</v>
      </c>
      <c r="D85" s="1">
        <v>0.33</v>
      </c>
      <c r="E85">
        <v>9</v>
      </c>
      <c r="F85">
        <v>4.2</v>
      </c>
      <c r="G85" t="str">
        <f t="shared" si="6"/>
        <v>Average</v>
      </c>
      <c r="H85" s="6">
        <f t="shared" si="7"/>
        <v>819</v>
      </c>
      <c r="J85" t="str">
        <f t="shared" si="8"/>
        <v>Medium Discount</v>
      </c>
    </row>
    <row r="86" spans="1:10" x14ac:dyDescent="0.35">
      <c r="A86" s="4" t="s">
        <v>10</v>
      </c>
      <c r="B86" s="6">
        <v>527</v>
      </c>
      <c r="C86" s="6">
        <v>999</v>
      </c>
      <c r="D86" s="1">
        <v>0.47</v>
      </c>
      <c r="E86">
        <v>14</v>
      </c>
      <c r="F86">
        <v>4.0999999999999996</v>
      </c>
      <c r="G86" t="str">
        <f t="shared" si="6"/>
        <v>Average</v>
      </c>
      <c r="H86" s="6">
        <f t="shared" si="7"/>
        <v>472</v>
      </c>
      <c r="J86" t="str">
        <f t="shared" si="8"/>
        <v>High Discount</v>
      </c>
    </row>
    <row r="87" spans="1:10" x14ac:dyDescent="0.35">
      <c r="A87" s="4" t="s">
        <v>42</v>
      </c>
      <c r="B87" s="6">
        <v>799</v>
      </c>
      <c r="C87" s="6">
        <v>999</v>
      </c>
      <c r="D87" s="1">
        <v>0.2</v>
      </c>
      <c r="E87">
        <v>12</v>
      </c>
      <c r="F87">
        <v>4.0999999999999996</v>
      </c>
      <c r="G87" t="str">
        <f t="shared" si="6"/>
        <v>Average</v>
      </c>
      <c r="H87" s="6">
        <f t="shared" si="7"/>
        <v>200</v>
      </c>
      <c r="J87" t="str">
        <f t="shared" si="8"/>
        <v>Medium Discount</v>
      </c>
    </row>
    <row r="88" spans="1:10" x14ac:dyDescent="0.35">
      <c r="A88" s="4" t="s">
        <v>97</v>
      </c>
      <c r="B88" s="6">
        <v>1758</v>
      </c>
      <c r="C88" s="6">
        <v>2499</v>
      </c>
      <c r="D88" s="1">
        <v>0.3</v>
      </c>
      <c r="E88">
        <v>20</v>
      </c>
      <c r="F88">
        <v>4.0999999999999996</v>
      </c>
      <c r="G88" t="str">
        <f t="shared" si="6"/>
        <v>Average</v>
      </c>
      <c r="H88" s="6">
        <f t="shared" si="7"/>
        <v>741</v>
      </c>
      <c r="J88" t="str">
        <f t="shared" si="8"/>
        <v>Medium Discount</v>
      </c>
    </row>
    <row r="89" spans="1:10" x14ac:dyDescent="0.35">
      <c r="A89" s="4" t="s">
        <v>26</v>
      </c>
      <c r="B89" s="6">
        <v>2999</v>
      </c>
      <c r="C89" s="6">
        <v>3290</v>
      </c>
      <c r="D89" s="1">
        <v>0.09</v>
      </c>
      <c r="E89">
        <v>15</v>
      </c>
      <c r="F89">
        <v>4</v>
      </c>
      <c r="G89" t="str">
        <f t="shared" si="6"/>
        <v>Average</v>
      </c>
      <c r="H89" s="6">
        <f t="shared" si="7"/>
        <v>291</v>
      </c>
      <c r="J89" t="str">
        <f t="shared" si="8"/>
        <v>Low Discount</v>
      </c>
    </row>
    <row r="90" spans="1:10" x14ac:dyDescent="0.35">
      <c r="A90" s="4" t="s">
        <v>33</v>
      </c>
      <c r="B90" s="6">
        <v>988</v>
      </c>
      <c r="C90" s="6">
        <v>1580</v>
      </c>
      <c r="D90" s="1">
        <v>0.37</v>
      </c>
      <c r="E90">
        <v>2</v>
      </c>
      <c r="F90">
        <v>4</v>
      </c>
      <c r="G90" t="str">
        <f t="shared" si="6"/>
        <v>Average</v>
      </c>
      <c r="H90" s="6">
        <f t="shared" si="7"/>
        <v>592</v>
      </c>
      <c r="J90" t="str">
        <f t="shared" si="8"/>
        <v>Medium Discount</v>
      </c>
    </row>
    <row r="91" spans="1:10" x14ac:dyDescent="0.35">
      <c r="A91" s="4" t="s">
        <v>78</v>
      </c>
      <c r="B91" s="6">
        <v>880</v>
      </c>
      <c r="C91" s="6">
        <v>1350</v>
      </c>
      <c r="D91" s="1">
        <v>0.35</v>
      </c>
      <c r="E91">
        <v>6</v>
      </c>
      <c r="F91">
        <v>4</v>
      </c>
      <c r="G91" t="str">
        <f t="shared" si="6"/>
        <v>Average</v>
      </c>
      <c r="H91" s="6">
        <f t="shared" si="7"/>
        <v>470</v>
      </c>
      <c r="J91" t="str">
        <f t="shared" si="8"/>
        <v>Medium Discount</v>
      </c>
    </row>
    <row r="92" spans="1:10" x14ac:dyDescent="0.35">
      <c r="A92" s="4" t="s">
        <v>253</v>
      </c>
      <c r="B92" s="6">
        <v>330</v>
      </c>
      <c r="C92" s="6">
        <v>647</v>
      </c>
      <c r="D92" s="1">
        <v>0.49</v>
      </c>
      <c r="E92">
        <v>1</v>
      </c>
      <c r="F92">
        <v>4</v>
      </c>
      <c r="G92" t="str">
        <f t="shared" si="6"/>
        <v>Average</v>
      </c>
      <c r="H92" s="6">
        <f t="shared" si="7"/>
        <v>317</v>
      </c>
      <c r="J92" t="str">
        <f t="shared" si="8"/>
        <v>High Discount</v>
      </c>
    </row>
    <row r="93" spans="1:10" x14ac:dyDescent="0.35">
      <c r="A93" s="4" t="s">
        <v>38</v>
      </c>
      <c r="B93" s="6">
        <v>1600</v>
      </c>
      <c r="C93" s="6">
        <v>2929</v>
      </c>
      <c r="D93" s="1">
        <v>0.45</v>
      </c>
      <c r="E93">
        <v>5</v>
      </c>
      <c r="F93">
        <v>3.8</v>
      </c>
      <c r="G93" t="str">
        <f t="shared" si="6"/>
        <v>Average</v>
      </c>
      <c r="H93" s="6">
        <f t="shared" si="7"/>
        <v>1329</v>
      </c>
      <c r="J93" t="str">
        <f t="shared" si="8"/>
        <v>High Discount</v>
      </c>
    </row>
    <row r="94" spans="1:10" x14ac:dyDescent="0.35">
      <c r="A94" s="4" t="s">
        <v>92</v>
      </c>
      <c r="B94" s="6">
        <v>2880</v>
      </c>
      <c r="C94" s="6">
        <v>3520</v>
      </c>
      <c r="D94" s="1">
        <v>0.18</v>
      </c>
      <c r="E94">
        <v>12</v>
      </c>
      <c r="F94">
        <v>3.8</v>
      </c>
      <c r="G94" t="str">
        <f t="shared" si="6"/>
        <v>Average</v>
      </c>
      <c r="H94" s="6">
        <f t="shared" si="7"/>
        <v>640</v>
      </c>
      <c r="J94" t="str">
        <f t="shared" si="8"/>
        <v>Low Discount</v>
      </c>
    </row>
    <row r="95" spans="1:10" x14ac:dyDescent="0.35">
      <c r="A95" s="4" t="s">
        <v>95</v>
      </c>
      <c r="B95" s="6">
        <v>1350</v>
      </c>
      <c r="C95" s="6">
        <v>1990</v>
      </c>
      <c r="D95" s="1">
        <v>0.32</v>
      </c>
      <c r="E95">
        <v>13</v>
      </c>
      <c r="F95">
        <v>3.8</v>
      </c>
      <c r="G95" t="str">
        <f t="shared" si="6"/>
        <v>Average</v>
      </c>
      <c r="H95" s="6">
        <f t="shared" si="7"/>
        <v>640</v>
      </c>
      <c r="J95" t="str">
        <f t="shared" si="8"/>
        <v>Medium Discount</v>
      </c>
    </row>
    <row r="96" spans="1:10" x14ac:dyDescent="0.35">
      <c r="A96" s="4" t="s">
        <v>71</v>
      </c>
      <c r="B96" s="6">
        <v>38</v>
      </c>
      <c r="C96" s="6">
        <v>80</v>
      </c>
      <c r="D96" s="1">
        <v>0.53</v>
      </c>
      <c r="E96">
        <v>13</v>
      </c>
      <c r="F96">
        <v>3.3</v>
      </c>
      <c r="G96" t="str">
        <f t="shared" si="6"/>
        <v>Average</v>
      </c>
      <c r="H96" s="6">
        <f t="shared" si="7"/>
        <v>42</v>
      </c>
      <c r="J96" t="str">
        <f t="shared" si="8"/>
        <v>High Discount</v>
      </c>
    </row>
    <row r="97" spans="1:10" x14ac:dyDescent="0.35">
      <c r="A97" s="4" t="s">
        <v>186</v>
      </c>
      <c r="B97" s="6">
        <v>458</v>
      </c>
      <c r="C97" s="6">
        <v>986</v>
      </c>
      <c r="D97" s="1">
        <v>0.54</v>
      </c>
      <c r="E97">
        <v>10</v>
      </c>
      <c r="F97">
        <v>3</v>
      </c>
      <c r="G97" t="str">
        <f t="shared" si="6"/>
        <v>Average</v>
      </c>
      <c r="H97" s="6">
        <f t="shared" si="7"/>
        <v>528</v>
      </c>
      <c r="J97" t="str">
        <f t="shared" si="8"/>
        <v>High Discount</v>
      </c>
    </row>
    <row r="98" spans="1:10" x14ac:dyDescent="0.35">
      <c r="A98" s="4" t="s">
        <v>212</v>
      </c>
      <c r="B98" s="6">
        <v>3750</v>
      </c>
      <c r="C98" s="6">
        <v>6143</v>
      </c>
      <c r="D98" s="1">
        <v>0.39</v>
      </c>
      <c r="E98">
        <v>5</v>
      </c>
      <c r="F98">
        <v>3</v>
      </c>
      <c r="G98" t="str">
        <f t="shared" ref="G98:G113" si="9">IF(F98&lt;3,"Poor",IF(F98&lt;=4.5,"Average","Excellent"))</f>
        <v>Average</v>
      </c>
      <c r="H98" s="6">
        <f t="shared" ref="H98:H113" si="10">C98-B98</f>
        <v>2393</v>
      </c>
      <c r="J98" t="str">
        <f t="shared" ref="J98:J113" si="11">IF(D98&lt;20%,"Low Discount",IF(D98&lt;=40%,"Medium Discount","High Discount"))</f>
        <v>Medium Discount</v>
      </c>
    </row>
    <row r="99" spans="1:10" x14ac:dyDescent="0.35">
      <c r="A99" s="4" t="s">
        <v>218</v>
      </c>
      <c r="B99" s="6">
        <v>2300</v>
      </c>
      <c r="C99" s="6">
        <v>3240</v>
      </c>
      <c r="D99" s="1">
        <v>0.28999999999999998</v>
      </c>
      <c r="E99">
        <v>5</v>
      </c>
      <c r="F99">
        <v>3</v>
      </c>
      <c r="G99" t="str">
        <f t="shared" si="9"/>
        <v>Average</v>
      </c>
      <c r="H99" s="6">
        <f t="shared" si="10"/>
        <v>940</v>
      </c>
      <c r="J99" t="str">
        <f t="shared" si="11"/>
        <v>Medium Discount</v>
      </c>
    </row>
    <row r="100" spans="1:10" x14ac:dyDescent="0.35">
      <c r="A100" s="4" t="s">
        <v>224</v>
      </c>
      <c r="B100" s="6">
        <v>509</v>
      </c>
      <c r="C100" s="6">
        <v>899</v>
      </c>
      <c r="D100" s="1">
        <v>0.43</v>
      </c>
      <c r="E100">
        <v>5</v>
      </c>
      <c r="F100">
        <v>3</v>
      </c>
      <c r="G100" t="str">
        <f t="shared" si="9"/>
        <v>Average</v>
      </c>
      <c r="H100" s="6">
        <f t="shared" si="10"/>
        <v>390</v>
      </c>
      <c r="J100" t="str">
        <f t="shared" si="11"/>
        <v>High Discount</v>
      </c>
    </row>
    <row r="101" spans="1:10" x14ac:dyDescent="0.35">
      <c r="A101" s="4" t="s">
        <v>243</v>
      </c>
      <c r="B101" s="6">
        <v>1189</v>
      </c>
      <c r="C101" s="6">
        <v>2199</v>
      </c>
      <c r="D101" s="1">
        <v>0.46</v>
      </c>
      <c r="E101">
        <v>1</v>
      </c>
      <c r="F101">
        <v>3</v>
      </c>
      <c r="G101" t="str">
        <f t="shared" si="9"/>
        <v>Average</v>
      </c>
      <c r="H101" s="6">
        <f t="shared" si="10"/>
        <v>1010</v>
      </c>
      <c r="J101" t="str">
        <f t="shared" si="11"/>
        <v>High Discount</v>
      </c>
    </row>
    <row r="102" spans="1:10" x14ac:dyDescent="0.35">
      <c r="A102" s="4" t="s">
        <v>202</v>
      </c>
      <c r="B102" s="6">
        <v>1220</v>
      </c>
      <c r="C102" s="6">
        <v>1555</v>
      </c>
      <c r="D102" s="1">
        <v>0.22</v>
      </c>
      <c r="E102">
        <v>16</v>
      </c>
      <c r="F102">
        <v>2.9</v>
      </c>
      <c r="G102" t="str">
        <f t="shared" si="9"/>
        <v>Poor</v>
      </c>
      <c r="H102" s="6">
        <f t="shared" si="10"/>
        <v>335</v>
      </c>
      <c r="J102" t="str">
        <f t="shared" si="11"/>
        <v>Medium Discount</v>
      </c>
    </row>
    <row r="103" spans="1:10" x14ac:dyDescent="0.35">
      <c r="A103" s="4" t="s">
        <v>194</v>
      </c>
      <c r="B103" s="6">
        <v>445</v>
      </c>
      <c r="C103" s="6">
        <v>873</v>
      </c>
      <c r="D103" s="1">
        <v>0.49</v>
      </c>
      <c r="E103">
        <v>69</v>
      </c>
      <c r="F103">
        <v>2.8</v>
      </c>
      <c r="G103" t="str">
        <f t="shared" si="9"/>
        <v>Poor</v>
      </c>
      <c r="H103" s="6">
        <f t="shared" si="10"/>
        <v>428</v>
      </c>
      <c r="J103" t="str">
        <f t="shared" si="11"/>
        <v>High Discount</v>
      </c>
    </row>
    <row r="104" spans="1:10" x14ac:dyDescent="0.35">
      <c r="A104" s="4" t="s">
        <v>198</v>
      </c>
      <c r="B104" s="6">
        <v>325</v>
      </c>
      <c r="C104" s="6">
        <v>680</v>
      </c>
      <c r="D104" s="1">
        <v>0.52</v>
      </c>
      <c r="E104">
        <v>15</v>
      </c>
      <c r="F104">
        <v>2.7</v>
      </c>
      <c r="G104" t="str">
        <f t="shared" si="9"/>
        <v>Poor</v>
      </c>
      <c r="H104" s="6">
        <f t="shared" si="10"/>
        <v>355</v>
      </c>
      <c r="J104" t="str">
        <f t="shared" si="11"/>
        <v>High Discount</v>
      </c>
    </row>
    <row r="105" spans="1:10" x14ac:dyDescent="0.35">
      <c r="A105" s="4" t="s">
        <v>215</v>
      </c>
      <c r="B105" s="6">
        <v>382</v>
      </c>
      <c r="C105" s="6">
        <v>700</v>
      </c>
      <c r="D105" s="1">
        <v>0.45</v>
      </c>
      <c r="E105">
        <v>17</v>
      </c>
      <c r="F105">
        <v>2.6</v>
      </c>
      <c r="G105" t="str">
        <f t="shared" si="9"/>
        <v>Poor</v>
      </c>
      <c r="H105" s="6">
        <f t="shared" si="10"/>
        <v>318</v>
      </c>
      <c r="J105" t="str">
        <f t="shared" si="11"/>
        <v>High Discount</v>
      </c>
    </row>
    <row r="106" spans="1:10" x14ac:dyDescent="0.35">
      <c r="A106" s="4" t="s">
        <v>182</v>
      </c>
      <c r="B106" s="6">
        <v>2170</v>
      </c>
      <c r="C106" s="6">
        <v>2500</v>
      </c>
      <c r="D106" s="1">
        <v>0.13</v>
      </c>
      <c r="E106">
        <v>6</v>
      </c>
      <c r="F106">
        <v>2.5</v>
      </c>
      <c r="G106" t="str">
        <f t="shared" si="9"/>
        <v>Poor</v>
      </c>
      <c r="H106" s="6">
        <f t="shared" si="10"/>
        <v>330</v>
      </c>
      <c r="J106" t="str">
        <f t="shared" si="11"/>
        <v>Low Discount</v>
      </c>
    </row>
    <row r="107" spans="1:10" x14ac:dyDescent="0.35">
      <c r="A107" s="4" t="s">
        <v>209</v>
      </c>
      <c r="B107" s="6">
        <v>1000</v>
      </c>
      <c r="C107" s="6">
        <v>2000</v>
      </c>
      <c r="D107" s="1">
        <v>0.5</v>
      </c>
      <c r="E107">
        <v>7</v>
      </c>
      <c r="F107">
        <v>2.2999999999999998</v>
      </c>
      <c r="G107" t="str">
        <f t="shared" si="9"/>
        <v>Poor</v>
      </c>
      <c r="H107" s="6">
        <f t="shared" si="10"/>
        <v>1000</v>
      </c>
      <c r="J107" t="str">
        <f t="shared" si="11"/>
        <v>High Discount</v>
      </c>
    </row>
    <row r="108" spans="1:10" x14ac:dyDescent="0.35">
      <c r="A108" s="4" t="s">
        <v>221</v>
      </c>
      <c r="B108" s="6">
        <v>345</v>
      </c>
      <c r="C108" s="6">
        <v>602</v>
      </c>
      <c r="D108" s="1">
        <v>0.43</v>
      </c>
      <c r="E108">
        <v>6</v>
      </c>
      <c r="F108">
        <v>2.2999999999999998</v>
      </c>
      <c r="G108" t="str">
        <f t="shared" si="9"/>
        <v>Poor</v>
      </c>
      <c r="H108" s="6">
        <f t="shared" si="10"/>
        <v>257</v>
      </c>
      <c r="J108" t="str">
        <f t="shared" si="11"/>
        <v>High Discount</v>
      </c>
    </row>
    <row r="109" spans="1:10" x14ac:dyDescent="0.35">
      <c r="A109" s="4" t="s">
        <v>206</v>
      </c>
      <c r="B109" s="6">
        <v>990</v>
      </c>
      <c r="C109" s="6">
        <v>1814</v>
      </c>
      <c r="D109" s="1">
        <v>0.45</v>
      </c>
      <c r="E109">
        <v>6</v>
      </c>
      <c r="F109">
        <v>2.2000000000000002</v>
      </c>
      <c r="G109" t="str">
        <f t="shared" si="9"/>
        <v>Poor</v>
      </c>
      <c r="H109" s="6">
        <f t="shared" si="10"/>
        <v>824</v>
      </c>
      <c r="J109" t="str">
        <f t="shared" si="11"/>
        <v>High Discount</v>
      </c>
    </row>
    <row r="110" spans="1:10" x14ac:dyDescent="0.35">
      <c r="A110" s="4" t="s">
        <v>227</v>
      </c>
      <c r="B110" s="6">
        <v>968</v>
      </c>
      <c r="C110" s="6">
        <v>1814</v>
      </c>
      <c r="D110" s="1">
        <v>0.47</v>
      </c>
      <c r="E110">
        <v>6</v>
      </c>
      <c r="F110">
        <v>2.2000000000000002</v>
      </c>
      <c r="G110" t="str">
        <f t="shared" si="9"/>
        <v>Poor</v>
      </c>
      <c r="H110" s="6">
        <f t="shared" si="10"/>
        <v>846</v>
      </c>
      <c r="J110" t="str">
        <f t="shared" si="11"/>
        <v>High Discount</v>
      </c>
    </row>
    <row r="111" spans="1:10" x14ac:dyDescent="0.35">
      <c r="A111" s="4" t="s">
        <v>190</v>
      </c>
      <c r="B111" s="6">
        <v>2115</v>
      </c>
      <c r="C111" s="6">
        <v>4700</v>
      </c>
      <c r="D111" s="1">
        <v>0.55000000000000004</v>
      </c>
      <c r="E111">
        <v>13</v>
      </c>
      <c r="F111">
        <v>2.1</v>
      </c>
      <c r="G111" t="str">
        <f t="shared" si="9"/>
        <v>Poor</v>
      </c>
      <c r="H111" s="6">
        <f t="shared" si="10"/>
        <v>2585</v>
      </c>
      <c r="J111" t="str">
        <f t="shared" si="11"/>
        <v>High Discount</v>
      </c>
    </row>
    <row r="112" spans="1:10" x14ac:dyDescent="0.35">
      <c r="A112" s="4" t="s">
        <v>229</v>
      </c>
      <c r="B112" s="6">
        <v>1570</v>
      </c>
      <c r="C112" s="6">
        <v>2988</v>
      </c>
      <c r="D112" s="1">
        <v>0.47</v>
      </c>
      <c r="E112">
        <v>7</v>
      </c>
      <c r="F112">
        <v>2.1</v>
      </c>
      <c r="G112" t="str">
        <f t="shared" si="9"/>
        <v>Poor</v>
      </c>
      <c r="H112" s="6">
        <f t="shared" si="10"/>
        <v>1418</v>
      </c>
      <c r="J112" t="str">
        <f t="shared" si="11"/>
        <v>High Discount</v>
      </c>
    </row>
    <row r="113" spans="1:10" x14ac:dyDescent="0.35">
      <c r="A113" s="4" t="s">
        <v>318</v>
      </c>
      <c r="B113" s="6">
        <v>450</v>
      </c>
      <c r="C113" s="6">
        <v>900</v>
      </c>
      <c r="D113" s="1">
        <v>0.5</v>
      </c>
      <c r="E113">
        <v>1</v>
      </c>
      <c r="F113">
        <v>2</v>
      </c>
      <c r="G113" t="str">
        <f t="shared" si="9"/>
        <v>Poor</v>
      </c>
      <c r="H113" s="6">
        <f t="shared" si="10"/>
        <v>450</v>
      </c>
      <c r="J113" t="str">
        <f t="shared" si="11"/>
        <v>High Discount</v>
      </c>
    </row>
  </sheetData>
  <sortState xmlns:xlrd2="http://schemas.microsoft.com/office/spreadsheetml/2017/richdata2" ref="A2:J119">
    <sortCondition descending="1" ref="F2:F119"/>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0C6F-5C8D-4A9C-AE6E-FD2BE080A02C}">
  <dimension ref="A1:J113"/>
  <sheetViews>
    <sheetView workbookViewId="0">
      <selection activeCell="A116" sqref="A1:XFD1048576"/>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16712</v>
      </c>
      <c r="H1" s="2" t="s">
        <v>16711</v>
      </c>
      <c r="I1" s="2" t="s">
        <v>16710</v>
      </c>
      <c r="J1" s="2" t="s">
        <v>16709</v>
      </c>
    </row>
    <row r="2" spans="1:10" x14ac:dyDescent="0.35">
      <c r="A2" s="4" t="s">
        <v>318</v>
      </c>
      <c r="B2" s="6">
        <v>450</v>
      </c>
      <c r="C2" s="6">
        <v>900</v>
      </c>
      <c r="D2" s="1">
        <v>0.5</v>
      </c>
      <c r="E2">
        <v>1</v>
      </c>
      <c r="F2">
        <v>2</v>
      </c>
      <c r="G2" t="str">
        <f t="shared" ref="G2:G33" si="0">IF(F2&lt;3,"Poor",IF(F2&lt;=4.5,"Average","Excellent"))</f>
        <v>Poor</v>
      </c>
      <c r="H2" s="6">
        <f t="shared" ref="H2:H33" si="1">C2-B2</f>
        <v>450</v>
      </c>
      <c r="J2" t="str">
        <f t="shared" ref="J2:J33" si="2">IF(D2&lt;20%,"Low Discount",IF(D2&lt;=40%,"Medium Discount","High Discount"))</f>
        <v>High Discount</v>
      </c>
    </row>
    <row r="3" spans="1:10" x14ac:dyDescent="0.35">
      <c r="A3" s="4" t="s">
        <v>190</v>
      </c>
      <c r="B3" s="6">
        <v>2115</v>
      </c>
      <c r="C3" s="6">
        <v>4700</v>
      </c>
      <c r="D3" s="1">
        <v>0.55000000000000004</v>
      </c>
      <c r="E3">
        <v>13</v>
      </c>
      <c r="F3">
        <v>2.1</v>
      </c>
      <c r="G3" t="str">
        <f t="shared" si="0"/>
        <v>Poor</v>
      </c>
      <c r="H3" s="6">
        <f t="shared" si="1"/>
        <v>2585</v>
      </c>
      <c r="J3" t="str">
        <f t="shared" si="2"/>
        <v>High Discount</v>
      </c>
    </row>
    <row r="4" spans="1:10" x14ac:dyDescent="0.35">
      <c r="A4" s="4" t="s">
        <v>229</v>
      </c>
      <c r="B4" s="6">
        <v>1570</v>
      </c>
      <c r="C4" s="6">
        <v>2988</v>
      </c>
      <c r="D4" s="1">
        <v>0.47</v>
      </c>
      <c r="E4">
        <v>7</v>
      </c>
      <c r="F4">
        <v>2.1</v>
      </c>
      <c r="G4" t="str">
        <f t="shared" si="0"/>
        <v>Poor</v>
      </c>
      <c r="H4" s="6">
        <f t="shared" si="1"/>
        <v>1418</v>
      </c>
      <c r="J4" t="str">
        <f t="shared" si="2"/>
        <v>High Discount</v>
      </c>
    </row>
    <row r="5" spans="1:10" x14ac:dyDescent="0.35">
      <c r="A5" s="4" t="s">
        <v>206</v>
      </c>
      <c r="B5" s="6">
        <v>990</v>
      </c>
      <c r="C5" s="6">
        <v>1814</v>
      </c>
      <c r="D5" s="1">
        <v>0.45</v>
      </c>
      <c r="E5">
        <v>6</v>
      </c>
      <c r="F5">
        <v>2.2000000000000002</v>
      </c>
      <c r="G5" t="str">
        <f t="shared" si="0"/>
        <v>Poor</v>
      </c>
      <c r="H5" s="6">
        <f t="shared" si="1"/>
        <v>824</v>
      </c>
      <c r="J5" t="str">
        <f t="shared" si="2"/>
        <v>High Discount</v>
      </c>
    </row>
    <row r="6" spans="1:10" x14ac:dyDescent="0.35">
      <c r="A6" s="4" t="s">
        <v>227</v>
      </c>
      <c r="B6" s="6">
        <v>968</v>
      </c>
      <c r="C6" s="6">
        <v>1814</v>
      </c>
      <c r="D6" s="1">
        <v>0.47</v>
      </c>
      <c r="E6">
        <v>6</v>
      </c>
      <c r="F6">
        <v>2.2000000000000002</v>
      </c>
      <c r="G6" t="str">
        <f t="shared" si="0"/>
        <v>Poor</v>
      </c>
      <c r="H6" s="6">
        <f t="shared" si="1"/>
        <v>846</v>
      </c>
      <c r="J6" t="str">
        <f t="shared" si="2"/>
        <v>High Discount</v>
      </c>
    </row>
    <row r="7" spans="1:10" x14ac:dyDescent="0.35">
      <c r="A7" s="4" t="s">
        <v>209</v>
      </c>
      <c r="B7" s="6">
        <v>1000</v>
      </c>
      <c r="C7" s="6">
        <v>2000</v>
      </c>
      <c r="D7" s="1">
        <v>0.5</v>
      </c>
      <c r="E7">
        <v>7</v>
      </c>
      <c r="F7">
        <v>2.2999999999999998</v>
      </c>
      <c r="G7" t="str">
        <f t="shared" si="0"/>
        <v>Poor</v>
      </c>
      <c r="H7" s="6">
        <f t="shared" si="1"/>
        <v>1000</v>
      </c>
      <c r="J7" t="str">
        <f t="shared" si="2"/>
        <v>High Discount</v>
      </c>
    </row>
    <row r="8" spans="1:10" x14ac:dyDescent="0.35">
      <c r="A8" s="4" t="s">
        <v>221</v>
      </c>
      <c r="B8" s="6">
        <v>345</v>
      </c>
      <c r="C8" s="6">
        <v>602</v>
      </c>
      <c r="D8" s="1">
        <v>0.43</v>
      </c>
      <c r="E8">
        <v>6</v>
      </c>
      <c r="F8">
        <v>2.2999999999999998</v>
      </c>
      <c r="G8" t="str">
        <f t="shared" si="0"/>
        <v>Poor</v>
      </c>
      <c r="H8" s="6">
        <f t="shared" si="1"/>
        <v>257</v>
      </c>
      <c r="J8" t="str">
        <f t="shared" si="2"/>
        <v>High Discount</v>
      </c>
    </row>
    <row r="9" spans="1:10" x14ac:dyDescent="0.35">
      <c r="A9" s="4" t="s">
        <v>182</v>
      </c>
      <c r="B9" s="6">
        <v>2170</v>
      </c>
      <c r="C9" s="6">
        <v>2500</v>
      </c>
      <c r="D9" s="1">
        <v>0.13</v>
      </c>
      <c r="E9">
        <v>6</v>
      </c>
      <c r="F9">
        <v>2.5</v>
      </c>
      <c r="G9" t="str">
        <f t="shared" si="0"/>
        <v>Poor</v>
      </c>
      <c r="H9" s="6">
        <f t="shared" si="1"/>
        <v>330</v>
      </c>
      <c r="J9" t="str">
        <f t="shared" si="2"/>
        <v>Low Discount</v>
      </c>
    </row>
    <row r="10" spans="1:10" x14ac:dyDescent="0.35">
      <c r="A10" s="4" t="s">
        <v>215</v>
      </c>
      <c r="B10" s="6">
        <v>382</v>
      </c>
      <c r="C10" s="6">
        <v>700</v>
      </c>
      <c r="D10" s="1">
        <v>0.45</v>
      </c>
      <c r="E10">
        <v>17</v>
      </c>
      <c r="F10">
        <v>2.6</v>
      </c>
      <c r="G10" t="str">
        <f t="shared" si="0"/>
        <v>Poor</v>
      </c>
      <c r="H10" s="6">
        <f t="shared" si="1"/>
        <v>318</v>
      </c>
      <c r="J10" t="str">
        <f t="shared" si="2"/>
        <v>High Discount</v>
      </c>
    </row>
    <row r="11" spans="1:10" x14ac:dyDescent="0.35">
      <c r="A11" s="4" t="s">
        <v>198</v>
      </c>
      <c r="B11" s="6">
        <v>325</v>
      </c>
      <c r="C11" s="6">
        <v>680</v>
      </c>
      <c r="D11" s="1">
        <v>0.52</v>
      </c>
      <c r="E11">
        <v>15</v>
      </c>
      <c r="F11">
        <v>2.7</v>
      </c>
      <c r="G11" t="str">
        <f t="shared" si="0"/>
        <v>Poor</v>
      </c>
      <c r="H11" s="6">
        <f t="shared" si="1"/>
        <v>355</v>
      </c>
      <c r="J11" t="str">
        <f t="shared" si="2"/>
        <v>High Discount</v>
      </c>
    </row>
    <row r="12" spans="1:10" x14ac:dyDescent="0.35">
      <c r="A12" s="4" t="s">
        <v>194</v>
      </c>
      <c r="B12" s="6">
        <v>445</v>
      </c>
      <c r="C12" s="6">
        <v>873</v>
      </c>
      <c r="D12" s="1">
        <v>0.49</v>
      </c>
      <c r="E12">
        <v>69</v>
      </c>
      <c r="F12">
        <v>2.8</v>
      </c>
      <c r="G12" t="str">
        <f t="shared" si="0"/>
        <v>Poor</v>
      </c>
      <c r="H12" s="6">
        <f t="shared" si="1"/>
        <v>428</v>
      </c>
      <c r="J12" t="str">
        <f t="shared" si="2"/>
        <v>High Discount</v>
      </c>
    </row>
    <row r="13" spans="1:10" x14ac:dyDescent="0.35">
      <c r="A13" s="4" t="s">
        <v>202</v>
      </c>
      <c r="B13" s="6">
        <v>1220</v>
      </c>
      <c r="C13" s="6">
        <v>1555</v>
      </c>
      <c r="D13" s="1">
        <v>0.22</v>
      </c>
      <c r="E13">
        <v>16</v>
      </c>
      <c r="F13">
        <v>2.9</v>
      </c>
      <c r="G13" t="str">
        <f t="shared" si="0"/>
        <v>Poor</v>
      </c>
      <c r="H13" s="6">
        <f t="shared" si="1"/>
        <v>335</v>
      </c>
      <c r="J13" t="str">
        <f t="shared" si="2"/>
        <v>Medium Discount</v>
      </c>
    </row>
    <row r="14" spans="1:10" x14ac:dyDescent="0.35">
      <c r="A14" s="4" t="s">
        <v>186</v>
      </c>
      <c r="B14" s="6">
        <v>458</v>
      </c>
      <c r="C14" s="6">
        <v>986</v>
      </c>
      <c r="D14" s="1">
        <v>0.54</v>
      </c>
      <c r="E14">
        <v>10</v>
      </c>
      <c r="F14">
        <v>3</v>
      </c>
      <c r="G14" t="str">
        <f t="shared" si="0"/>
        <v>Average</v>
      </c>
      <c r="H14" s="6">
        <f t="shared" si="1"/>
        <v>528</v>
      </c>
      <c r="J14" t="str">
        <f t="shared" si="2"/>
        <v>High Discount</v>
      </c>
    </row>
    <row r="15" spans="1:10" x14ac:dyDescent="0.35">
      <c r="A15" s="4" t="s">
        <v>212</v>
      </c>
      <c r="B15" s="6">
        <v>3750</v>
      </c>
      <c r="C15" s="6">
        <v>6143</v>
      </c>
      <c r="D15" s="1">
        <v>0.39</v>
      </c>
      <c r="E15">
        <v>5</v>
      </c>
      <c r="F15">
        <v>3</v>
      </c>
      <c r="G15" t="str">
        <f t="shared" si="0"/>
        <v>Average</v>
      </c>
      <c r="H15" s="6">
        <f t="shared" si="1"/>
        <v>2393</v>
      </c>
      <c r="J15" t="str">
        <f t="shared" si="2"/>
        <v>Medium Discount</v>
      </c>
    </row>
    <row r="16" spans="1:10" x14ac:dyDescent="0.35">
      <c r="A16" s="4" t="s">
        <v>218</v>
      </c>
      <c r="B16" s="6">
        <v>2300</v>
      </c>
      <c r="C16" s="6">
        <v>3240</v>
      </c>
      <c r="D16" s="1">
        <v>0.28999999999999998</v>
      </c>
      <c r="E16">
        <v>5</v>
      </c>
      <c r="F16">
        <v>3</v>
      </c>
      <c r="G16" t="str">
        <f t="shared" si="0"/>
        <v>Average</v>
      </c>
      <c r="H16" s="6">
        <f t="shared" si="1"/>
        <v>940</v>
      </c>
      <c r="J16" t="str">
        <f t="shared" si="2"/>
        <v>Medium Discount</v>
      </c>
    </row>
    <row r="17" spans="1:10" x14ac:dyDescent="0.35">
      <c r="A17" s="4" t="s">
        <v>224</v>
      </c>
      <c r="B17" s="6">
        <v>509</v>
      </c>
      <c r="C17" s="6">
        <v>899</v>
      </c>
      <c r="D17" s="1">
        <v>0.43</v>
      </c>
      <c r="E17">
        <v>5</v>
      </c>
      <c r="F17">
        <v>3</v>
      </c>
      <c r="G17" t="str">
        <f t="shared" si="0"/>
        <v>Average</v>
      </c>
      <c r="H17" s="6">
        <f t="shared" si="1"/>
        <v>390</v>
      </c>
      <c r="J17" t="str">
        <f t="shared" si="2"/>
        <v>High Discount</v>
      </c>
    </row>
    <row r="18" spans="1:10" x14ac:dyDescent="0.35">
      <c r="A18" s="4" t="s">
        <v>243</v>
      </c>
      <c r="B18" s="6">
        <v>1189</v>
      </c>
      <c r="C18" s="6">
        <v>2199</v>
      </c>
      <c r="D18" s="1">
        <v>0.46</v>
      </c>
      <c r="E18">
        <v>1</v>
      </c>
      <c r="F18">
        <v>3</v>
      </c>
      <c r="G18" t="str">
        <f t="shared" si="0"/>
        <v>Average</v>
      </c>
      <c r="H18" s="6">
        <f t="shared" si="1"/>
        <v>1010</v>
      </c>
      <c r="J18" t="str">
        <f t="shared" si="2"/>
        <v>High Discount</v>
      </c>
    </row>
    <row r="19" spans="1:10" x14ac:dyDescent="0.35">
      <c r="A19" s="4" t="s">
        <v>71</v>
      </c>
      <c r="B19" s="6">
        <v>38</v>
      </c>
      <c r="C19" s="6">
        <v>80</v>
      </c>
      <c r="D19" s="1">
        <v>0.53</v>
      </c>
      <c r="E19">
        <v>13</v>
      </c>
      <c r="F19">
        <v>3.3</v>
      </c>
      <c r="G19" t="str">
        <f t="shared" si="0"/>
        <v>Average</v>
      </c>
      <c r="H19" s="6">
        <f t="shared" si="1"/>
        <v>42</v>
      </c>
      <c r="J19" t="str">
        <f t="shared" si="2"/>
        <v>High Discount</v>
      </c>
    </row>
    <row r="20" spans="1:10" x14ac:dyDescent="0.35">
      <c r="A20" s="4" t="s">
        <v>38</v>
      </c>
      <c r="B20" s="6">
        <v>1600</v>
      </c>
      <c r="C20" s="6">
        <v>2929</v>
      </c>
      <c r="D20" s="1">
        <v>0.45</v>
      </c>
      <c r="E20">
        <v>5</v>
      </c>
      <c r="F20">
        <v>3.8</v>
      </c>
      <c r="G20" t="str">
        <f t="shared" si="0"/>
        <v>Average</v>
      </c>
      <c r="H20" s="6">
        <f t="shared" si="1"/>
        <v>1329</v>
      </c>
      <c r="J20" t="str">
        <f t="shared" si="2"/>
        <v>High Discount</v>
      </c>
    </row>
    <row r="21" spans="1:10" x14ac:dyDescent="0.35">
      <c r="A21" s="4" t="s">
        <v>92</v>
      </c>
      <c r="B21" s="6">
        <v>2880</v>
      </c>
      <c r="C21" s="6">
        <v>3520</v>
      </c>
      <c r="D21" s="1">
        <v>0.18</v>
      </c>
      <c r="E21">
        <v>12</v>
      </c>
      <c r="F21">
        <v>3.8</v>
      </c>
      <c r="G21" t="str">
        <f t="shared" si="0"/>
        <v>Average</v>
      </c>
      <c r="H21" s="6">
        <f t="shared" si="1"/>
        <v>640</v>
      </c>
      <c r="J21" t="str">
        <f t="shared" si="2"/>
        <v>Low Discount</v>
      </c>
    </row>
    <row r="22" spans="1:10" x14ac:dyDescent="0.35">
      <c r="A22" s="4" t="s">
        <v>95</v>
      </c>
      <c r="B22" s="6">
        <v>1350</v>
      </c>
      <c r="C22" s="6">
        <v>1990</v>
      </c>
      <c r="D22" s="1">
        <v>0.32</v>
      </c>
      <c r="E22">
        <v>13</v>
      </c>
      <c r="F22">
        <v>3.8</v>
      </c>
      <c r="G22" t="str">
        <f t="shared" si="0"/>
        <v>Average</v>
      </c>
      <c r="H22" s="6">
        <f t="shared" si="1"/>
        <v>640</v>
      </c>
      <c r="J22" t="str">
        <f t="shared" si="2"/>
        <v>Medium Discount</v>
      </c>
    </row>
    <row r="23" spans="1:10" x14ac:dyDescent="0.35">
      <c r="A23" s="4" t="s">
        <v>26</v>
      </c>
      <c r="B23" s="6">
        <v>2999</v>
      </c>
      <c r="C23" s="6">
        <v>3290</v>
      </c>
      <c r="D23" s="1">
        <v>0.09</v>
      </c>
      <c r="E23">
        <v>15</v>
      </c>
      <c r="F23">
        <v>4</v>
      </c>
      <c r="G23" t="str">
        <f t="shared" si="0"/>
        <v>Average</v>
      </c>
      <c r="H23" s="6">
        <f t="shared" si="1"/>
        <v>291</v>
      </c>
      <c r="J23" t="str">
        <f t="shared" si="2"/>
        <v>Low Discount</v>
      </c>
    </row>
    <row r="24" spans="1:10" x14ac:dyDescent="0.35">
      <c r="A24" s="4" t="s">
        <v>33</v>
      </c>
      <c r="B24" s="6">
        <v>988</v>
      </c>
      <c r="C24" s="6">
        <v>1580</v>
      </c>
      <c r="D24" s="1">
        <v>0.37</v>
      </c>
      <c r="E24">
        <v>2</v>
      </c>
      <c r="F24">
        <v>4</v>
      </c>
      <c r="G24" t="str">
        <f t="shared" si="0"/>
        <v>Average</v>
      </c>
      <c r="H24" s="6">
        <f t="shared" si="1"/>
        <v>592</v>
      </c>
      <c r="J24" t="str">
        <f t="shared" si="2"/>
        <v>Medium Discount</v>
      </c>
    </row>
    <row r="25" spans="1:10" x14ac:dyDescent="0.35">
      <c r="A25" s="4" t="s">
        <v>78</v>
      </c>
      <c r="B25" s="6">
        <v>880</v>
      </c>
      <c r="C25" s="6">
        <v>1350</v>
      </c>
      <c r="D25" s="1">
        <v>0.35</v>
      </c>
      <c r="E25">
        <v>6</v>
      </c>
      <c r="F25">
        <v>4</v>
      </c>
      <c r="G25" t="str">
        <f t="shared" si="0"/>
        <v>Average</v>
      </c>
      <c r="H25" s="6">
        <f t="shared" si="1"/>
        <v>470</v>
      </c>
      <c r="J25" t="str">
        <f t="shared" si="2"/>
        <v>Medium Discount</v>
      </c>
    </row>
    <row r="26" spans="1:10" x14ac:dyDescent="0.35">
      <c r="A26" s="4" t="s">
        <v>253</v>
      </c>
      <c r="B26" s="6">
        <v>330</v>
      </c>
      <c r="C26" s="6">
        <v>647</v>
      </c>
      <c r="D26" s="1">
        <v>0.49</v>
      </c>
      <c r="E26">
        <v>1</v>
      </c>
      <c r="F26">
        <v>4</v>
      </c>
      <c r="G26" t="str">
        <f t="shared" si="0"/>
        <v>Average</v>
      </c>
      <c r="H26" s="6">
        <f t="shared" si="1"/>
        <v>317</v>
      </c>
      <c r="J26" t="str">
        <f t="shared" si="2"/>
        <v>High Discount</v>
      </c>
    </row>
    <row r="27" spans="1:10" x14ac:dyDescent="0.35">
      <c r="A27" s="4" t="s">
        <v>10</v>
      </c>
      <c r="B27" s="6">
        <v>527</v>
      </c>
      <c r="C27" s="6">
        <v>999</v>
      </c>
      <c r="D27" s="1">
        <v>0.47</v>
      </c>
      <c r="E27">
        <v>14</v>
      </c>
      <c r="F27">
        <v>4.0999999999999996</v>
      </c>
      <c r="G27" t="str">
        <f t="shared" si="0"/>
        <v>Average</v>
      </c>
      <c r="H27" s="6">
        <f t="shared" si="1"/>
        <v>472</v>
      </c>
      <c r="J27" t="str">
        <f t="shared" si="2"/>
        <v>High Discount</v>
      </c>
    </row>
    <row r="28" spans="1:10" x14ac:dyDescent="0.35">
      <c r="A28" s="4" t="s">
        <v>42</v>
      </c>
      <c r="B28" s="6">
        <v>799</v>
      </c>
      <c r="C28" s="6">
        <v>999</v>
      </c>
      <c r="D28" s="1">
        <v>0.2</v>
      </c>
      <c r="E28">
        <v>12</v>
      </c>
      <c r="F28">
        <v>4.0999999999999996</v>
      </c>
      <c r="G28" t="str">
        <f t="shared" si="0"/>
        <v>Average</v>
      </c>
      <c r="H28" s="6">
        <f t="shared" si="1"/>
        <v>200</v>
      </c>
      <c r="J28" t="str">
        <f t="shared" si="2"/>
        <v>Medium Discount</v>
      </c>
    </row>
    <row r="29" spans="1:10" x14ac:dyDescent="0.35">
      <c r="A29" s="4" t="s">
        <v>97</v>
      </c>
      <c r="B29" s="6">
        <v>1758</v>
      </c>
      <c r="C29" s="6">
        <v>2499</v>
      </c>
      <c r="D29" s="1">
        <v>0.3</v>
      </c>
      <c r="E29">
        <v>20</v>
      </c>
      <c r="F29">
        <v>4.0999999999999996</v>
      </c>
      <c r="G29" t="str">
        <f t="shared" si="0"/>
        <v>Average</v>
      </c>
      <c r="H29" s="6">
        <f t="shared" si="1"/>
        <v>741</v>
      </c>
      <c r="J29" t="str">
        <f t="shared" si="2"/>
        <v>Medium Discount</v>
      </c>
    </row>
    <row r="30" spans="1:10" x14ac:dyDescent="0.35">
      <c r="A30" s="4" t="s">
        <v>53</v>
      </c>
      <c r="B30" s="6">
        <v>1680</v>
      </c>
      <c r="C30" s="6">
        <v>2499</v>
      </c>
      <c r="D30" s="1">
        <v>0.33</v>
      </c>
      <c r="E30">
        <v>9</v>
      </c>
      <c r="F30">
        <v>4.2</v>
      </c>
      <c r="G30" t="str">
        <f t="shared" si="0"/>
        <v>Average</v>
      </c>
      <c r="H30" s="6">
        <f t="shared" si="1"/>
        <v>819</v>
      </c>
      <c r="J30" t="str">
        <f t="shared" si="2"/>
        <v>Medium Discount</v>
      </c>
    </row>
    <row r="31" spans="1:10" x14ac:dyDescent="0.35">
      <c r="A31" s="4" t="s">
        <v>85</v>
      </c>
      <c r="B31" s="6">
        <v>2048</v>
      </c>
      <c r="C31" s="6">
        <v>4500</v>
      </c>
      <c r="D31" s="1">
        <v>0.54</v>
      </c>
      <c r="E31">
        <v>7</v>
      </c>
      <c r="F31">
        <v>4.3</v>
      </c>
      <c r="G31" t="str">
        <f t="shared" si="0"/>
        <v>Average</v>
      </c>
      <c r="H31" s="6">
        <f t="shared" si="1"/>
        <v>2452</v>
      </c>
      <c r="J31" t="str">
        <f t="shared" si="2"/>
        <v>High Discount</v>
      </c>
    </row>
    <row r="32" spans="1:10" x14ac:dyDescent="0.35">
      <c r="A32" s="4" t="s">
        <v>102</v>
      </c>
      <c r="B32" s="6">
        <v>185</v>
      </c>
      <c r="C32" s="6">
        <v>382</v>
      </c>
      <c r="D32" s="1">
        <v>0.52</v>
      </c>
      <c r="E32">
        <v>9</v>
      </c>
      <c r="F32">
        <v>4.3</v>
      </c>
      <c r="G32" t="str">
        <f t="shared" si="0"/>
        <v>Average</v>
      </c>
      <c r="H32" s="6">
        <f t="shared" si="1"/>
        <v>197</v>
      </c>
      <c r="J32" t="str">
        <f t="shared" si="2"/>
        <v>High Discount</v>
      </c>
    </row>
    <row r="33" spans="1:10" x14ac:dyDescent="0.35">
      <c r="A33" s="4" t="s">
        <v>108</v>
      </c>
      <c r="B33" s="6">
        <v>1820</v>
      </c>
      <c r="C33" s="6">
        <v>3490</v>
      </c>
      <c r="D33" s="1">
        <v>0.48</v>
      </c>
      <c r="E33">
        <v>9</v>
      </c>
      <c r="F33">
        <v>4.3</v>
      </c>
      <c r="G33" t="str">
        <f t="shared" si="0"/>
        <v>Average</v>
      </c>
      <c r="H33" s="6">
        <f t="shared" si="1"/>
        <v>1670</v>
      </c>
      <c r="J33" t="str">
        <f t="shared" si="2"/>
        <v>High Discount</v>
      </c>
    </row>
    <row r="34" spans="1:10" x14ac:dyDescent="0.35">
      <c r="A34" s="4" t="s">
        <v>122</v>
      </c>
      <c r="B34" s="6">
        <v>389</v>
      </c>
      <c r="C34" s="6">
        <v>656</v>
      </c>
      <c r="D34" s="1">
        <v>0.41</v>
      </c>
      <c r="E34">
        <v>36</v>
      </c>
      <c r="F34">
        <v>4.3</v>
      </c>
      <c r="G34" t="str">
        <f t="shared" ref="G34:G65" si="3">IF(F34&lt;3,"Poor",IF(F34&lt;=4.5,"Average","Excellent"))</f>
        <v>Average</v>
      </c>
      <c r="H34" s="6">
        <f t="shared" ref="H34:H65" si="4">C34-B34</f>
        <v>267</v>
      </c>
      <c r="J34" t="str">
        <f t="shared" ref="J34:J65" si="5">IF(D34&lt;20%,"Low Discount",IF(D34&lt;=40%,"Medium Discount","High Discount"))</f>
        <v>High Discount</v>
      </c>
    </row>
    <row r="35" spans="1:10" x14ac:dyDescent="0.35">
      <c r="A35" s="4" t="s">
        <v>81</v>
      </c>
      <c r="B35" s="6">
        <v>1650</v>
      </c>
      <c r="C35" s="6">
        <v>2150</v>
      </c>
      <c r="D35" s="1">
        <v>0.23</v>
      </c>
      <c r="E35">
        <v>14</v>
      </c>
      <c r="F35">
        <v>4.4000000000000004</v>
      </c>
      <c r="G35" t="str">
        <f t="shared" si="3"/>
        <v>Average</v>
      </c>
      <c r="H35" s="6">
        <f t="shared" si="4"/>
        <v>500</v>
      </c>
      <c r="J35" t="str">
        <f t="shared" si="5"/>
        <v>Medium Discount</v>
      </c>
    </row>
    <row r="36" spans="1:10" x14ac:dyDescent="0.35">
      <c r="A36" s="4" t="s">
        <v>6</v>
      </c>
      <c r="B36" s="6">
        <v>950</v>
      </c>
      <c r="C36" s="6">
        <v>1525</v>
      </c>
      <c r="D36" s="1">
        <v>0.38</v>
      </c>
      <c r="E36">
        <v>2</v>
      </c>
      <c r="F36">
        <v>4.5</v>
      </c>
      <c r="G36" t="str">
        <f t="shared" si="3"/>
        <v>Average</v>
      </c>
      <c r="H36" s="6">
        <f t="shared" si="4"/>
        <v>575</v>
      </c>
      <c r="J36" t="str">
        <f t="shared" si="5"/>
        <v>Medium Discount</v>
      </c>
    </row>
    <row r="37" spans="1:10" x14ac:dyDescent="0.35">
      <c r="A37" s="4" t="s">
        <v>50</v>
      </c>
      <c r="B37" s="6">
        <v>501</v>
      </c>
      <c r="C37" s="6">
        <v>860</v>
      </c>
      <c r="D37" s="1">
        <v>0.42</v>
      </c>
      <c r="E37">
        <v>6</v>
      </c>
      <c r="F37">
        <v>4.5</v>
      </c>
      <c r="G37" t="str">
        <f t="shared" si="3"/>
        <v>Average</v>
      </c>
      <c r="H37" s="6">
        <f t="shared" si="4"/>
        <v>359</v>
      </c>
      <c r="J37" t="str">
        <f t="shared" si="5"/>
        <v>High Discount</v>
      </c>
    </row>
    <row r="38" spans="1:10" x14ac:dyDescent="0.35">
      <c r="A38" s="4" t="s">
        <v>114</v>
      </c>
      <c r="B38" s="6">
        <v>1980</v>
      </c>
      <c r="C38" s="6">
        <v>2699</v>
      </c>
      <c r="D38" s="1">
        <v>0.27</v>
      </c>
      <c r="E38">
        <v>32</v>
      </c>
      <c r="F38">
        <v>4.5</v>
      </c>
      <c r="G38" t="str">
        <f t="shared" si="3"/>
        <v>Average</v>
      </c>
      <c r="H38" s="6">
        <f t="shared" si="4"/>
        <v>719</v>
      </c>
      <c r="J38" t="str">
        <f t="shared" si="5"/>
        <v>Medium Discount</v>
      </c>
    </row>
    <row r="39" spans="1:10" x14ac:dyDescent="0.35">
      <c r="A39" s="4" t="s">
        <v>125</v>
      </c>
      <c r="B39" s="6">
        <v>1980</v>
      </c>
      <c r="C39" s="6">
        <v>3200</v>
      </c>
      <c r="D39" s="1">
        <v>0.38</v>
      </c>
      <c r="E39">
        <v>2</v>
      </c>
      <c r="F39">
        <v>4.5</v>
      </c>
      <c r="G39" t="str">
        <f t="shared" si="3"/>
        <v>Average</v>
      </c>
      <c r="H39" s="6">
        <f t="shared" si="4"/>
        <v>1220</v>
      </c>
      <c r="J39" t="str">
        <f t="shared" si="5"/>
        <v>Medium Discount</v>
      </c>
    </row>
    <row r="40" spans="1:10" x14ac:dyDescent="0.35">
      <c r="A40" s="4" t="s">
        <v>14</v>
      </c>
      <c r="B40" s="6">
        <v>2199</v>
      </c>
      <c r="C40" s="6">
        <v>2923</v>
      </c>
      <c r="D40" s="1">
        <v>0.25</v>
      </c>
      <c r="E40">
        <v>24</v>
      </c>
      <c r="F40">
        <v>4.5999999999999996</v>
      </c>
      <c r="G40" t="str">
        <f t="shared" si="3"/>
        <v>Excellent</v>
      </c>
      <c r="H40" s="6">
        <f t="shared" si="4"/>
        <v>724</v>
      </c>
      <c r="J40" t="str">
        <f t="shared" si="5"/>
        <v>Medium Discount</v>
      </c>
    </row>
    <row r="41" spans="1:10" x14ac:dyDescent="0.35">
      <c r="A41" s="4" t="s">
        <v>30</v>
      </c>
      <c r="B41" s="6">
        <v>2319</v>
      </c>
      <c r="C41" s="6">
        <v>3032</v>
      </c>
      <c r="D41" s="1">
        <v>0.24</v>
      </c>
      <c r="E41">
        <v>55</v>
      </c>
      <c r="F41">
        <v>4.5999999999999996</v>
      </c>
      <c r="G41" t="str">
        <f t="shared" si="3"/>
        <v>Excellent</v>
      </c>
      <c r="H41" s="6">
        <f t="shared" si="4"/>
        <v>713</v>
      </c>
      <c r="J41" t="str">
        <f t="shared" si="5"/>
        <v>Medium Discount</v>
      </c>
    </row>
    <row r="42" spans="1:10" x14ac:dyDescent="0.35">
      <c r="A42" s="4" t="s">
        <v>66</v>
      </c>
      <c r="B42" s="6">
        <v>2999</v>
      </c>
      <c r="C42" s="6">
        <v>3699</v>
      </c>
      <c r="D42" s="1">
        <v>0.19</v>
      </c>
      <c r="E42">
        <v>5</v>
      </c>
      <c r="F42">
        <v>4.5999999999999996</v>
      </c>
      <c r="G42" t="str">
        <f t="shared" si="3"/>
        <v>Excellent</v>
      </c>
      <c r="H42" s="6">
        <f t="shared" si="4"/>
        <v>700</v>
      </c>
      <c r="J42" t="str">
        <f t="shared" si="5"/>
        <v>Low Discount</v>
      </c>
    </row>
    <row r="43" spans="1:10" x14ac:dyDescent="0.35">
      <c r="A43" s="4" t="s">
        <v>68</v>
      </c>
      <c r="B43" s="6">
        <v>998</v>
      </c>
      <c r="C43" s="6">
        <v>1966</v>
      </c>
      <c r="D43" s="1">
        <v>0.49</v>
      </c>
      <c r="E43">
        <v>44</v>
      </c>
      <c r="F43">
        <v>4.5999999999999996</v>
      </c>
      <c r="G43" t="str">
        <f t="shared" si="3"/>
        <v>Excellent</v>
      </c>
      <c r="H43" s="6">
        <f t="shared" si="4"/>
        <v>968</v>
      </c>
      <c r="J43" t="str">
        <f t="shared" si="5"/>
        <v>High Discount</v>
      </c>
    </row>
    <row r="44" spans="1:10" x14ac:dyDescent="0.35">
      <c r="A44" s="4" t="s">
        <v>89</v>
      </c>
      <c r="B44" s="6">
        <v>420</v>
      </c>
      <c r="C44" s="6">
        <v>647</v>
      </c>
      <c r="D44" s="1">
        <v>0.35</v>
      </c>
      <c r="E44">
        <v>49</v>
      </c>
      <c r="F44">
        <v>4.5999999999999996</v>
      </c>
      <c r="G44" t="str">
        <f t="shared" si="3"/>
        <v>Excellent</v>
      </c>
      <c r="H44" s="6">
        <f t="shared" si="4"/>
        <v>227</v>
      </c>
      <c r="J44" t="str">
        <f t="shared" si="5"/>
        <v>Medium Discount</v>
      </c>
    </row>
    <row r="45" spans="1:10" x14ac:dyDescent="0.35">
      <c r="A45" s="4" t="s">
        <v>18</v>
      </c>
      <c r="B45" s="6">
        <v>1580</v>
      </c>
      <c r="C45" s="6">
        <v>2499</v>
      </c>
      <c r="D45" s="1">
        <v>0.37</v>
      </c>
      <c r="E45">
        <v>7</v>
      </c>
      <c r="F45">
        <v>4.7</v>
      </c>
      <c r="G45" t="str">
        <f t="shared" si="3"/>
        <v>Excellent</v>
      </c>
      <c r="H45" s="6">
        <f t="shared" si="4"/>
        <v>919</v>
      </c>
      <c r="J45" t="str">
        <f t="shared" si="5"/>
        <v>Medium Discount</v>
      </c>
    </row>
    <row r="46" spans="1:10" x14ac:dyDescent="0.35">
      <c r="A46" s="4" t="s">
        <v>44</v>
      </c>
      <c r="B46" s="6">
        <v>990</v>
      </c>
      <c r="C46" s="6">
        <v>1500</v>
      </c>
      <c r="D46" s="1">
        <v>0.34</v>
      </c>
      <c r="E46">
        <v>39</v>
      </c>
      <c r="F46">
        <v>4.7</v>
      </c>
      <c r="G46" t="str">
        <f t="shared" si="3"/>
        <v>Excellent</v>
      </c>
      <c r="H46" s="6">
        <f t="shared" si="4"/>
        <v>510</v>
      </c>
      <c r="J46" t="str">
        <f t="shared" si="5"/>
        <v>Medium Discount</v>
      </c>
    </row>
    <row r="47" spans="1:10" x14ac:dyDescent="0.35">
      <c r="A47" s="4" t="s">
        <v>105</v>
      </c>
      <c r="B47" s="6">
        <v>980</v>
      </c>
      <c r="C47" s="6">
        <v>1490</v>
      </c>
      <c r="D47" s="1">
        <v>0.34</v>
      </c>
      <c r="E47">
        <v>12</v>
      </c>
      <c r="F47">
        <v>4.7</v>
      </c>
      <c r="G47" t="str">
        <f t="shared" si="3"/>
        <v>Excellent</v>
      </c>
      <c r="H47" s="6">
        <f t="shared" si="4"/>
        <v>510</v>
      </c>
      <c r="J47" t="str">
        <f t="shared" si="5"/>
        <v>Medium Discount</v>
      </c>
    </row>
    <row r="48" spans="1:10" x14ac:dyDescent="0.35">
      <c r="A48" s="4" t="s">
        <v>111</v>
      </c>
      <c r="B48" s="6">
        <v>1940</v>
      </c>
      <c r="C48" s="6">
        <v>2650</v>
      </c>
      <c r="D48" s="1">
        <v>0.27</v>
      </c>
      <c r="E48">
        <v>20</v>
      </c>
      <c r="F48">
        <v>4.7</v>
      </c>
      <c r="G48" t="str">
        <f t="shared" si="3"/>
        <v>Excellent</v>
      </c>
      <c r="H48" s="6">
        <f t="shared" si="4"/>
        <v>710</v>
      </c>
      <c r="J48" t="str">
        <f t="shared" si="5"/>
        <v>Medium Discount</v>
      </c>
    </row>
    <row r="49" spans="1:10" x14ac:dyDescent="0.35">
      <c r="A49" s="4" t="s">
        <v>22</v>
      </c>
      <c r="B49" s="6">
        <v>1740</v>
      </c>
      <c r="C49" s="6">
        <v>2356</v>
      </c>
      <c r="D49" s="1">
        <v>0.26</v>
      </c>
      <c r="E49">
        <v>5</v>
      </c>
      <c r="F49">
        <v>4.8</v>
      </c>
      <c r="G49" t="str">
        <f t="shared" si="3"/>
        <v>Excellent</v>
      </c>
      <c r="H49" s="6">
        <f t="shared" si="4"/>
        <v>616</v>
      </c>
      <c r="J49" t="str">
        <f t="shared" si="5"/>
        <v>Medium Discount</v>
      </c>
    </row>
    <row r="50" spans="1:10" x14ac:dyDescent="0.35">
      <c r="A50" s="4" t="s">
        <v>35</v>
      </c>
      <c r="B50" s="6">
        <v>1274</v>
      </c>
      <c r="C50" s="6">
        <v>2800</v>
      </c>
      <c r="D50" s="1">
        <v>0.55000000000000004</v>
      </c>
      <c r="E50">
        <v>5</v>
      </c>
      <c r="F50">
        <v>4.8</v>
      </c>
      <c r="G50" t="str">
        <f t="shared" si="3"/>
        <v>Excellent</v>
      </c>
      <c r="H50" s="6">
        <f t="shared" si="4"/>
        <v>1526</v>
      </c>
      <c r="J50" t="str">
        <f t="shared" si="5"/>
        <v>High Discount</v>
      </c>
    </row>
    <row r="51" spans="1:10" x14ac:dyDescent="0.35">
      <c r="A51" s="4" t="s">
        <v>47</v>
      </c>
      <c r="B51" s="6">
        <v>552</v>
      </c>
      <c r="C51" s="6">
        <v>1035</v>
      </c>
      <c r="D51" s="1">
        <v>0.47</v>
      </c>
      <c r="E51">
        <v>12</v>
      </c>
      <c r="F51">
        <v>4.8</v>
      </c>
      <c r="G51" t="str">
        <f t="shared" si="3"/>
        <v>Excellent</v>
      </c>
      <c r="H51" s="6">
        <f t="shared" si="4"/>
        <v>483</v>
      </c>
      <c r="J51" t="str">
        <f t="shared" si="5"/>
        <v>High Discount</v>
      </c>
    </row>
    <row r="52" spans="1:10" x14ac:dyDescent="0.35">
      <c r="A52" s="4" t="s">
        <v>56</v>
      </c>
      <c r="B52" s="6">
        <v>332</v>
      </c>
      <c r="C52" s="6">
        <v>684</v>
      </c>
      <c r="D52" s="1">
        <v>0.51</v>
      </c>
      <c r="E52">
        <v>2</v>
      </c>
      <c r="F52">
        <v>5</v>
      </c>
      <c r="G52" t="str">
        <f t="shared" si="3"/>
        <v>Excellent</v>
      </c>
      <c r="H52" s="6">
        <f t="shared" si="4"/>
        <v>352</v>
      </c>
      <c r="J52" t="str">
        <f t="shared" si="5"/>
        <v>High Discount</v>
      </c>
    </row>
    <row r="53" spans="1:10" x14ac:dyDescent="0.35">
      <c r="A53" s="4" t="s">
        <v>60</v>
      </c>
      <c r="B53" s="6">
        <v>195</v>
      </c>
      <c r="C53" s="6">
        <v>360</v>
      </c>
      <c r="D53" s="1">
        <v>0.46</v>
      </c>
      <c r="E53">
        <v>2</v>
      </c>
      <c r="F53">
        <v>5</v>
      </c>
      <c r="G53" t="str">
        <f t="shared" si="3"/>
        <v>Excellent</v>
      </c>
      <c r="H53" s="6">
        <f t="shared" si="4"/>
        <v>165</v>
      </c>
      <c r="J53" t="str">
        <f t="shared" si="5"/>
        <v>High Discount</v>
      </c>
    </row>
    <row r="54" spans="1:10" x14ac:dyDescent="0.35">
      <c r="A54" s="4" t="s">
        <v>63</v>
      </c>
      <c r="B54" s="6">
        <v>2025</v>
      </c>
      <c r="C54" s="6">
        <v>3971</v>
      </c>
      <c r="D54" s="1">
        <v>0.49</v>
      </c>
      <c r="E54">
        <v>3</v>
      </c>
      <c r="F54">
        <v>5</v>
      </c>
      <c r="G54" t="str">
        <f t="shared" si="3"/>
        <v>Excellent</v>
      </c>
      <c r="H54" s="6">
        <f t="shared" si="4"/>
        <v>1946</v>
      </c>
      <c r="J54" t="str">
        <f t="shared" si="5"/>
        <v>High Discount</v>
      </c>
    </row>
    <row r="55" spans="1:10" x14ac:dyDescent="0.35">
      <c r="A55" s="4" t="s">
        <v>117</v>
      </c>
      <c r="B55" s="6">
        <v>1620</v>
      </c>
      <c r="C55" s="6">
        <v>2690</v>
      </c>
      <c r="D55" s="1">
        <v>0.4</v>
      </c>
      <c r="E55">
        <v>1</v>
      </c>
      <c r="F55">
        <v>5</v>
      </c>
      <c r="G55" t="str">
        <f t="shared" si="3"/>
        <v>Excellent</v>
      </c>
      <c r="H55" s="6">
        <f t="shared" si="4"/>
        <v>1070</v>
      </c>
      <c r="J55" t="str">
        <f t="shared" si="5"/>
        <v>Medium Discount</v>
      </c>
    </row>
    <row r="56" spans="1:10" x14ac:dyDescent="0.35">
      <c r="A56" s="4" t="s">
        <v>120</v>
      </c>
      <c r="B56" s="6">
        <v>171</v>
      </c>
      <c r="C56" s="6">
        <v>360</v>
      </c>
      <c r="D56" s="1">
        <v>0.53</v>
      </c>
      <c r="E56">
        <v>2</v>
      </c>
      <c r="F56">
        <v>5</v>
      </c>
      <c r="G56" t="str">
        <f t="shared" si="3"/>
        <v>Excellent</v>
      </c>
      <c r="H56" s="6">
        <f t="shared" si="4"/>
        <v>189</v>
      </c>
      <c r="J56" t="str">
        <f t="shared" si="5"/>
        <v>High Discount</v>
      </c>
    </row>
    <row r="57" spans="1:10" x14ac:dyDescent="0.35">
      <c r="A57" s="4" t="s">
        <v>245</v>
      </c>
      <c r="B57" s="6">
        <v>979</v>
      </c>
      <c r="C57" s="6">
        <v>1920</v>
      </c>
      <c r="D57" s="1">
        <v>0.49</v>
      </c>
      <c r="E57">
        <v>1</v>
      </c>
      <c r="F57">
        <v>5</v>
      </c>
      <c r="G57" t="str">
        <f t="shared" si="3"/>
        <v>Excellent</v>
      </c>
      <c r="H57" s="6">
        <f t="shared" si="4"/>
        <v>941</v>
      </c>
      <c r="J57" t="str">
        <f t="shared" si="5"/>
        <v>High Discount</v>
      </c>
    </row>
    <row r="58" spans="1:10" x14ac:dyDescent="0.35">
      <c r="A58" s="4" t="s">
        <v>295</v>
      </c>
      <c r="B58" s="6">
        <v>3640</v>
      </c>
      <c r="C58" s="6">
        <v>4588</v>
      </c>
      <c r="D58" s="1">
        <v>0.21</v>
      </c>
      <c r="E58">
        <v>1</v>
      </c>
      <c r="F58">
        <v>5</v>
      </c>
      <c r="G58" t="str">
        <f t="shared" si="3"/>
        <v>Excellent</v>
      </c>
      <c r="H58" s="6">
        <f t="shared" si="4"/>
        <v>948</v>
      </c>
      <c r="J58" t="str">
        <f t="shared" si="5"/>
        <v>Medium Discount</v>
      </c>
    </row>
    <row r="59" spans="1:10" x14ac:dyDescent="0.35">
      <c r="A59" s="4" t="s">
        <v>75</v>
      </c>
      <c r="B59" s="6">
        <v>1860</v>
      </c>
      <c r="C59" s="6">
        <v>3220</v>
      </c>
      <c r="D59" s="1">
        <v>0.42</v>
      </c>
      <c r="E59" t="s">
        <v>16703</v>
      </c>
      <c r="F59" t="s">
        <v>16703</v>
      </c>
      <c r="G59" t="str">
        <f t="shared" si="3"/>
        <v>Excellent</v>
      </c>
      <c r="H59" s="6">
        <f t="shared" si="4"/>
        <v>1360</v>
      </c>
      <c r="J59" t="str">
        <f t="shared" si="5"/>
        <v>High Discount</v>
      </c>
    </row>
    <row r="60" spans="1:10" x14ac:dyDescent="0.35">
      <c r="A60" s="4" t="s">
        <v>99</v>
      </c>
      <c r="B60" s="6">
        <v>2200</v>
      </c>
      <c r="C60" s="6">
        <v>4080</v>
      </c>
      <c r="D60" s="1">
        <v>0.46</v>
      </c>
      <c r="E60" t="s">
        <v>16703</v>
      </c>
      <c r="F60" t="s">
        <v>16703</v>
      </c>
      <c r="G60" t="str">
        <f t="shared" si="3"/>
        <v>Excellent</v>
      </c>
      <c r="H60" s="6">
        <f t="shared" si="4"/>
        <v>1880</v>
      </c>
      <c r="J60" t="str">
        <f t="shared" si="5"/>
        <v>High Discount</v>
      </c>
    </row>
    <row r="61" spans="1:10" x14ac:dyDescent="0.35">
      <c r="A61" s="4" t="s">
        <v>128</v>
      </c>
      <c r="B61" s="6">
        <v>2750</v>
      </c>
      <c r="C61" s="6">
        <v>4471</v>
      </c>
      <c r="D61" s="1">
        <v>0.38</v>
      </c>
      <c r="E61" t="s">
        <v>16703</v>
      </c>
      <c r="F61" t="s">
        <v>16703</v>
      </c>
      <c r="G61" t="str">
        <f t="shared" si="3"/>
        <v>Excellent</v>
      </c>
      <c r="H61" s="6">
        <f t="shared" si="4"/>
        <v>1721</v>
      </c>
      <c r="J61" t="str">
        <f t="shared" si="5"/>
        <v>Medium Discount</v>
      </c>
    </row>
    <row r="62" spans="1:10" x14ac:dyDescent="0.35">
      <c r="A62" s="4" t="s">
        <v>131</v>
      </c>
      <c r="B62" s="6">
        <v>475</v>
      </c>
      <c r="C62" s="6">
        <v>931</v>
      </c>
      <c r="D62" s="1">
        <v>0.49</v>
      </c>
      <c r="E62" t="s">
        <v>16703</v>
      </c>
      <c r="F62" t="s">
        <v>16703</v>
      </c>
      <c r="G62" t="str">
        <f t="shared" si="3"/>
        <v>Excellent</v>
      </c>
      <c r="H62" s="6">
        <f t="shared" si="4"/>
        <v>456</v>
      </c>
      <c r="J62" t="str">
        <f t="shared" si="5"/>
        <v>High Discount</v>
      </c>
    </row>
    <row r="63" spans="1:10" x14ac:dyDescent="0.35">
      <c r="A63" s="4" t="s">
        <v>134</v>
      </c>
      <c r="B63" s="6">
        <v>238</v>
      </c>
      <c r="C63" s="6">
        <v>476</v>
      </c>
      <c r="D63" s="1">
        <v>0.5</v>
      </c>
      <c r="E63" t="s">
        <v>16703</v>
      </c>
      <c r="F63" t="s">
        <v>16703</v>
      </c>
      <c r="G63" t="str">
        <f t="shared" si="3"/>
        <v>Excellent</v>
      </c>
      <c r="H63" s="6">
        <f t="shared" si="4"/>
        <v>238</v>
      </c>
      <c r="J63" t="str">
        <f t="shared" si="5"/>
        <v>High Discount</v>
      </c>
    </row>
    <row r="64" spans="1:10" x14ac:dyDescent="0.35">
      <c r="A64" s="4" t="s">
        <v>137</v>
      </c>
      <c r="B64" s="6">
        <v>610</v>
      </c>
      <c r="C64" s="6">
        <v>1060</v>
      </c>
      <c r="D64" s="1">
        <v>0.42</v>
      </c>
      <c r="E64" t="s">
        <v>16703</v>
      </c>
      <c r="F64" t="s">
        <v>16703</v>
      </c>
      <c r="G64" t="str">
        <f t="shared" si="3"/>
        <v>Excellent</v>
      </c>
      <c r="H64" s="6">
        <f t="shared" si="4"/>
        <v>450</v>
      </c>
      <c r="J64" t="str">
        <f t="shared" si="5"/>
        <v>High Discount</v>
      </c>
    </row>
    <row r="65" spans="1:10" x14ac:dyDescent="0.35">
      <c r="A65" s="4" t="s">
        <v>140</v>
      </c>
      <c r="B65" s="6">
        <v>2132</v>
      </c>
      <c r="C65" s="6">
        <v>2169</v>
      </c>
      <c r="D65" s="1">
        <v>0.02</v>
      </c>
      <c r="E65" t="s">
        <v>16703</v>
      </c>
      <c r="F65" t="s">
        <v>16703</v>
      </c>
      <c r="G65" t="str">
        <f t="shared" si="3"/>
        <v>Excellent</v>
      </c>
      <c r="H65" s="6">
        <f t="shared" si="4"/>
        <v>37</v>
      </c>
      <c r="J65" t="str">
        <f t="shared" si="5"/>
        <v>Low Discount</v>
      </c>
    </row>
    <row r="66" spans="1:10" x14ac:dyDescent="0.35">
      <c r="A66" s="4" t="s">
        <v>143</v>
      </c>
      <c r="B66" s="6">
        <v>999</v>
      </c>
      <c r="C66" s="6">
        <v>2000</v>
      </c>
      <c r="D66" s="1">
        <v>0.5</v>
      </c>
      <c r="E66" t="s">
        <v>16703</v>
      </c>
      <c r="F66" t="s">
        <v>16703</v>
      </c>
      <c r="G66" t="str">
        <f t="shared" ref="G66:G97" si="6">IF(F66&lt;3,"Poor",IF(F66&lt;=4.5,"Average","Excellent"))</f>
        <v>Excellent</v>
      </c>
      <c r="H66" s="6">
        <f t="shared" ref="H66:H97" si="7">C66-B66</f>
        <v>1001</v>
      </c>
      <c r="J66" t="str">
        <f t="shared" ref="J66:J97" si="8">IF(D66&lt;20%,"Low Discount",IF(D66&lt;=40%,"Medium Discount","High Discount"))</f>
        <v>High Discount</v>
      </c>
    </row>
    <row r="67" spans="1:10" x14ac:dyDescent="0.35">
      <c r="A67" s="4" t="s">
        <v>145</v>
      </c>
      <c r="B67" s="6">
        <v>1190</v>
      </c>
      <c r="C67" s="6">
        <v>1785</v>
      </c>
      <c r="D67" s="1">
        <v>0.33</v>
      </c>
      <c r="E67" t="s">
        <v>16703</v>
      </c>
      <c r="F67" t="s">
        <v>16703</v>
      </c>
      <c r="G67" t="str">
        <f t="shared" si="6"/>
        <v>Excellent</v>
      </c>
      <c r="H67" s="6">
        <f t="shared" si="7"/>
        <v>595</v>
      </c>
      <c r="J67" t="str">
        <f t="shared" si="8"/>
        <v>Medium Discount</v>
      </c>
    </row>
    <row r="68" spans="1:10" x14ac:dyDescent="0.35">
      <c r="A68" s="4" t="s">
        <v>148</v>
      </c>
      <c r="B68" s="6">
        <v>671</v>
      </c>
      <c r="C68" s="6">
        <v>1316</v>
      </c>
      <c r="D68" s="1">
        <v>0.49</v>
      </c>
      <c r="E68" t="s">
        <v>16703</v>
      </c>
      <c r="F68" t="s">
        <v>16703</v>
      </c>
      <c r="G68" t="str">
        <f t="shared" si="6"/>
        <v>Excellent</v>
      </c>
      <c r="H68" s="6">
        <f t="shared" si="7"/>
        <v>645</v>
      </c>
      <c r="J68" t="str">
        <f t="shared" si="8"/>
        <v>High Discount</v>
      </c>
    </row>
    <row r="69" spans="1:10" x14ac:dyDescent="0.35">
      <c r="A69" s="4" t="s">
        <v>151</v>
      </c>
      <c r="B69" s="6">
        <v>1200</v>
      </c>
      <c r="C69" s="6">
        <v>1950</v>
      </c>
      <c r="D69" s="1">
        <v>0.38</v>
      </c>
      <c r="E69" t="s">
        <v>16703</v>
      </c>
      <c r="F69" t="s">
        <v>16703</v>
      </c>
      <c r="G69" t="str">
        <f t="shared" si="6"/>
        <v>Excellent</v>
      </c>
      <c r="H69" s="6">
        <f t="shared" si="7"/>
        <v>750</v>
      </c>
      <c r="J69" t="str">
        <f t="shared" si="8"/>
        <v>Medium Discount</v>
      </c>
    </row>
    <row r="70" spans="1:10" x14ac:dyDescent="0.35">
      <c r="A70" s="4" t="s">
        <v>154</v>
      </c>
      <c r="B70" s="6">
        <v>199</v>
      </c>
      <c r="C70" s="6">
        <v>504</v>
      </c>
      <c r="D70" s="1">
        <v>0.61</v>
      </c>
      <c r="E70" t="s">
        <v>16703</v>
      </c>
      <c r="F70" t="s">
        <v>16703</v>
      </c>
      <c r="G70" t="str">
        <f t="shared" si="6"/>
        <v>Excellent</v>
      </c>
      <c r="H70" s="6">
        <f t="shared" si="7"/>
        <v>305</v>
      </c>
      <c r="J70" t="str">
        <f t="shared" si="8"/>
        <v>High Discount</v>
      </c>
    </row>
    <row r="71" spans="1:10" x14ac:dyDescent="0.35">
      <c r="A71" s="4" t="s">
        <v>157</v>
      </c>
      <c r="B71" s="6">
        <v>299</v>
      </c>
      <c r="C71" s="6">
        <v>600</v>
      </c>
      <c r="D71" s="1">
        <v>0.5</v>
      </c>
      <c r="E71" t="s">
        <v>16703</v>
      </c>
      <c r="F71" t="s">
        <v>16703</v>
      </c>
      <c r="G71" t="str">
        <f t="shared" si="6"/>
        <v>Excellent</v>
      </c>
      <c r="H71" s="6">
        <f t="shared" si="7"/>
        <v>301</v>
      </c>
      <c r="J71" t="str">
        <f t="shared" si="8"/>
        <v>High Discount</v>
      </c>
    </row>
    <row r="72" spans="1:10" x14ac:dyDescent="0.35">
      <c r="A72" s="4" t="s">
        <v>160</v>
      </c>
      <c r="B72" s="6">
        <v>1660</v>
      </c>
      <c r="C72" s="6">
        <v>1699</v>
      </c>
      <c r="D72" s="1">
        <v>0.02</v>
      </c>
      <c r="E72" t="s">
        <v>16703</v>
      </c>
      <c r="F72" t="s">
        <v>16703</v>
      </c>
      <c r="G72" t="str">
        <f t="shared" si="6"/>
        <v>Excellent</v>
      </c>
      <c r="H72" s="6">
        <f t="shared" si="7"/>
        <v>39</v>
      </c>
      <c r="J72" t="str">
        <f t="shared" si="8"/>
        <v>Low Discount</v>
      </c>
    </row>
    <row r="73" spans="1:10" x14ac:dyDescent="0.35">
      <c r="A73" s="4" t="s">
        <v>163</v>
      </c>
      <c r="B73" s="6">
        <v>299</v>
      </c>
      <c r="C73" s="6">
        <v>384</v>
      </c>
      <c r="D73" s="1">
        <v>0.22</v>
      </c>
      <c r="E73" t="s">
        <v>16703</v>
      </c>
      <c r="F73" t="s">
        <v>16703</v>
      </c>
      <c r="G73" t="str">
        <f t="shared" si="6"/>
        <v>Excellent</v>
      </c>
      <c r="H73" s="6">
        <f t="shared" si="7"/>
        <v>85</v>
      </c>
      <c r="J73" t="str">
        <f t="shared" si="8"/>
        <v>Medium Discount</v>
      </c>
    </row>
    <row r="74" spans="1:10" x14ac:dyDescent="0.35">
      <c r="A74" s="4" t="s">
        <v>165</v>
      </c>
      <c r="B74" s="6">
        <v>1459</v>
      </c>
      <c r="C74" s="6">
        <v>1499</v>
      </c>
      <c r="D74" s="1">
        <v>0.03</v>
      </c>
      <c r="E74" t="s">
        <v>16703</v>
      </c>
      <c r="F74" t="s">
        <v>16703</v>
      </c>
      <c r="G74" t="str">
        <f t="shared" si="6"/>
        <v>Excellent</v>
      </c>
      <c r="H74" s="6">
        <f t="shared" si="7"/>
        <v>40</v>
      </c>
      <c r="J74" t="str">
        <f t="shared" si="8"/>
        <v>Low Discount</v>
      </c>
    </row>
    <row r="75" spans="1:10" x14ac:dyDescent="0.35">
      <c r="A75" s="4" t="s">
        <v>168</v>
      </c>
      <c r="B75" s="6">
        <v>799</v>
      </c>
      <c r="C75" s="6">
        <v>1343</v>
      </c>
      <c r="D75" s="1">
        <v>0.41</v>
      </c>
      <c r="E75" t="s">
        <v>16703</v>
      </c>
      <c r="F75" t="s">
        <v>16703</v>
      </c>
      <c r="G75" t="str">
        <f t="shared" si="6"/>
        <v>Excellent</v>
      </c>
      <c r="H75" s="6">
        <f t="shared" si="7"/>
        <v>544</v>
      </c>
      <c r="J75" t="str">
        <f t="shared" si="8"/>
        <v>High Discount</v>
      </c>
    </row>
    <row r="76" spans="1:10" x14ac:dyDescent="0.35">
      <c r="A76" s="4" t="s">
        <v>170</v>
      </c>
      <c r="B76" s="6">
        <v>499</v>
      </c>
      <c r="C76" s="6">
        <v>900</v>
      </c>
      <c r="D76" s="1">
        <v>0.45</v>
      </c>
      <c r="E76" t="s">
        <v>16703</v>
      </c>
      <c r="F76" t="s">
        <v>16703</v>
      </c>
      <c r="G76" t="str">
        <f t="shared" si="6"/>
        <v>Excellent</v>
      </c>
      <c r="H76" s="6">
        <f t="shared" si="7"/>
        <v>401</v>
      </c>
      <c r="J76" t="str">
        <f t="shared" si="8"/>
        <v>High Discount</v>
      </c>
    </row>
    <row r="77" spans="1:10" x14ac:dyDescent="0.35">
      <c r="A77" s="4" t="s">
        <v>173</v>
      </c>
      <c r="B77" s="6">
        <v>699</v>
      </c>
      <c r="C77" s="6">
        <v>1343</v>
      </c>
      <c r="D77" s="1">
        <v>0.48</v>
      </c>
      <c r="E77" t="s">
        <v>16703</v>
      </c>
      <c r="F77" t="s">
        <v>16703</v>
      </c>
      <c r="G77" t="str">
        <f t="shared" si="6"/>
        <v>Excellent</v>
      </c>
      <c r="H77" s="6">
        <f t="shared" si="7"/>
        <v>644</v>
      </c>
      <c r="J77" t="str">
        <f t="shared" si="8"/>
        <v>High Discount</v>
      </c>
    </row>
    <row r="78" spans="1:10" x14ac:dyDescent="0.35">
      <c r="A78" s="4" t="s">
        <v>175</v>
      </c>
      <c r="B78" s="6">
        <v>799</v>
      </c>
      <c r="C78" s="6">
        <v>1567</v>
      </c>
      <c r="D78" s="1">
        <v>0.49</v>
      </c>
      <c r="E78" t="s">
        <v>16703</v>
      </c>
      <c r="F78" t="s">
        <v>16703</v>
      </c>
      <c r="G78" t="str">
        <f t="shared" si="6"/>
        <v>Excellent</v>
      </c>
      <c r="H78" s="6">
        <f t="shared" si="7"/>
        <v>768</v>
      </c>
      <c r="J78" t="str">
        <f t="shared" si="8"/>
        <v>High Discount</v>
      </c>
    </row>
    <row r="79" spans="1:10" x14ac:dyDescent="0.35">
      <c r="A79" s="4" t="s">
        <v>177</v>
      </c>
      <c r="B79" s="6">
        <v>2799</v>
      </c>
      <c r="C79" s="6">
        <v>3810</v>
      </c>
      <c r="D79" s="1">
        <v>0.27</v>
      </c>
      <c r="E79" t="s">
        <v>16703</v>
      </c>
      <c r="F79" t="s">
        <v>16703</v>
      </c>
      <c r="G79" t="str">
        <f t="shared" si="6"/>
        <v>Excellent</v>
      </c>
      <c r="H79" s="6">
        <f t="shared" si="7"/>
        <v>1011</v>
      </c>
      <c r="J79" t="str">
        <f t="shared" si="8"/>
        <v>Medium Discount</v>
      </c>
    </row>
    <row r="80" spans="1:10" x14ac:dyDescent="0.35">
      <c r="A80" s="4" t="s">
        <v>170</v>
      </c>
      <c r="B80" s="6">
        <v>399</v>
      </c>
      <c r="C80" s="6">
        <v>896</v>
      </c>
      <c r="D80" s="1">
        <v>0.55000000000000004</v>
      </c>
      <c r="E80" t="s">
        <v>16703</v>
      </c>
      <c r="F80" t="s">
        <v>16703</v>
      </c>
      <c r="G80" t="str">
        <f t="shared" si="6"/>
        <v>Excellent</v>
      </c>
      <c r="H80" s="6">
        <f t="shared" si="7"/>
        <v>497</v>
      </c>
      <c r="J80" t="str">
        <f t="shared" si="8"/>
        <v>High Discount</v>
      </c>
    </row>
    <row r="81" spans="1:10" x14ac:dyDescent="0.35">
      <c r="A81" s="4" t="s">
        <v>232</v>
      </c>
      <c r="B81" s="6">
        <v>790</v>
      </c>
      <c r="C81" s="6">
        <v>1485</v>
      </c>
      <c r="D81" s="1">
        <v>0.47</v>
      </c>
      <c r="E81" t="s">
        <v>16703</v>
      </c>
      <c r="F81" t="s">
        <v>16703</v>
      </c>
      <c r="G81" t="str">
        <f t="shared" si="6"/>
        <v>Excellent</v>
      </c>
      <c r="H81" s="6">
        <f t="shared" si="7"/>
        <v>695</v>
      </c>
      <c r="J81" t="str">
        <f t="shared" si="8"/>
        <v>High Discount</v>
      </c>
    </row>
    <row r="82" spans="1:10" x14ac:dyDescent="0.35">
      <c r="A82" s="4" t="s">
        <v>235</v>
      </c>
      <c r="B82" s="6">
        <v>690</v>
      </c>
      <c r="C82" s="6">
        <v>1200</v>
      </c>
      <c r="D82" s="1">
        <v>0.43</v>
      </c>
      <c r="E82" t="s">
        <v>16703</v>
      </c>
      <c r="F82" t="s">
        <v>16703</v>
      </c>
      <c r="G82" t="str">
        <f t="shared" si="6"/>
        <v>Excellent</v>
      </c>
      <c r="H82" s="6">
        <f t="shared" si="7"/>
        <v>510</v>
      </c>
      <c r="J82" t="str">
        <f t="shared" si="8"/>
        <v>High Discount</v>
      </c>
    </row>
    <row r="83" spans="1:10" x14ac:dyDescent="0.35">
      <c r="A83" s="4" t="s">
        <v>237</v>
      </c>
      <c r="B83" s="6">
        <v>1732</v>
      </c>
      <c r="C83" s="6">
        <v>1799</v>
      </c>
      <c r="D83" s="1">
        <v>0.04</v>
      </c>
      <c r="E83" t="s">
        <v>16703</v>
      </c>
      <c r="F83" t="s">
        <v>16703</v>
      </c>
      <c r="G83" t="str">
        <f t="shared" si="6"/>
        <v>Excellent</v>
      </c>
      <c r="H83" s="6">
        <f t="shared" si="7"/>
        <v>67</v>
      </c>
      <c r="J83" t="str">
        <f t="shared" si="8"/>
        <v>Low Discount</v>
      </c>
    </row>
    <row r="84" spans="1:10" x14ac:dyDescent="0.35">
      <c r="A84" s="4" t="s">
        <v>240</v>
      </c>
      <c r="B84" s="6">
        <v>230</v>
      </c>
      <c r="C84" s="6">
        <v>450</v>
      </c>
      <c r="D84" s="1">
        <v>0.49</v>
      </c>
      <c r="E84" t="s">
        <v>16703</v>
      </c>
      <c r="F84" t="s">
        <v>16703</v>
      </c>
      <c r="G84" t="str">
        <f t="shared" si="6"/>
        <v>Excellent</v>
      </c>
      <c r="H84" s="6">
        <f t="shared" si="7"/>
        <v>220</v>
      </c>
      <c r="J84" t="str">
        <f t="shared" si="8"/>
        <v>High Discount</v>
      </c>
    </row>
    <row r="85" spans="1:10" x14ac:dyDescent="0.35">
      <c r="A85" s="4" t="s">
        <v>248</v>
      </c>
      <c r="B85" s="6">
        <v>1460</v>
      </c>
      <c r="C85" s="6">
        <v>2290</v>
      </c>
      <c r="D85" s="1">
        <v>0.36</v>
      </c>
      <c r="E85" t="s">
        <v>16703</v>
      </c>
      <c r="F85" t="s">
        <v>16703</v>
      </c>
      <c r="G85" t="str">
        <f t="shared" si="6"/>
        <v>Excellent</v>
      </c>
      <c r="H85" s="6">
        <f t="shared" si="7"/>
        <v>830</v>
      </c>
      <c r="J85" t="str">
        <f t="shared" si="8"/>
        <v>Medium Discount</v>
      </c>
    </row>
    <row r="86" spans="1:10" x14ac:dyDescent="0.35">
      <c r="A86" s="4" t="s">
        <v>251</v>
      </c>
      <c r="B86" s="6">
        <v>1666</v>
      </c>
      <c r="C86" s="6">
        <v>1699</v>
      </c>
      <c r="D86" s="1">
        <v>0.02</v>
      </c>
      <c r="E86" t="s">
        <v>16703</v>
      </c>
      <c r="F86" t="s">
        <v>16703</v>
      </c>
      <c r="G86" t="str">
        <f t="shared" si="6"/>
        <v>Excellent</v>
      </c>
      <c r="H86" s="6">
        <f t="shared" si="7"/>
        <v>33</v>
      </c>
      <c r="J86" t="str">
        <f t="shared" si="8"/>
        <v>Low Discount</v>
      </c>
    </row>
    <row r="87" spans="1:10" x14ac:dyDescent="0.35">
      <c r="A87" s="4" t="s">
        <v>154</v>
      </c>
      <c r="B87" s="6">
        <v>176</v>
      </c>
      <c r="C87" s="6">
        <v>345</v>
      </c>
      <c r="D87" s="1">
        <v>0.49</v>
      </c>
      <c r="E87" t="s">
        <v>16703</v>
      </c>
      <c r="F87" t="s">
        <v>16703</v>
      </c>
      <c r="G87" t="str">
        <f t="shared" si="6"/>
        <v>Excellent</v>
      </c>
      <c r="H87" s="6">
        <f t="shared" si="7"/>
        <v>169</v>
      </c>
      <c r="J87" t="str">
        <f t="shared" si="8"/>
        <v>High Discount</v>
      </c>
    </row>
    <row r="88" spans="1:10" x14ac:dyDescent="0.35">
      <c r="A88" s="4" t="s">
        <v>256</v>
      </c>
      <c r="B88" s="6">
        <v>1466</v>
      </c>
      <c r="C88" s="6">
        <v>1699</v>
      </c>
      <c r="D88" s="1">
        <v>0.14000000000000001</v>
      </c>
      <c r="E88" t="s">
        <v>16703</v>
      </c>
      <c r="F88" t="s">
        <v>16703</v>
      </c>
      <c r="G88" t="str">
        <f t="shared" si="6"/>
        <v>Excellent</v>
      </c>
      <c r="H88" s="6">
        <f t="shared" si="7"/>
        <v>233</v>
      </c>
      <c r="J88" t="str">
        <f t="shared" si="8"/>
        <v>Low Discount</v>
      </c>
    </row>
    <row r="89" spans="1:10" x14ac:dyDescent="0.35">
      <c r="A89" s="4" t="s">
        <v>258</v>
      </c>
      <c r="B89" s="6">
        <v>274</v>
      </c>
      <c r="C89" s="6">
        <v>537</v>
      </c>
      <c r="D89" s="1">
        <v>0.49</v>
      </c>
      <c r="E89" t="s">
        <v>16703</v>
      </c>
      <c r="F89" t="s">
        <v>16703</v>
      </c>
      <c r="G89" t="str">
        <f t="shared" si="6"/>
        <v>Excellent</v>
      </c>
      <c r="H89" s="6">
        <f t="shared" si="7"/>
        <v>263</v>
      </c>
      <c r="J89" t="str">
        <f t="shared" si="8"/>
        <v>High Discount</v>
      </c>
    </row>
    <row r="90" spans="1:10" x14ac:dyDescent="0.35">
      <c r="A90" s="4" t="s">
        <v>261</v>
      </c>
      <c r="B90" s="6">
        <v>799</v>
      </c>
      <c r="C90" s="6">
        <v>900</v>
      </c>
      <c r="D90" s="1">
        <v>0.11</v>
      </c>
      <c r="E90" t="s">
        <v>16703</v>
      </c>
      <c r="F90" t="s">
        <v>16703</v>
      </c>
      <c r="G90" t="str">
        <f t="shared" si="6"/>
        <v>Excellent</v>
      </c>
      <c r="H90" s="6">
        <f t="shared" si="7"/>
        <v>101</v>
      </c>
      <c r="J90" t="str">
        <f t="shared" si="8"/>
        <v>Low Discount</v>
      </c>
    </row>
    <row r="91" spans="1:10" x14ac:dyDescent="0.35">
      <c r="A91" s="4" t="s">
        <v>175</v>
      </c>
      <c r="B91" s="6">
        <v>657</v>
      </c>
      <c r="C91" s="6">
        <v>1288</v>
      </c>
      <c r="D91" s="1">
        <v>0.49</v>
      </c>
      <c r="E91" t="s">
        <v>16703</v>
      </c>
      <c r="F91" t="s">
        <v>16703</v>
      </c>
      <c r="G91" t="str">
        <f t="shared" si="6"/>
        <v>Excellent</v>
      </c>
      <c r="H91" s="6">
        <f t="shared" si="7"/>
        <v>631</v>
      </c>
      <c r="J91" t="str">
        <f t="shared" si="8"/>
        <v>High Discount</v>
      </c>
    </row>
    <row r="92" spans="1:10" x14ac:dyDescent="0.35">
      <c r="A92" s="4" t="s">
        <v>264</v>
      </c>
      <c r="B92" s="6">
        <v>1468</v>
      </c>
      <c r="C92" s="6">
        <v>1699</v>
      </c>
      <c r="D92" s="1">
        <v>0.14000000000000001</v>
      </c>
      <c r="E92" t="s">
        <v>16703</v>
      </c>
      <c r="F92" t="s">
        <v>16703</v>
      </c>
      <c r="G92" t="str">
        <f t="shared" si="6"/>
        <v>Excellent</v>
      </c>
      <c r="H92" s="6">
        <f t="shared" si="7"/>
        <v>231</v>
      </c>
      <c r="J92" t="str">
        <f t="shared" si="8"/>
        <v>Low Discount</v>
      </c>
    </row>
    <row r="93" spans="1:10" x14ac:dyDescent="0.35">
      <c r="A93" s="4" t="s">
        <v>266</v>
      </c>
      <c r="B93" s="6">
        <v>630</v>
      </c>
      <c r="C93" s="6">
        <v>1100</v>
      </c>
      <c r="D93" s="1">
        <v>0.43</v>
      </c>
      <c r="E93" t="s">
        <v>16703</v>
      </c>
      <c r="F93" t="s">
        <v>16703</v>
      </c>
      <c r="G93" t="str">
        <f t="shared" si="6"/>
        <v>Excellent</v>
      </c>
      <c r="H93" s="6">
        <f t="shared" si="7"/>
        <v>470</v>
      </c>
      <c r="J93" t="str">
        <f t="shared" si="8"/>
        <v>High Discount</v>
      </c>
    </row>
    <row r="94" spans="1:10" x14ac:dyDescent="0.35">
      <c r="A94" s="4" t="s">
        <v>269</v>
      </c>
      <c r="B94" s="6">
        <v>850</v>
      </c>
      <c r="C94" s="6">
        <v>1700</v>
      </c>
      <c r="D94" s="1">
        <v>0.5</v>
      </c>
      <c r="E94" t="s">
        <v>16703</v>
      </c>
      <c r="F94" t="s">
        <v>16703</v>
      </c>
      <c r="G94" t="str">
        <f t="shared" si="6"/>
        <v>Excellent</v>
      </c>
      <c r="H94" s="6">
        <f t="shared" si="7"/>
        <v>850</v>
      </c>
      <c r="J94" t="str">
        <f t="shared" si="8"/>
        <v>High Discount</v>
      </c>
    </row>
    <row r="95" spans="1:10" x14ac:dyDescent="0.35">
      <c r="A95" s="4" t="s">
        <v>272</v>
      </c>
      <c r="B95" s="6">
        <v>1300</v>
      </c>
      <c r="C95" s="6">
        <v>2500</v>
      </c>
      <c r="D95" s="1">
        <v>0.48</v>
      </c>
      <c r="E95" t="s">
        <v>16703</v>
      </c>
      <c r="F95" t="s">
        <v>16703</v>
      </c>
      <c r="G95" t="str">
        <f t="shared" si="6"/>
        <v>Excellent</v>
      </c>
      <c r="H95" s="6">
        <f t="shared" si="7"/>
        <v>1200</v>
      </c>
      <c r="J95" t="str">
        <f t="shared" si="8"/>
        <v>High Discount</v>
      </c>
    </row>
    <row r="96" spans="1:10" x14ac:dyDescent="0.35">
      <c r="A96" s="4" t="s">
        <v>274</v>
      </c>
      <c r="B96" s="6">
        <v>105</v>
      </c>
      <c r="C96" s="6">
        <v>200</v>
      </c>
      <c r="D96" s="1">
        <v>0.48</v>
      </c>
      <c r="E96" t="s">
        <v>16703</v>
      </c>
      <c r="F96" t="s">
        <v>16703</v>
      </c>
      <c r="G96" t="str">
        <f t="shared" si="6"/>
        <v>Excellent</v>
      </c>
      <c r="H96" s="6">
        <f t="shared" si="7"/>
        <v>95</v>
      </c>
      <c r="J96" t="str">
        <f t="shared" si="8"/>
        <v>High Discount</v>
      </c>
    </row>
    <row r="97" spans="1:10" x14ac:dyDescent="0.35">
      <c r="A97" s="4" t="s">
        <v>277</v>
      </c>
      <c r="B97" s="6">
        <v>899</v>
      </c>
      <c r="C97" s="6">
        <v>1699</v>
      </c>
      <c r="D97" s="1">
        <v>0.47</v>
      </c>
      <c r="E97" t="s">
        <v>16703</v>
      </c>
      <c r="F97" t="s">
        <v>16703</v>
      </c>
      <c r="G97" t="str">
        <f t="shared" si="6"/>
        <v>Excellent</v>
      </c>
      <c r="H97" s="6">
        <f t="shared" si="7"/>
        <v>800</v>
      </c>
      <c r="J97" t="str">
        <f t="shared" si="8"/>
        <v>High Discount</v>
      </c>
    </row>
    <row r="98" spans="1:10" x14ac:dyDescent="0.35">
      <c r="A98" s="4" t="s">
        <v>278</v>
      </c>
      <c r="B98" s="6">
        <v>1200</v>
      </c>
      <c r="C98" s="6">
        <v>2400</v>
      </c>
      <c r="D98" s="1">
        <v>0.5</v>
      </c>
      <c r="E98" t="s">
        <v>16703</v>
      </c>
      <c r="F98" t="s">
        <v>16703</v>
      </c>
      <c r="G98" t="str">
        <f t="shared" ref="G98:G113" si="9">IF(F98&lt;3,"Poor",IF(F98&lt;=4.5,"Average","Excellent"))</f>
        <v>Excellent</v>
      </c>
      <c r="H98" s="6">
        <f t="shared" ref="H98:H113" si="10">C98-B98</f>
        <v>1200</v>
      </c>
      <c r="J98" t="str">
        <f t="shared" ref="J98:J113" si="11">IF(D98&lt;20%,"Low Discount",IF(D98&lt;=40%,"Medium Discount","High Discount"))</f>
        <v>High Discount</v>
      </c>
    </row>
    <row r="99" spans="1:10" x14ac:dyDescent="0.35">
      <c r="A99" s="4" t="s">
        <v>280</v>
      </c>
      <c r="B99" s="6">
        <v>1526</v>
      </c>
      <c r="C99" s="6">
        <v>1660</v>
      </c>
      <c r="D99" s="1">
        <v>0.08</v>
      </c>
      <c r="E99" t="s">
        <v>16703</v>
      </c>
      <c r="F99" t="s">
        <v>16703</v>
      </c>
      <c r="G99" t="str">
        <f t="shared" si="9"/>
        <v>Excellent</v>
      </c>
      <c r="H99" s="6">
        <f t="shared" si="10"/>
        <v>134</v>
      </c>
      <c r="J99" t="str">
        <f t="shared" si="11"/>
        <v>Low Discount</v>
      </c>
    </row>
    <row r="100" spans="1:10" x14ac:dyDescent="0.35">
      <c r="A100" s="4" t="s">
        <v>282</v>
      </c>
      <c r="B100" s="6">
        <v>1462</v>
      </c>
      <c r="C100" s="6">
        <v>1499</v>
      </c>
      <c r="D100" s="1">
        <v>0.02</v>
      </c>
      <c r="E100" t="s">
        <v>16703</v>
      </c>
      <c r="F100" t="s">
        <v>16703</v>
      </c>
      <c r="G100" t="str">
        <f t="shared" si="9"/>
        <v>Excellent</v>
      </c>
      <c r="H100" s="6">
        <f t="shared" si="10"/>
        <v>37</v>
      </c>
      <c r="J100" t="str">
        <f t="shared" si="11"/>
        <v>Low Discount</v>
      </c>
    </row>
    <row r="101" spans="1:10" x14ac:dyDescent="0.35">
      <c r="A101" s="4" t="s">
        <v>284</v>
      </c>
      <c r="B101" s="6">
        <v>248</v>
      </c>
      <c r="C101" s="6">
        <v>486</v>
      </c>
      <c r="D101" s="1">
        <v>0.49</v>
      </c>
      <c r="E101" t="s">
        <v>16703</v>
      </c>
      <c r="F101" t="s">
        <v>16703</v>
      </c>
      <c r="G101" t="str">
        <f t="shared" si="9"/>
        <v>Excellent</v>
      </c>
      <c r="H101" s="6">
        <f t="shared" si="10"/>
        <v>238</v>
      </c>
      <c r="J101" t="str">
        <f t="shared" si="11"/>
        <v>High Discount</v>
      </c>
    </row>
    <row r="102" spans="1:10" x14ac:dyDescent="0.35">
      <c r="A102" s="4" t="s">
        <v>287</v>
      </c>
      <c r="B102" s="6">
        <v>3546</v>
      </c>
      <c r="C102" s="6">
        <v>3699</v>
      </c>
      <c r="D102" s="1">
        <v>0.04</v>
      </c>
      <c r="E102" t="s">
        <v>16703</v>
      </c>
      <c r="F102" t="s">
        <v>16703</v>
      </c>
      <c r="G102" t="str">
        <f t="shared" si="9"/>
        <v>Excellent</v>
      </c>
      <c r="H102" s="6">
        <f t="shared" si="10"/>
        <v>153</v>
      </c>
      <c r="J102" t="str">
        <f t="shared" si="11"/>
        <v>Low Discount</v>
      </c>
    </row>
    <row r="103" spans="1:10" x14ac:dyDescent="0.35">
      <c r="A103" s="4" t="s">
        <v>289</v>
      </c>
      <c r="B103" s="6">
        <v>525</v>
      </c>
      <c r="C103" s="6">
        <v>1029</v>
      </c>
      <c r="D103" s="1">
        <v>0.49</v>
      </c>
      <c r="E103" t="s">
        <v>16703</v>
      </c>
      <c r="F103" t="s">
        <v>16703</v>
      </c>
      <c r="G103" t="str">
        <f t="shared" si="9"/>
        <v>Excellent</v>
      </c>
      <c r="H103" s="6">
        <f t="shared" si="10"/>
        <v>504</v>
      </c>
      <c r="J103" t="str">
        <f t="shared" si="11"/>
        <v>High Discount</v>
      </c>
    </row>
    <row r="104" spans="1:10" x14ac:dyDescent="0.35">
      <c r="A104" s="4" t="s">
        <v>292</v>
      </c>
      <c r="B104" s="6">
        <v>1080</v>
      </c>
      <c r="C104" s="6">
        <v>1874</v>
      </c>
      <c r="D104" s="1">
        <v>0.42</v>
      </c>
      <c r="E104" t="s">
        <v>16703</v>
      </c>
      <c r="F104" t="s">
        <v>16703</v>
      </c>
      <c r="G104" t="str">
        <f t="shared" si="9"/>
        <v>Excellent</v>
      </c>
      <c r="H104" s="6">
        <f t="shared" si="10"/>
        <v>794</v>
      </c>
      <c r="J104" t="str">
        <f t="shared" si="11"/>
        <v>High Discount</v>
      </c>
    </row>
    <row r="105" spans="1:10" x14ac:dyDescent="0.35">
      <c r="A105" s="4" t="s">
        <v>298</v>
      </c>
      <c r="B105" s="6">
        <v>1420</v>
      </c>
      <c r="C105" s="6">
        <v>2420</v>
      </c>
      <c r="D105" s="1">
        <v>0.41</v>
      </c>
      <c r="E105" t="s">
        <v>16703</v>
      </c>
      <c r="F105" t="s">
        <v>16703</v>
      </c>
      <c r="G105" t="str">
        <f t="shared" si="9"/>
        <v>Excellent</v>
      </c>
      <c r="H105" s="6">
        <f t="shared" si="10"/>
        <v>1000</v>
      </c>
      <c r="J105" t="str">
        <f t="shared" si="11"/>
        <v>High Discount</v>
      </c>
    </row>
    <row r="106" spans="1:10" x14ac:dyDescent="0.35">
      <c r="A106" s="4" t="s">
        <v>301</v>
      </c>
      <c r="B106" s="6">
        <v>1875</v>
      </c>
      <c r="C106" s="6">
        <v>1899</v>
      </c>
      <c r="D106" s="1">
        <v>0.01</v>
      </c>
      <c r="E106" t="s">
        <v>16703</v>
      </c>
      <c r="F106" t="s">
        <v>16703</v>
      </c>
      <c r="G106" t="str">
        <f t="shared" si="9"/>
        <v>Excellent</v>
      </c>
      <c r="H106" s="6">
        <f t="shared" si="10"/>
        <v>24</v>
      </c>
      <c r="J106" t="str">
        <f t="shared" si="11"/>
        <v>Low Discount</v>
      </c>
    </row>
    <row r="107" spans="1:10" x14ac:dyDescent="0.35">
      <c r="A107" s="4" t="s">
        <v>304</v>
      </c>
      <c r="B107" s="6">
        <v>198</v>
      </c>
      <c r="C107" s="6">
        <v>260</v>
      </c>
      <c r="D107" s="1">
        <v>0.24</v>
      </c>
      <c r="E107" t="s">
        <v>16703</v>
      </c>
      <c r="F107" t="s">
        <v>16703</v>
      </c>
      <c r="G107" t="str">
        <f t="shared" si="9"/>
        <v>Excellent</v>
      </c>
      <c r="H107" s="6">
        <f t="shared" si="10"/>
        <v>62</v>
      </c>
      <c r="J107" t="str">
        <f t="shared" si="11"/>
        <v>Medium Discount</v>
      </c>
    </row>
    <row r="108" spans="1:10" x14ac:dyDescent="0.35">
      <c r="A108" s="4" t="s">
        <v>307</v>
      </c>
      <c r="B108" s="6">
        <v>1150</v>
      </c>
      <c r="C108" s="6">
        <v>1737</v>
      </c>
      <c r="D108" s="1">
        <v>0.34</v>
      </c>
      <c r="E108" t="s">
        <v>16703</v>
      </c>
      <c r="F108" t="s">
        <v>16703</v>
      </c>
      <c r="G108" t="str">
        <f t="shared" si="9"/>
        <v>Excellent</v>
      </c>
      <c r="H108" s="6">
        <f t="shared" si="10"/>
        <v>587</v>
      </c>
      <c r="J108" t="str">
        <f t="shared" si="11"/>
        <v>Medium Discount</v>
      </c>
    </row>
    <row r="109" spans="1:10" x14ac:dyDescent="0.35">
      <c r="A109" s="4" t="s">
        <v>310</v>
      </c>
      <c r="B109" s="6">
        <v>1190</v>
      </c>
      <c r="C109" s="6">
        <v>1810</v>
      </c>
      <c r="D109" s="1">
        <v>0.34</v>
      </c>
      <c r="E109" t="s">
        <v>16703</v>
      </c>
      <c r="F109" t="s">
        <v>16703</v>
      </c>
      <c r="G109" t="str">
        <f t="shared" si="9"/>
        <v>Excellent</v>
      </c>
      <c r="H109" s="6">
        <f t="shared" si="10"/>
        <v>620</v>
      </c>
      <c r="J109" t="str">
        <f t="shared" si="11"/>
        <v>Medium Discount</v>
      </c>
    </row>
    <row r="110" spans="1:10" x14ac:dyDescent="0.35">
      <c r="A110" s="4" t="s">
        <v>312</v>
      </c>
      <c r="B110" s="6">
        <v>1658</v>
      </c>
      <c r="C110" s="6">
        <v>1699</v>
      </c>
      <c r="D110" s="1">
        <v>0.02</v>
      </c>
      <c r="E110" t="s">
        <v>16703</v>
      </c>
      <c r="F110" t="s">
        <v>16703</v>
      </c>
      <c r="G110" t="str">
        <f t="shared" si="9"/>
        <v>Excellent</v>
      </c>
      <c r="H110" s="6">
        <f t="shared" si="10"/>
        <v>41</v>
      </c>
      <c r="J110" t="str">
        <f t="shared" si="11"/>
        <v>Low Discount</v>
      </c>
    </row>
    <row r="111" spans="1:10" x14ac:dyDescent="0.35">
      <c r="A111" s="4" t="s">
        <v>314</v>
      </c>
      <c r="B111" s="6">
        <v>1768</v>
      </c>
      <c r="C111" s="6">
        <v>1799</v>
      </c>
      <c r="D111" s="1">
        <v>0.02</v>
      </c>
      <c r="E111" t="s">
        <v>16703</v>
      </c>
      <c r="F111" t="s">
        <v>16703</v>
      </c>
      <c r="G111" t="str">
        <f t="shared" si="9"/>
        <v>Excellent</v>
      </c>
      <c r="H111" s="6">
        <f t="shared" si="10"/>
        <v>31</v>
      </c>
      <c r="J111" t="str">
        <f t="shared" si="11"/>
        <v>Low Discount</v>
      </c>
    </row>
    <row r="112" spans="1:10" x14ac:dyDescent="0.35">
      <c r="A112" s="4" t="s">
        <v>316</v>
      </c>
      <c r="B112" s="6">
        <v>199</v>
      </c>
      <c r="C112" s="6">
        <v>553</v>
      </c>
      <c r="D112" s="1">
        <v>0.64</v>
      </c>
      <c r="E112" t="s">
        <v>16703</v>
      </c>
      <c r="F112" t="s">
        <v>16703</v>
      </c>
      <c r="G112" t="str">
        <f t="shared" si="9"/>
        <v>Excellent</v>
      </c>
      <c r="H112" s="6">
        <f t="shared" si="10"/>
        <v>354</v>
      </c>
      <c r="J112" t="str">
        <f t="shared" si="11"/>
        <v>High Discount</v>
      </c>
    </row>
    <row r="113" spans="1:10" x14ac:dyDescent="0.35">
      <c r="A113" s="4" t="s">
        <v>320</v>
      </c>
      <c r="B113" s="6">
        <v>169</v>
      </c>
      <c r="C113" s="6">
        <v>320</v>
      </c>
      <c r="D113" s="1">
        <v>0.47</v>
      </c>
      <c r="E113" t="s">
        <v>16703</v>
      </c>
      <c r="F113" t="s">
        <v>16703</v>
      </c>
      <c r="G113" t="str">
        <f t="shared" si="9"/>
        <v>Excellent</v>
      </c>
      <c r="H113" s="6">
        <f t="shared" si="10"/>
        <v>151</v>
      </c>
      <c r="J113" t="str">
        <f t="shared" si="11"/>
        <v>High Discount</v>
      </c>
    </row>
  </sheetData>
  <sortState xmlns:xlrd2="http://schemas.microsoft.com/office/spreadsheetml/2017/richdata2" ref="A2:J118">
    <sortCondition ref="F2:F118"/>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F44A1-C3E8-4BD8-ACC6-A5829491EFE5}">
  <dimension ref="A1:J113"/>
  <sheetViews>
    <sheetView workbookViewId="0">
      <selection activeCell="D124" sqref="A1:XFD1048576"/>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16712</v>
      </c>
      <c r="H1" s="2" t="s">
        <v>16711</v>
      </c>
      <c r="I1" s="2" t="s">
        <v>16710</v>
      </c>
      <c r="J1" s="2" t="s">
        <v>16709</v>
      </c>
    </row>
    <row r="2" spans="1:10" x14ac:dyDescent="0.35">
      <c r="A2" s="4" t="s">
        <v>316</v>
      </c>
      <c r="B2" s="6">
        <v>199</v>
      </c>
      <c r="C2" s="6">
        <v>553</v>
      </c>
      <c r="D2" s="1">
        <v>0.64</v>
      </c>
      <c r="E2" t="s">
        <v>16703</v>
      </c>
      <c r="F2" t="s">
        <v>16703</v>
      </c>
      <c r="G2" t="str">
        <f t="shared" ref="G2:G33" si="0">IF(F2&lt;3,"Poor",IF(F2&lt;=4.5,"Average","Excellent"))</f>
        <v>Excellent</v>
      </c>
      <c r="H2" s="6">
        <f t="shared" ref="H2:H33" si="1">C2-B2</f>
        <v>354</v>
      </c>
      <c r="J2" t="str">
        <f t="shared" ref="J2:J33" si="2">IF(D2&lt;20%,"Low Discount",IF(D2&lt;=40%,"Medium Discount","High Discount"))</f>
        <v>High Discount</v>
      </c>
    </row>
    <row r="3" spans="1:10" x14ac:dyDescent="0.35">
      <c r="A3" s="4" t="s">
        <v>154</v>
      </c>
      <c r="B3" s="6">
        <v>199</v>
      </c>
      <c r="C3" s="6">
        <v>504</v>
      </c>
      <c r="D3" s="1">
        <v>0.61</v>
      </c>
      <c r="E3" t="s">
        <v>16703</v>
      </c>
      <c r="F3" t="s">
        <v>16703</v>
      </c>
      <c r="G3" t="str">
        <f t="shared" si="0"/>
        <v>Excellent</v>
      </c>
      <c r="H3" s="6">
        <f t="shared" si="1"/>
        <v>305</v>
      </c>
      <c r="J3" t="str">
        <f t="shared" si="2"/>
        <v>High Discount</v>
      </c>
    </row>
    <row r="4" spans="1:10" x14ac:dyDescent="0.35">
      <c r="A4" s="4" t="s">
        <v>35</v>
      </c>
      <c r="B4" s="6">
        <v>1274</v>
      </c>
      <c r="C4" s="6">
        <v>2800</v>
      </c>
      <c r="D4" s="1">
        <v>0.55000000000000004</v>
      </c>
      <c r="E4">
        <v>5</v>
      </c>
      <c r="F4">
        <v>4.8</v>
      </c>
      <c r="G4" t="str">
        <f t="shared" si="0"/>
        <v>Excellent</v>
      </c>
      <c r="H4" s="6">
        <f t="shared" si="1"/>
        <v>1526</v>
      </c>
      <c r="J4" t="str">
        <f t="shared" si="2"/>
        <v>High Discount</v>
      </c>
    </row>
    <row r="5" spans="1:10" x14ac:dyDescent="0.35">
      <c r="A5" s="4" t="s">
        <v>170</v>
      </c>
      <c r="B5" s="6">
        <v>399</v>
      </c>
      <c r="C5" s="6">
        <v>896</v>
      </c>
      <c r="D5" s="1">
        <v>0.55000000000000004</v>
      </c>
      <c r="E5" t="s">
        <v>16703</v>
      </c>
      <c r="F5" t="s">
        <v>16703</v>
      </c>
      <c r="G5" t="str">
        <f t="shared" si="0"/>
        <v>Excellent</v>
      </c>
      <c r="H5" s="6">
        <f t="shared" si="1"/>
        <v>497</v>
      </c>
      <c r="J5" t="str">
        <f t="shared" si="2"/>
        <v>High Discount</v>
      </c>
    </row>
    <row r="6" spans="1:10" x14ac:dyDescent="0.35">
      <c r="A6" s="4" t="s">
        <v>190</v>
      </c>
      <c r="B6" s="6">
        <v>2115</v>
      </c>
      <c r="C6" s="6">
        <v>4700</v>
      </c>
      <c r="D6" s="1">
        <v>0.55000000000000004</v>
      </c>
      <c r="E6">
        <v>13</v>
      </c>
      <c r="F6">
        <v>2.1</v>
      </c>
      <c r="G6" t="str">
        <f t="shared" si="0"/>
        <v>Poor</v>
      </c>
      <c r="H6" s="6">
        <f t="shared" si="1"/>
        <v>2585</v>
      </c>
      <c r="J6" t="str">
        <f t="shared" si="2"/>
        <v>High Discount</v>
      </c>
    </row>
    <row r="7" spans="1:10" x14ac:dyDescent="0.35">
      <c r="A7" s="4" t="s">
        <v>85</v>
      </c>
      <c r="B7" s="6">
        <v>2048</v>
      </c>
      <c r="C7" s="6">
        <v>4500</v>
      </c>
      <c r="D7" s="1">
        <v>0.54</v>
      </c>
      <c r="E7">
        <v>7</v>
      </c>
      <c r="F7">
        <v>4.3</v>
      </c>
      <c r="G7" t="str">
        <f t="shared" si="0"/>
        <v>Average</v>
      </c>
      <c r="H7" s="6">
        <f t="shared" si="1"/>
        <v>2452</v>
      </c>
      <c r="J7" t="str">
        <f t="shared" si="2"/>
        <v>High Discount</v>
      </c>
    </row>
    <row r="8" spans="1:10" x14ac:dyDescent="0.35">
      <c r="A8" s="4" t="s">
        <v>186</v>
      </c>
      <c r="B8" s="6">
        <v>458</v>
      </c>
      <c r="C8" s="6">
        <v>986</v>
      </c>
      <c r="D8" s="1">
        <v>0.54</v>
      </c>
      <c r="E8">
        <v>10</v>
      </c>
      <c r="F8">
        <v>3</v>
      </c>
      <c r="G8" t="str">
        <f t="shared" si="0"/>
        <v>Average</v>
      </c>
      <c r="H8" s="6">
        <f t="shared" si="1"/>
        <v>528</v>
      </c>
      <c r="J8" t="str">
        <f t="shared" si="2"/>
        <v>High Discount</v>
      </c>
    </row>
    <row r="9" spans="1:10" x14ac:dyDescent="0.35">
      <c r="A9" s="4" t="s">
        <v>71</v>
      </c>
      <c r="B9" s="6">
        <v>38</v>
      </c>
      <c r="C9" s="6">
        <v>80</v>
      </c>
      <c r="D9" s="1">
        <v>0.53</v>
      </c>
      <c r="E9">
        <v>13</v>
      </c>
      <c r="F9">
        <v>3.3</v>
      </c>
      <c r="G9" t="str">
        <f t="shared" si="0"/>
        <v>Average</v>
      </c>
      <c r="H9" s="6">
        <f t="shared" si="1"/>
        <v>42</v>
      </c>
      <c r="J9" t="str">
        <f t="shared" si="2"/>
        <v>High Discount</v>
      </c>
    </row>
    <row r="10" spans="1:10" x14ac:dyDescent="0.35">
      <c r="A10" s="4" t="s">
        <v>120</v>
      </c>
      <c r="B10" s="6">
        <v>171</v>
      </c>
      <c r="C10" s="6">
        <v>360</v>
      </c>
      <c r="D10" s="1">
        <v>0.53</v>
      </c>
      <c r="E10">
        <v>2</v>
      </c>
      <c r="F10">
        <v>5</v>
      </c>
      <c r="G10" t="str">
        <f t="shared" si="0"/>
        <v>Excellent</v>
      </c>
      <c r="H10" s="6">
        <f t="shared" si="1"/>
        <v>189</v>
      </c>
      <c r="J10" t="str">
        <f t="shared" si="2"/>
        <v>High Discount</v>
      </c>
    </row>
    <row r="11" spans="1:10" x14ac:dyDescent="0.35">
      <c r="A11" s="4" t="s">
        <v>102</v>
      </c>
      <c r="B11" s="6">
        <v>185</v>
      </c>
      <c r="C11" s="6">
        <v>382</v>
      </c>
      <c r="D11" s="1">
        <v>0.52</v>
      </c>
      <c r="E11">
        <v>9</v>
      </c>
      <c r="F11">
        <v>4.3</v>
      </c>
      <c r="G11" t="str">
        <f t="shared" si="0"/>
        <v>Average</v>
      </c>
      <c r="H11" s="6">
        <f t="shared" si="1"/>
        <v>197</v>
      </c>
      <c r="J11" t="str">
        <f t="shared" si="2"/>
        <v>High Discount</v>
      </c>
    </row>
    <row r="12" spans="1:10" x14ac:dyDescent="0.35">
      <c r="A12" s="4" t="s">
        <v>198</v>
      </c>
      <c r="B12" s="6">
        <v>325</v>
      </c>
      <c r="C12" s="6">
        <v>680</v>
      </c>
      <c r="D12" s="1">
        <v>0.52</v>
      </c>
      <c r="E12">
        <v>15</v>
      </c>
      <c r="F12">
        <v>2.7</v>
      </c>
      <c r="G12" t="str">
        <f t="shared" si="0"/>
        <v>Poor</v>
      </c>
      <c r="H12" s="6">
        <f t="shared" si="1"/>
        <v>355</v>
      </c>
      <c r="J12" t="str">
        <f t="shared" si="2"/>
        <v>High Discount</v>
      </c>
    </row>
    <row r="13" spans="1:10" x14ac:dyDescent="0.35">
      <c r="A13" s="4" t="s">
        <v>56</v>
      </c>
      <c r="B13" s="6">
        <v>332</v>
      </c>
      <c r="C13" s="6">
        <v>684</v>
      </c>
      <c r="D13" s="1">
        <v>0.51</v>
      </c>
      <c r="E13">
        <v>2</v>
      </c>
      <c r="F13">
        <v>5</v>
      </c>
      <c r="G13" t="str">
        <f t="shared" si="0"/>
        <v>Excellent</v>
      </c>
      <c r="H13" s="6">
        <f t="shared" si="1"/>
        <v>352</v>
      </c>
      <c r="J13" t="str">
        <f t="shared" si="2"/>
        <v>High Discount</v>
      </c>
    </row>
    <row r="14" spans="1:10" x14ac:dyDescent="0.35">
      <c r="A14" s="4" t="s">
        <v>134</v>
      </c>
      <c r="B14" s="6">
        <v>238</v>
      </c>
      <c r="C14" s="6">
        <v>476</v>
      </c>
      <c r="D14" s="1">
        <v>0.5</v>
      </c>
      <c r="E14" t="s">
        <v>16703</v>
      </c>
      <c r="F14" t="s">
        <v>16703</v>
      </c>
      <c r="G14" t="str">
        <f t="shared" si="0"/>
        <v>Excellent</v>
      </c>
      <c r="H14" s="6">
        <f t="shared" si="1"/>
        <v>238</v>
      </c>
      <c r="J14" t="str">
        <f t="shared" si="2"/>
        <v>High Discount</v>
      </c>
    </row>
    <row r="15" spans="1:10" x14ac:dyDescent="0.35">
      <c r="A15" s="4" t="s">
        <v>143</v>
      </c>
      <c r="B15" s="6">
        <v>999</v>
      </c>
      <c r="C15" s="6">
        <v>2000</v>
      </c>
      <c r="D15" s="1">
        <v>0.5</v>
      </c>
      <c r="E15" t="s">
        <v>16703</v>
      </c>
      <c r="F15" t="s">
        <v>16703</v>
      </c>
      <c r="G15" t="str">
        <f t="shared" si="0"/>
        <v>Excellent</v>
      </c>
      <c r="H15" s="6">
        <f t="shared" si="1"/>
        <v>1001</v>
      </c>
      <c r="J15" t="str">
        <f t="shared" si="2"/>
        <v>High Discount</v>
      </c>
    </row>
    <row r="16" spans="1:10" x14ac:dyDescent="0.35">
      <c r="A16" s="4" t="s">
        <v>157</v>
      </c>
      <c r="B16" s="6">
        <v>299</v>
      </c>
      <c r="C16" s="6">
        <v>600</v>
      </c>
      <c r="D16" s="1">
        <v>0.5</v>
      </c>
      <c r="E16" t="s">
        <v>16703</v>
      </c>
      <c r="F16" t="s">
        <v>16703</v>
      </c>
      <c r="G16" t="str">
        <f t="shared" si="0"/>
        <v>Excellent</v>
      </c>
      <c r="H16" s="6">
        <f t="shared" si="1"/>
        <v>301</v>
      </c>
      <c r="J16" t="str">
        <f t="shared" si="2"/>
        <v>High Discount</v>
      </c>
    </row>
    <row r="17" spans="1:10" x14ac:dyDescent="0.35">
      <c r="A17" s="4" t="s">
        <v>209</v>
      </c>
      <c r="B17" s="6">
        <v>1000</v>
      </c>
      <c r="C17" s="6">
        <v>2000</v>
      </c>
      <c r="D17" s="1">
        <v>0.5</v>
      </c>
      <c r="E17">
        <v>7</v>
      </c>
      <c r="F17">
        <v>2.2999999999999998</v>
      </c>
      <c r="G17" t="str">
        <f t="shared" si="0"/>
        <v>Poor</v>
      </c>
      <c r="H17" s="6">
        <f t="shared" si="1"/>
        <v>1000</v>
      </c>
      <c r="J17" t="str">
        <f t="shared" si="2"/>
        <v>High Discount</v>
      </c>
    </row>
    <row r="18" spans="1:10" x14ac:dyDescent="0.35">
      <c r="A18" s="4" t="s">
        <v>269</v>
      </c>
      <c r="B18" s="6">
        <v>850</v>
      </c>
      <c r="C18" s="6">
        <v>1700</v>
      </c>
      <c r="D18" s="1">
        <v>0.5</v>
      </c>
      <c r="E18" t="s">
        <v>16703</v>
      </c>
      <c r="F18" t="s">
        <v>16703</v>
      </c>
      <c r="G18" t="str">
        <f t="shared" si="0"/>
        <v>Excellent</v>
      </c>
      <c r="H18" s="6">
        <f t="shared" si="1"/>
        <v>850</v>
      </c>
      <c r="J18" t="str">
        <f t="shared" si="2"/>
        <v>High Discount</v>
      </c>
    </row>
    <row r="19" spans="1:10" x14ac:dyDescent="0.35">
      <c r="A19" s="4" t="s">
        <v>278</v>
      </c>
      <c r="B19" s="6">
        <v>1200</v>
      </c>
      <c r="C19" s="6">
        <v>2400</v>
      </c>
      <c r="D19" s="1">
        <v>0.5</v>
      </c>
      <c r="E19" t="s">
        <v>16703</v>
      </c>
      <c r="F19" t="s">
        <v>16703</v>
      </c>
      <c r="G19" t="str">
        <f t="shared" si="0"/>
        <v>Excellent</v>
      </c>
      <c r="H19" s="6">
        <f t="shared" si="1"/>
        <v>1200</v>
      </c>
      <c r="J19" t="str">
        <f t="shared" si="2"/>
        <v>High Discount</v>
      </c>
    </row>
    <row r="20" spans="1:10" x14ac:dyDescent="0.35">
      <c r="A20" s="4" t="s">
        <v>318</v>
      </c>
      <c r="B20" s="6">
        <v>450</v>
      </c>
      <c r="C20" s="6">
        <v>900</v>
      </c>
      <c r="D20" s="1">
        <v>0.5</v>
      </c>
      <c r="E20">
        <v>1</v>
      </c>
      <c r="F20">
        <v>2</v>
      </c>
      <c r="G20" t="str">
        <f t="shared" si="0"/>
        <v>Poor</v>
      </c>
      <c r="H20" s="6">
        <f t="shared" si="1"/>
        <v>450</v>
      </c>
      <c r="J20" t="str">
        <f t="shared" si="2"/>
        <v>High Discount</v>
      </c>
    </row>
    <row r="21" spans="1:10" x14ac:dyDescent="0.35">
      <c r="A21" s="4" t="s">
        <v>63</v>
      </c>
      <c r="B21" s="6">
        <v>2025</v>
      </c>
      <c r="C21" s="6">
        <v>3971</v>
      </c>
      <c r="D21" s="1">
        <v>0.49</v>
      </c>
      <c r="E21">
        <v>3</v>
      </c>
      <c r="F21">
        <v>5</v>
      </c>
      <c r="G21" t="str">
        <f t="shared" si="0"/>
        <v>Excellent</v>
      </c>
      <c r="H21" s="6">
        <f t="shared" si="1"/>
        <v>1946</v>
      </c>
      <c r="J21" t="str">
        <f t="shared" si="2"/>
        <v>High Discount</v>
      </c>
    </row>
    <row r="22" spans="1:10" x14ac:dyDescent="0.35">
      <c r="A22" s="4" t="s">
        <v>68</v>
      </c>
      <c r="B22" s="6">
        <v>998</v>
      </c>
      <c r="C22" s="6">
        <v>1966</v>
      </c>
      <c r="D22" s="1">
        <v>0.49</v>
      </c>
      <c r="E22">
        <v>44</v>
      </c>
      <c r="F22">
        <v>4.5999999999999996</v>
      </c>
      <c r="G22" t="str">
        <f t="shared" si="0"/>
        <v>Excellent</v>
      </c>
      <c r="H22" s="6">
        <f t="shared" si="1"/>
        <v>968</v>
      </c>
      <c r="J22" t="str">
        <f t="shared" si="2"/>
        <v>High Discount</v>
      </c>
    </row>
    <row r="23" spans="1:10" x14ac:dyDescent="0.35">
      <c r="A23" s="4" t="s">
        <v>131</v>
      </c>
      <c r="B23" s="6">
        <v>475</v>
      </c>
      <c r="C23" s="6">
        <v>931</v>
      </c>
      <c r="D23" s="1">
        <v>0.49</v>
      </c>
      <c r="E23" t="s">
        <v>16703</v>
      </c>
      <c r="F23" t="s">
        <v>16703</v>
      </c>
      <c r="G23" t="str">
        <f t="shared" si="0"/>
        <v>Excellent</v>
      </c>
      <c r="H23" s="6">
        <f t="shared" si="1"/>
        <v>456</v>
      </c>
      <c r="J23" t="str">
        <f t="shared" si="2"/>
        <v>High Discount</v>
      </c>
    </row>
    <row r="24" spans="1:10" x14ac:dyDescent="0.35">
      <c r="A24" s="4" t="s">
        <v>148</v>
      </c>
      <c r="B24" s="6">
        <v>671</v>
      </c>
      <c r="C24" s="6">
        <v>1316</v>
      </c>
      <c r="D24" s="1">
        <v>0.49</v>
      </c>
      <c r="E24" t="s">
        <v>16703</v>
      </c>
      <c r="F24" t="s">
        <v>16703</v>
      </c>
      <c r="G24" t="str">
        <f t="shared" si="0"/>
        <v>Excellent</v>
      </c>
      <c r="H24" s="6">
        <f t="shared" si="1"/>
        <v>645</v>
      </c>
      <c r="J24" t="str">
        <f t="shared" si="2"/>
        <v>High Discount</v>
      </c>
    </row>
    <row r="25" spans="1:10" x14ac:dyDescent="0.35">
      <c r="A25" s="4" t="s">
        <v>175</v>
      </c>
      <c r="B25" s="6">
        <v>799</v>
      </c>
      <c r="C25" s="6">
        <v>1567</v>
      </c>
      <c r="D25" s="1">
        <v>0.49</v>
      </c>
      <c r="E25" t="s">
        <v>16703</v>
      </c>
      <c r="F25" t="s">
        <v>16703</v>
      </c>
      <c r="G25" t="str">
        <f t="shared" si="0"/>
        <v>Excellent</v>
      </c>
      <c r="H25" s="6">
        <f t="shared" si="1"/>
        <v>768</v>
      </c>
      <c r="J25" t="str">
        <f t="shared" si="2"/>
        <v>High Discount</v>
      </c>
    </row>
    <row r="26" spans="1:10" x14ac:dyDescent="0.35">
      <c r="A26" s="4" t="s">
        <v>194</v>
      </c>
      <c r="B26" s="6">
        <v>445</v>
      </c>
      <c r="C26" s="6">
        <v>873</v>
      </c>
      <c r="D26" s="1">
        <v>0.49</v>
      </c>
      <c r="E26">
        <v>69</v>
      </c>
      <c r="F26">
        <v>2.8</v>
      </c>
      <c r="G26" t="str">
        <f t="shared" si="0"/>
        <v>Poor</v>
      </c>
      <c r="H26" s="6">
        <f t="shared" si="1"/>
        <v>428</v>
      </c>
      <c r="J26" t="str">
        <f t="shared" si="2"/>
        <v>High Discount</v>
      </c>
    </row>
    <row r="27" spans="1:10" x14ac:dyDescent="0.35">
      <c r="A27" s="4" t="s">
        <v>240</v>
      </c>
      <c r="B27" s="6">
        <v>230</v>
      </c>
      <c r="C27" s="6">
        <v>450</v>
      </c>
      <c r="D27" s="1">
        <v>0.49</v>
      </c>
      <c r="E27" t="s">
        <v>16703</v>
      </c>
      <c r="F27" t="s">
        <v>16703</v>
      </c>
      <c r="G27" t="str">
        <f t="shared" si="0"/>
        <v>Excellent</v>
      </c>
      <c r="H27" s="6">
        <f t="shared" si="1"/>
        <v>220</v>
      </c>
      <c r="J27" t="str">
        <f t="shared" si="2"/>
        <v>High Discount</v>
      </c>
    </row>
    <row r="28" spans="1:10" x14ac:dyDescent="0.35">
      <c r="A28" s="4" t="s">
        <v>245</v>
      </c>
      <c r="B28" s="6">
        <v>979</v>
      </c>
      <c r="C28" s="6">
        <v>1920</v>
      </c>
      <c r="D28" s="1">
        <v>0.49</v>
      </c>
      <c r="E28">
        <v>1</v>
      </c>
      <c r="F28">
        <v>5</v>
      </c>
      <c r="G28" t="str">
        <f t="shared" si="0"/>
        <v>Excellent</v>
      </c>
      <c r="H28" s="6">
        <f t="shared" si="1"/>
        <v>941</v>
      </c>
      <c r="J28" t="str">
        <f t="shared" si="2"/>
        <v>High Discount</v>
      </c>
    </row>
    <row r="29" spans="1:10" x14ac:dyDescent="0.35">
      <c r="A29" s="4" t="s">
        <v>253</v>
      </c>
      <c r="B29" s="6">
        <v>330</v>
      </c>
      <c r="C29" s="6">
        <v>647</v>
      </c>
      <c r="D29" s="1">
        <v>0.49</v>
      </c>
      <c r="E29">
        <v>1</v>
      </c>
      <c r="F29">
        <v>4</v>
      </c>
      <c r="G29" t="str">
        <f t="shared" si="0"/>
        <v>Average</v>
      </c>
      <c r="H29" s="6">
        <f t="shared" si="1"/>
        <v>317</v>
      </c>
      <c r="J29" t="str">
        <f t="shared" si="2"/>
        <v>High Discount</v>
      </c>
    </row>
    <row r="30" spans="1:10" x14ac:dyDescent="0.35">
      <c r="A30" s="4" t="s">
        <v>154</v>
      </c>
      <c r="B30" s="6">
        <v>176</v>
      </c>
      <c r="C30" s="6">
        <v>345</v>
      </c>
      <c r="D30" s="1">
        <v>0.49</v>
      </c>
      <c r="E30" t="s">
        <v>16703</v>
      </c>
      <c r="F30" t="s">
        <v>16703</v>
      </c>
      <c r="G30" t="str">
        <f t="shared" si="0"/>
        <v>Excellent</v>
      </c>
      <c r="H30" s="6">
        <f t="shared" si="1"/>
        <v>169</v>
      </c>
      <c r="J30" t="str">
        <f t="shared" si="2"/>
        <v>High Discount</v>
      </c>
    </row>
    <row r="31" spans="1:10" x14ac:dyDescent="0.35">
      <c r="A31" s="4" t="s">
        <v>258</v>
      </c>
      <c r="B31" s="6">
        <v>274</v>
      </c>
      <c r="C31" s="6">
        <v>537</v>
      </c>
      <c r="D31" s="1">
        <v>0.49</v>
      </c>
      <c r="E31" t="s">
        <v>16703</v>
      </c>
      <c r="F31" t="s">
        <v>16703</v>
      </c>
      <c r="G31" t="str">
        <f t="shared" si="0"/>
        <v>Excellent</v>
      </c>
      <c r="H31" s="6">
        <f t="shared" si="1"/>
        <v>263</v>
      </c>
      <c r="J31" t="str">
        <f t="shared" si="2"/>
        <v>High Discount</v>
      </c>
    </row>
    <row r="32" spans="1:10" x14ac:dyDescent="0.35">
      <c r="A32" s="4" t="s">
        <v>175</v>
      </c>
      <c r="B32" s="6">
        <v>657</v>
      </c>
      <c r="C32" s="6">
        <v>1288</v>
      </c>
      <c r="D32" s="1">
        <v>0.49</v>
      </c>
      <c r="E32" t="s">
        <v>16703</v>
      </c>
      <c r="F32" t="s">
        <v>16703</v>
      </c>
      <c r="G32" t="str">
        <f t="shared" si="0"/>
        <v>Excellent</v>
      </c>
      <c r="H32" s="6">
        <f t="shared" si="1"/>
        <v>631</v>
      </c>
      <c r="J32" t="str">
        <f t="shared" si="2"/>
        <v>High Discount</v>
      </c>
    </row>
    <row r="33" spans="1:10" x14ac:dyDescent="0.35">
      <c r="A33" s="4" t="s">
        <v>284</v>
      </c>
      <c r="B33" s="6">
        <v>248</v>
      </c>
      <c r="C33" s="6">
        <v>486</v>
      </c>
      <c r="D33" s="1">
        <v>0.49</v>
      </c>
      <c r="E33" t="s">
        <v>16703</v>
      </c>
      <c r="F33" t="s">
        <v>16703</v>
      </c>
      <c r="G33" t="str">
        <f t="shared" si="0"/>
        <v>Excellent</v>
      </c>
      <c r="H33" s="6">
        <f t="shared" si="1"/>
        <v>238</v>
      </c>
      <c r="J33" t="str">
        <f t="shared" si="2"/>
        <v>High Discount</v>
      </c>
    </row>
    <row r="34" spans="1:10" x14ac:dyDescent="0.35">
      <c r="A34" s="4" t="s">
        <v>289</v>
      </c>
      <c r="B34" s="6">
        <v>525</v>
      </c>
      <c r="C34" s="6">
        <v>1029</v>
      </c>
      <c r="D34" s="1">
        <v>0.49</v>
      </c>
      <c r="E34" t="s">
        <v>16703</v>
      </c>
      <c r="F34" t="s">
        <v>16703</v>
      </c>
      <c r="G34" t="str">
        <f t="shared" ref="G34:G65" si="3">IF(F34&lt;3,"Poor",IF(F34&lt;=4.5,"Average","Excellent"))</f>
        <v>Excellent</v>
      </c>
      <c r="H34" s="6">
        <f t="shared" ref="H34:H65" si="4">C34-B34</f>
        <v>504</v>
      </c>
      <c r="J34" t="str">
        <f t="shared" ref="J34:J65" si="5">IF(D34&lt;20%,"Low Discount",IF(D34&lt;=40%,"Medium Discount","High Discount"))</f>
        <v>High Discount</v>
      </c>
    </row>
    <row r="35" spans="1:10" x14ac:dyDescent="0.35">
      <c r="A35" s="4" t="s">
        <v>108</v>
      </c>
      <c r="B35" s="6">
        <v>1820</v>
      </c>
      <c r="C35" s="6">
        <v>3490</v>
      </c>
      <c r="D35" s="1">
        <v>0.48</v>
      </c>
      <c r="E35">
        <v>9</v>
      </c>
      <c r="F35">
        <v>4.3</v>
      </c>
      <c r="G35" t="str">
        <f t="shared" si="3"/>
        <v>Average</v>
      </c>
      <c r="H35" s="6">
        <f t="shared" si="4"/>
        <v>1670</v>
      </c>
      <c r="J35" t="str">
        <f t="shared" si="5"/>
        <v>High Discount</v>
      </c>
    </row>
    <row r="36" spans="1:10" x14ac:dyDescent="0.35">
      <c r="A36" s="4" t="s">
        <v>173</v>
      </c>
      <c r="B36" s="6">
        <v>699</v>
      </c>
      <c r="C36" s="6">
        <v>1343</v>
      </c>
      <c r="D36" s="1">
        <v>0.48</v>
      </c>
      <c r="E36" t="s">
        <v>16703</v>
      </c>
      <c r="F36" t="s">
        <v>16703</v>
      </c>
      <c r="G36" t="str">
        <f t="shared" si="3"/>
        <v>Excellent</v>
      </c>
      <c r="H36" s="6">
        <f t="shared" si="4"/>
        <v>644</v>
      </c>
      <c r="J36" t="str">
        <f t="shared" si="5"/>
        <v>High Discount</v>
      </c>
    </row>
    <row r="37" spans="1:10" x14ac:dyDescent="0.35">
      <c r="A37" s="4" t="s">
        <v>272</v>
      </c>
      <c r="B37" s="6">
        <v>1300</v>
      </c>
      <c r="C37" s="6">
        <v>2500</v>
      </c>
      <c r="D37" s="1">
        <v>0.48</v>
      </c>
      <c r="E37" t="s">
        <v>16703</v>
      </c>
      <c r="F37" t="s">
        <v>16703</v>
      </c>
      <c r="G37" t="str">
        <f t="shared" si="3"/>
        <v>Excellent</v>
      </c>
      <c r="H37" s="6">
        <f t="shared" si="4"/>
        <v>1200</v>
      </c>
      <c r="J37" t="str">
        <f t="shared" si="5"/>
        <v>High Discount</v>
      </c>
    </row>
    <row r="38" spans="1:10" x14ac:dyDescent="0.35">
      <c r="A38" s="4" t="s">
        <v>274</v>
      </c>
      <c r="B38" s="6">
        <v>105</v>
      </c>
      <c r="C38" s="6">
        <v>200</v>
      </c>
      <c r="D38" s="1">
        <v>0.48</v>
      </c>
      <c r="E38" t="s">
        <v>16703</v>
      </c>
      <c r="F38" t="s">
        <v>16703</v>
      </c>
      <c r="G38" t="str">
        <f t="shared" si="3"/>
        <v>Excellent</v>
      </c>
      <c r="H38" s="6">
        <f t="shared" si="4"/>
        <v>95</v>
      </c>
      <c r="J38" t="str">
        <f t="shared" si="5"/>
        <v>High Discount</v>
      </c>
    </row>
    <row r="39" spans="1:10" x14ac:dyDescent="0.35">
      <c r="A39" s="4" t="s">
        <v>10</v>
      </c>
      <c r="B39" s="6">
        <v>527</v>
      </c>
      <c r="C39" s="6">
        <v>999</v>
      </c>
      <c r="D39" s="1">
        <v>0.47</v>
      </c>
      <c r="E39">
        <v>14</v>
      </c>
      <c r="F39">
        <v>4.0999999999999996</v>
      </c>
      <c r="G39" t="str">
        <f t="shared" si="3"/>
        <v>Average</v>
      </c>
      <c r="H39" s="6">
        <f t="shared" si="4"/>
        <v>472</v>
      </c>
      <c r="J39" t="str">
        <f t="shared" si="5"/>
        <v>High Discount</v>
      </c>
    </row>
    <row r="40" spans="1:10" x14ac:dyDescent="0.35">
      <c r="A40" s="4" t="s">
        <v>47</v>
      </c>
      <c r="B40" s="6">
        <v>552</v>
      </c>
      <c r="C40" s="6">
        <v>1035</v>
      </c>
      <c r="D40" s="1">
        <v>0.47</v>
      </c>
      <c r="E40">
        <v>12</v>
      </c>
      <c r="F40">
        <v>4.8</v>
      </c>
      <c r="G40" t="str">
        <f t="shared" si="3"/>
        <v>Excellent</v>
      </c>
      <c r="H40" s="6">
        <f t="shared" si="4"/>
        <v>483</v>
      </c>
      <c r="J40" t="str">
        <f t="shared" si="5"/>
        <v>High Discount</v>
      </c>
    </row>
    <row r="41" spans="1:10" x14ac:dyDescent="0.35">
      <c r="A41" s="4" t="s">
        <v>227</v>
      </c>
      <c r="B41" s="6">
        <v>968</v>
      </c>
      <c r="C41" s="6">
        <v>1814</v>
      </c>
      <c r="D41" s="1">
        <v>0.47</v>
      </c>
      <c r="E41">
        <v>6</v>
      </c>
      <c r="F41">
        <v>2.2000000000000002</v>
      </c>
      <c r="G41" t="str">
        <f t="shared" si="3"/>
        <v>Poor</v>
      </c>
      <c r="H41" s="6">
        <f t="shared" si="4"/>
        <v>846</v>
      </c>
      <c r="J41" t="str">
        <f t="shared" si="5"/>
        <v>High Discount</v>
      </c>
    </row>
    <row r="42" spans="1:10" x14ac:dyDescent="0.35">
      <c r="A42" s="4" t="s">
        <v>229</v>
      </c>
      <c r="B42" s="6">
        <v>1570</v>
      </c>
      <c r="C42" s="6">
        <v>2988</v>
      </c>
      <c r="D42" s="1">
        <v>0.47</v>
      </c>
      <c r="E42">
        <v>7</v>
      </c>
      <c r="F42">
        <v>2.1</v>
      </c>
      <c r="G42" t="str">
        <f t="shared" si="3"/>
        <v>Poor</v>
      </c>
      <c r="H42" s="6">
        <f t="shared" si="4"/>
        <v>1418</v>
      </c>
      <c r="J42" t="str">
        <f t="shared" si="5"/>
        <v>High Discount</v>
      </c>
    </row>
    <row r="43" spans="1:10" x14ac:dyDescent="0.35">
      <c r="A43" s="4" t="s">
        <v>232</v>
      </c>
      <c r="B43" s="6">
        <v>790</v>
      </c>
      <c r="C43" s="6">
        <v>1485</v>
      </c>
      <c r="D43" s="1">
        <v>0.47</v>
      </c>
      <c r="E43" t="s">
        <v>16703</v>
      </c>
      <c r="F43" t="s">
        <v>16703</v>
      </c>
      <c r="G43" t="str">
        <f t="shared" si="3"/>
        <v>Excellent</v>
      </c>
      <c r="H43" s="6">
        <f t="shared" si="4"/>
        <v>695</v>
      </c>
      <c r="J43" t="str">
        <f t="shared" si="5"/>
        <v>High Discount</v>
      </c>
    </row>
    <row r="44" spans="1:10" x14ac:dyDescent="0.35">
      <c r="A44" s="4" t="s">
        <v>277</v>
      </c>
      <c r="B44" s="6">
        <v>899</v>
      </c>
      <c r="C44" s="6">
        <v>1699</v>
      </c>
      <c r="D44" s="1">
        <v>0.47</v>
      </c>
      <c r="E44" t="s">
        <v>16703</v>
      </c>
      <c r="F44" t="s">
        <v>16703</v>
      </c>
      <c r="G44" t="str">
        <f t="shared" si="3"/>
        <v>Excellent</v>
      </c>
      <c r="H44" s="6">
        <f t="shared" si="4"/>
        <v>800</v>
      </c>
      <c r="J44" t="str">
        <f t="shared" si="5"/>
        <v>High Discount</v>
      </c>
    </row>
    <row r="45" spans="1:10" x14ac:dyDescent="0.35">
      <c r="A45" s="4" t="s">
        <v>320</v>
      </c>
      <c r="B45" s="6">
        <v>169</v>
      </c>
      <c r="C45" s="6">
        <v>320</v>
      </c>
      <c r="D45" s="1">
        <v>0.47</v>
      </c>
      <c r="E45" t="s">
        <v>16703</v>
      </c>
      <c r="F45" t="s">
        <v>16703</v>
      </c>
      <c r="G45" t="str">
        <f t="shared" si="3"/>
        <v>Excellent</v>
      </c>
      <c r="H45" s="6">
        <f t="shared" si="4"/>
        <v>151</v>
      </c>
      <c r="J45" t="str">
        <f t="shared" si="5"/>
        <v>High Discount</v>
      </c>
    </row>
    <row r="46" spans="1:10" x14ac:dyDescent="0.35">
      <c r="A46" s="4" t="s">
        <v>60</v>
      </c>
      <c r="B46" s="6">
        <v>195</v>
      </c>
      <c r="C46" s="6">
        <v>360</v>
      </c>
      <c r="D46" s="1">
        <v>0.46</v>
      </c>
      <c r="E46">
        <v>2</v>
      </c>
      <c r="F46">
        <v>5</v>
      </c>
      <c r="G46" t="str">
        <f t="shared" si="3"/>
        <v>Excellent</v>
      </c>
      <c r="H46" s="6">
        <f t="shared" si="4"/>
        <v>165</v>
      </c>
      <c r="J46" t="str">
        <f t="shared" si="5"/>
        <v>High Discount</v>
      </c>
    </row>
    <row r="47" spans="1:10" x14ac:dyDescent="0.35">
      <c r="A47" s="4" t="s">
        <v>99</v>
      </c>
      <c r="B47" s="6">
        <v>2200</v>
      </c>
      <c r="C47" s="6">
        <v>4080</v>
      </c>
      <c r="D47" s="1">
        <v>0.46</v>
      </c>
      <c r="E47" t="s">
        <v>16703</v>
      </c>
      <c r="F47" t="s">
        <v>16703</v>
      </c>
      <c r="G47" t="str">
        <f t="shared" si="3"/>
        <v>Excellent</v>
      </c>
      <c r="H47" s="6">
        <f t="shared" si="4"/>
        <v>1880</v>
      </c>
      <c r="J47" t="str">
        <f t="shared" si="5"/>
        <v>High Discount</v>
      </c>
    </row>
    <row r="48" spans="1:10" x14ac:dyDescent="0.35">
      <c r="A48" s="4" t="s">
        <v>243</v>
      </c>
      <c r="B48" s="6">
        <v>1189</v>
      </c>
      <c r="C48" s="6">
        <v>2199</v>
      </c>
      <c r="D48" s="1">
        <v>0.46</v>
      </c>
      <c r="E48">
        <v>1</v>
      </c>
      <c r="F48">
        <v>3</v>
      </c>
      <c r="G48" t="str">
        <f t="shared" si="3"/>
        <v>Average</v>
      </c>
      <c r="H48" s="6">
        <f t="shared" si="4"/>
        <v>1010</v>
      </c>
      <c r="J48" t="str">
        <f t="shared" si="5"/>
        <v>High Discount</v>
      </c>
    </row>
    <row r="49" spans="1:10" x14ac:dyDescent="0.35">
      <c r="A49" s="4" t="s">
        <v>38</v>
      </c>
      <c r="B49" s="6">
        <v>1600</v>
      </c>
      <c r="C49" s="6">
        <v>2929</v>
      </c>
      <c r="D49" s="1">
        <v>0.45</v>
      </c>
      <c r="E49">
        <v>5</v>
      </c>
      <c r="F49">
        <v>3.8</v>
      </c>
      <c r="G49" t="str">
        <f t="shared" si="3"/>
        <v>Average</v>
      </c>
      <c r="H49" s="6">
        <f t="shared" si="4"/>
        <v>1329</v>
      </c>
      <c r="J49" t="str">
        <f t="shared" si="5"/>
        <v>High Discount</v>
      </c>
    </row>
    <row r="50" spans="1:10" x14ac:dyDescent="0.35">
      <c r="A50" s="4" t="s">
        <v>170</v>
      </c>
      <c r="B50" s="6">
        <v>499</v>
      </c>
      <c r="C50" s="6">
        <v>900</v>
      </c>
      <c r="D50" s="1">
        <v>0.45</v>
      </c>
      <c r="E50" t="s">
        <v>16703</v>
      </c>
      <c r="F50" t="s">
        <v>16703</v>
      </c>
      <c r="G50" t="str">
        <f t="shared" si="3"/>
        <v>Excellent</v>
      </c>
      <c r="H50" s="6">
        <f t="shared" si="4"/>
        <v>401</v>
      </c>
      <c r="J50" t="str">
        <f t="shared" si="5"/>
        <v>High Discount</v>
      </c>
    </row>
    <row r="51" spans="1:10" x14ac:dyDescent="0.35">
      <c r="A51" s="4" t="s">
        <v>206</v>
      </c>
      <c r="B51" s="6">
        <v>990</v>
      </c>
      <c r="C51" s="6">
        <v>1814</v>
      </c>
      <c r="D51" s="1">
        <v>0.45</v>
      </c>
      <c r="E51">
        <v>6</v>
      </c>
      <c r="F51">
        <v>2.2000000000000002</v>
      </c>
      <c r="G51" t="str">
        <f t="shared" si="3"/>
        <v>Poor</v>
      </c>
      <c r="H51" s="6">
        <f t="shared" si="4"/>
        <v>824</v>
      </c>
      <c r="J51" t="str">
        <f t="shared" si="5"/>
        <v>High Discount</v>
      </c>
    </row>
    <row r="52" spans="1:10" x14ac:dyDescent="0.35">
      <c r="A52" s="4" t="s">
        <v>215</v>
      </c>
      <c r="B52" s="6">
        <v>382</v>
      </c>
      <c r="C52" s="6">
        <v>700</v>
      </c>
      <c r="D52" s="1">
        <v>0.45</v>
      </c>
      <c r="E52">
        <v>17</v>
      </c>
      <c r="F52">
        <v>2.6</v>
      </c>
      <c r="G52" t="str">
        <f t="shared" si="3"/>
        <v>Poor</v>
      </c>
      <c r="H52" s="6">
        <f t="shared" si="4"/>
        <v>318</v>
      </c>
      <c r="J52" t="str">
        <f t="shared" si="5"/>
        <v>High Discount</v>
      </c>
    </row>
    <row r="53" spans="1:10" x14ac:dyDescent="0.35">
      <c r="A53" s="4" t="s">
        <v>221</v>
      </c>
      <c r="B53" s="6">
        <v>345</v>
      </c>
      <c r="C53" s="6">
        <v>602</v>
      </c>
      <c r="D53" s="1">
        <v>0.43</v>
      </c>
      <c r="E53">
        <v>6</v>
      </c>
      <c r="F53">
        <v>2.2999999999999998</v>
      </c>
      <c r="G53" t="str">
        <f t="shared" si="3"/>
        <v>Poor</v>
      </c>
      <c r="H53" s="6">
        <f t="shared" si="4"/>
        <v>257</v>
      </c>
      <c r="J53" t="str">
        <f t="shared" si="5"/>
        <v>High Discount</v>
      </c>
    </row>
    <row r="54" spans="1:10" x14ac:dyDescent="0.35">
      <c r="A54" s="4" t="s">
        <v>224</v>
      </c>
      <c r="B54" s="6">
        <v>509</v>
      </c>
      <c r="C54" s="6">
        <v>899</v>
      </c>
      <c r="D54" s="1">
        <v>0.43</v>
      </c>
      <c r="E54">
        <v>5</v>
      </c>
      <c r="F54">
        <v>3</v>
      </c>
      <c r="G54" t="str">
        <f t="shared" si="3"/>
        <v>Average</v>
      </c>
      <c r="H54" s="6">
        <f t="shared" si="4"/>
        <v>390</v>
      </c>
      <c r="J54" t="str">
        <f t="shared" si="5"/>
        <v>High Discount</v>
      </c>
    </row>
    <row r="55" spans="1:10" x14ac:dyDescent="0.35">
      <c r="A55" s="4" t="s">
        <v>235</v>
      </c>
      <c r="B55" s="6">
        <v>690</v>
      </c>
      <c r="C55" s="6">
        <v>1200</v>
      </c>
      <c r="D55" s="1">
        <v>0.43</v>
      </c>
      <c r="E55" t="s">
        <v>16703</v>
      </c>
      <c r="F55" t="s">
        <v>16703</v>
      </c>
      <c r="G55" t="str">
        <f t="shared" si="3"/>
        <v>Excellent</v>
      </c>
      <c r="H55" s="6">
        <f t="shared" si="4"/>
        <v>510</v>
      </c>
      <c r="J55" t="str">
        <f t="shared" si="5"/>
        <v>High Discount</v>
      </c>
    </row>
    <row r="56" spans="1:10" x14ac:dyDescent="0.35">
      <c r="A56" s="4" t="s">
        <v>266</v>
      </c>
      <c r="B56" s="6">
        <v>630</v>
      </c>
      <c r="C56" s="6">
        <v>1100</v>
      </c>
      <c r="D56" s="1">
        <v>0.43</v>
      </c>
      <c r="E56" t="s">
        <v>16703</v>
      </c>
      <c r="F56" t="s">
        <v>16703</v>
      </c>
      <c r="G56" t="str">
        <f t="shared" si="3"/>
        <v>Excellent</v>
      </c>
      <c r="H56" s="6">
        <f t="shared" si="4"/>
        <v>470</v>
      </c>
      <c r="J56" t="str">
        <f t="shared" si="5"/>
        <v>High Discount</v>
      </c>
    </row>
    <row r="57" spans="1:10" x14ac:dyDescent="0.35">
      <c r="A57" s="4" t="s">
        <v>50</v>
      </c>
      <c r="B57" s="6">
        <v>501</v>
      </c>
      <c r="C57" s="6">
        <v>860</v>
      </c>
      <c r="D57" s="1">
        <v>0.42</v>
      </c>
      <c r="E57">
        <v>6</v>
      </c>
      <c r="F57">
        <v>4.5</v>
      </c>
      <c r="G57" t="str">
        <f t="shared" si="3"/>
        <v>Average</v>
      </c>
      <c r="H57" s="6">
        <f t="shared" si="4"/>
        <v>359</v>
      </c>
      <c r="J57" t="str">
        <f t="shared" si="5"/>
        <v>High Discount</v>
      </c>
    </row>
    <row r="58" spans="1:10" x14ac:dyDescent="0.35">
      <c r="A58" s="4" t="s">
        <v>75</v>
      </c>
      <c r="B58" s="6">
        <v>1860</v>
      </c>
      <c r="C58" s="6">
        <v>3220</v>
      </c>
      <c r="D58" s="1">
        <v>0.42</v>
      </c>
      <c r="E58" t="s">
        <v>16703</v>
      </c>
      <c r="F58" t="s">
        <v>16703</v>
      </c>
      <c r="G58" t="str">
        <f t="shared" si="3"/>
        <v>Excellent</v>
      </c>
      <c r="H58" s="6">
        <f t="shared" si="4"/>
        <v>1360</v>
      </c>
      <c r="J58" t="str">
        <f t="shared" si="5"/>
        <v>High Discount</v>
      </c>
    </row>
    <row r="59" spans="1:10" x14ac:dyDescent="0.35">
      <c r="A59" s="4" t="s">
        <v>137</v>
      </c>
      <c r="B59" s="6">
        <v>610</v>
      </c>
      <c r="C59" s="6">
        <v>1060</v>
      </c>
      <c r="D59" s="1">
        <v>0.42</v>
      </c>
      <c r="E59" t="s">
        <v>16703</v>
      </c>
      <c r="F59" t="s">
        <v>16703</v>
      </c>
      <c r="G59" t="str">
        <f t="shared" si="3"/>
        <v>Excellent</v>
      </c>
      <c r="H59" s="6">
        <f t="shared" si="4"/>
        <v>450</v>
      </c>
      <c r="J59" t="str">
        <f t="shared" si="5"/>
        <v>High Discount</v>
      </c>
    </row>
    <row r="60" spans="1:10" x14ac:dyDescent="0.35">
      <c r="A60" s="4" t="s">
        <v>292</v>
      </c>
      <c r="B60" s="6">
        <v>1080</v>
      </c>
      <c r="C60" s="6">
        <v>1874</v>
      </c>
      <c r="D60" s="1">
        <v>0.42</v>
      </c>
      <c r="E60" t="s">
        <v>16703</v>
      </c>
      <c r="F60" t="s">
        <v>16703</v>
      </c>
      <c r="G60" t="str">
        <f t="shared" si="3"/>
        <v>Excellent</v>
      </c>
      <c r="H60" s="6">
        <f t="shared" si="4"/>
        <v>794</v>
      </c>
      <c r="J60" t="str">
        <f t="shared" si="5"/>
        <v>High Discount</v>
      </c>
    </row>
    <row r="61" spans="1:10" x14ac:dyDescent="0.35">
      <c r="A61" s="4" t="s">
        <v>122</v>
      </c>
      <c r="B61" s="6">
        <v>389</v>
      </c>
      <c r="C61" s="6">
        <v>656</v>
      </c>
      <c r="D61" s="1">
        <v>0.41</v>
      </c>
      <c r="E61">
        <v>36</v>
      </c>
      <c r="F61">
        <v>4.3</v>
      </c>
      <c r="G61" t="str">
        <f t="shared" si="3"/>
        <v>Average</v>
      </c>
      <c r="H61" s="6">
        <f t="shared" si="4"/>
        <v>267</v>
      </c>
      <c r="J61" t="str">
        <f t="shared" si="5"/>
        <v>High Discount</v>
      </c>
    </row>
    <row r="62" spans="1:10" x14ac:dyDescent="0.35">
      <c r="A62" s="4" t="s">
        <v>168</v>
      </c>
      <c r="B62" s="6">
        <v>799</v>
      </c>
      <c r="C62" s="6">
        <v>1343</v>
      </c>
      <c r="D62" s="1">
        <v>0.41</v>
      </c>
      <c r="E62" t="s">
        <v>16703</v>
      </c>
      <c r="F62" t="s">
        <v>16703</v>
      </c>
      <c r="G62" t="str">
        <f t="shared" si="3"/>
        <v>Excellent</v>
      </c>
      <c r="H62" s="6">
        <f t="shared" si="4"/>
        <v>544</v>
      </c>
      <c r="J62" t="str">
        <f t="shared" si="5"/>
        <v>High Discount</v>
      </c>
    </row>
    <row r="63" spans="1:10" x14ac:dyDescent="0.35">
      <c r="A63" s="4" t="s">
        <v>298</v>
      </c>
      <c r="B63" s="6">
        <v>1420</v>
      </c>
      <c r="C63" s="6">
        <v>2420</v>
      </c>
      <c r="D63" s="1">
        <v>0.41</v>
      </c>
      <c r="E63" t="s">
        <v>16703</v>
      </c>
      <c r="F63" t="s">
        <v>16703</v>
      </c>
      <c r="G63" t="str">
        <f t="shared" si="3"/>
        <v>Excellent</v>
      </c>
      <c r="H63" s="6">
        <f t="shared" si="4"/>
        <v>1000</v>
      </c>
      <c r="J63" t="str">
        <f t="shared" si="5"/>
        <v>High Discount</v>
      </c>
    </row>
    <row r="64" spans="1:10" x14ac:dyDescent="0.35">
      <c r="A64" s="4" t="s">
        <v>117</v>
      </c>
      <c r="B64" s="6">
        <v>1620</v>
      </c>
      <c r="C64" s="6">
        <v>2690</v>
      </c>
      <c r="D64" s="1">
        <v>0.4</v>
      </c>
      <c r="E64">
        <v>1</v>
      </c>
      <c r="F64">
        <v>5</v>
      </c>
      <c r="G64" t="str">
        <f t="shared" si="3"/>
        <v>Excellent</v>
      </c>
      <c r="H64" s="6">
        <f t="shared" si="4"/>
        <v>1070</v>
      </c>
      <c r="J64" t="str">
        <f t="shared" si="5"/>
        <v>Medium Discount</v>
      </c>
    </row>
    <row r="65" spans="1:10" x14ac:dyDescent="0.35">
      <c r="A65" s="4" t="s">
        <v>212</v>
      </c>
      <c r="B65" s="6">
        <v>3750</v>
      </c>
      <c r="C65" s="6">
        <v>6143</v>
      </c>
      <c r="D65" s="1">
        <v>0.39</v>
      </c>
      <c r="E65">
        <v>5</v>
      </c>
      <c r="F65">
        <v>3</v>
      </c>
      <c r="G65" t="str">
        <f t="shared" si="3"/>
        <v>Average</v>
      </c>
      <c r="H65" s="6">
        <f t="shared" si="4"/>
        <v>2393</v>
      </c>
      <c r="J65" t="str">
        <f t="shared" si="5"/>
        <v>Medium Discount</v>
      </c>
    </row>
    <row r="66" spans="1:10" x14ac:dyDescent="0.35">
      <c r="A66" s="4" t="s">
        <v>6</v>
      </c>
      <c r="B66" s="6">
        <v>950</v>
      </c>
      <c r="C66" s="6">
        <v>1525</v>
      </c>
      <c r="D66" s="1">
        <v>0.38</v>
      </c>
      <c r="E66">
        <v>2</v>
      </c>
      <c r="F66">
        <v>4.5</v>
      </c>
      <c r="G66" t="str">
        <f t="shared" ref="G66:G97" si="6">IF(F66&lt;3,"Poor",IF(F66&lt;=4.5,"Average","Excellent"))</f>
        <v>Average</v>
      </c>
      <c r="H66" s="6">
        <f t="shared" ref="H66:H97" si="7">C66-B66</f>
        <v>575</v>
      </c>
      <c r="J66" t="str">
        <f t="shared" ref="J66:J97" si="8">IF(D66&lt;20%,"Low Discount",IF(D66&lt;=40%,"Medium Discount","High Discount"))</f>
        <v>Medium Discount</v>
      </c>
    </row>
    <row r="67" spans="1:10" x14ac:dyDescent="0.35">
      <c r="A67" s="4" t="s">
        <v>125</v>
      </c>
      <c r="B67" s="6">
        <v>1980</v>
      </c>
      <c r="C67" s="6">
        <v>3200</v>
      </c>
      <c r="D67" s="1">
        <v>0.38</v>
      </c>
      <c r="E67">
        <v>2</v>
      </c>
      <c r="F67">
        <v>4.5</v>
      </c>
      <c r="G67" t="str">
        <f t="shared" si="6"/>
        <v>Average</v>
      </c>
      <c r="H67" s="6">
        <f t="shared" si="7"/>
        <v>1220</v>
      </c>
      <c r="J67" t="str">
        <f t="shared" si="8"/>
        <v>Medium Discount</v>
      </c>
    </row>
    <row r="68" spans="1:10" x14ac:dyDescent="0.35">
      <c r="A68" s="4" t="s">
        <v>128</v>
      </c>
      <c r="B68" s="6">
        <v>2750</v>
      </c>
      <c r="C68" s="6">
        <v>4471</v>
      </c>
      <c r="D68" s="1">
        <v>0.38</v>
      </c>
      <c r="E68" t="s">
        <v>16703</v>
      </c>
      <c r="F68" t="s">
        <v>16703</v>
      </c>
      <c r="G68" t="str">
        <f t="shared" si="6"/>
        <v>Excellent</v>
      </c>
      <c r="H68" s="6">
        <f t="shared" si="7"/>
        <v>1721</v>
      </c>
      <c r="J68" t="str">
        <f t="shared" si="8"/>
        <v>Medium Discount</v>
      </c>
    </row>
    <row r="69" spans="1:10" x14ac:dyDescent="0.35">
      <c r="A69" s="4" t="s">
        <v>151</v>
      </c>
      <c r="B69" s="6">
        <v>1200</v>
      </c>
      <c r="C69" s="6">
        <v>1950</v>
      </c>
      <c r="D69" s="1">
        <v>0.38</v>
      </c>
      <c r="E69" t="s">
        <v>16703</v>
      </c>
      <c r="F69" t="s">
        <v>16703</v>
      </c>
      <c r="G69" t="str">
        <f t="shared" si="6"/>
        <v>Excellent</v>
      </c>
      <c r="H69" s="6">
        <f t="shared" si="7"/>
        <v>750</v>
      </c>
      <c r="J69" t="str">
        <f t="shared" si="8"/>
        <v>Medium Discount</v>
      </c>
    </row>
    <row r="70" spans="1:10" x14ac:dyDescent="0.35">
      <c r="A70" s="4" t="s">
        <v>18</v>
      </c>
      <c r="B70" s="6">
        <v>1580</v>
      </c>
      <c r="C70" s="6">
        <v>2499</v>
      </c>
      <c r="D70" s="1">
        <v>0.37</v>
      </c>
      <c r="E70">
        <v>7</v>
      </c>
      <c r="F70">
        <v>4.7</v>
      </c>
      <c r="G70" t="str">
        <f t="shared" si="6"/>
        <v>Excellent</v>
      </c>
      <c r="H70" s="6">
        <f t="shared" si="7"/>
        <v>919</v>
      </c>
      <c r="J70" t="str">
        <f t="shared" si="8"/>
        <v>Medium Discount</v>
      </c>
    </row>
    <row r="71" spans="1:10" x14ac:dyDescent="0.35">
      <c r="A71" s="4" t="s">
        <v>33</v>
      </c>
      <c r="B71" s="6">
        <v>988</v>
      </c>
      <c r="C71" s="6">
        <v>1580</v>
      </c>
      <c r="D71" s="1">
        <v>0.37</v>
      </c>
      <c r="E71">
        <v>2</v>
      </c>
      <c r="F71">
        <v>4</v>
      </c>
      <c r="G71" t="str">
        <f t="shared" si="6"/>
        <v>Average</v>
      </c>
      <c r="H71" s="6">
        <f t="shared" si="7"/>
        <v>592</v>
      </c>
      <c r="J71" t="str">
        <f t="shared" si="8"/>
        <v>Medium Discount</v>
      </c>
    </row>
    <row r="72" spans="1:10" x14ac:dyDescent="0.35">
      <c r="A72" s="4" t="s">
        <v>248</v>
      </c>
      <c r="B72" s="6">
        <v>1460</v>
      </c>
      <c r="C72" s="6">
        <v>2290</v>
      </c>
      <c r="D72" s="1">
        <v>0.36</v>
      </c>
      <c r="E72" t="s">
        <v>16703</v>
      </c>
      <c r="F72" t="s">
        <v>16703</v>
      </c>
      <c r="G72" t="str">
        <f t="shared" si="6"/>
        <v>Excellent</v>
      </c>
      <c r="H72" s="6">
        <f t="shared" si="7"/>
        <v>830</v>
      </c>
      <c r="J72" t="str">
        <f t="shared" si="8"/>
        <v>Medium Discount</v>
      </c>
    </row>
    <row r="73" spans="1:10" x14ac:dyDescent="0.35">
      <c r="A73" s="4" t="s">
        <v>78</v>
      </c>
      <c r="B73" s="6">
        <v>880</v>
      </c>
      <c r="C73" s="6">
        <v>1350</v>
      </c>
      <c r="D73" s="1">
        <v>0.35</v>
      </c>
      <c r="E73">
        <v>6</v>
      </c>
      <c r="F73">
        <v>4</v>
      </c>
      <c r="G73" t="str">
        <f t="shared" si="6"/>
        <v>Average</v>
      </c>
      <c r="H73" s="6">
        <f t="shared" si="7"/>
        <v>470</v>
      </c>
      <c r="J73" t="str">
        <f t="shared" si="8"/>
        <v>Medium Discount</v>
      </c>
    </row>
    <row r="74" spans="1:10" x14ac:dyDescent="0.35">
      <c r="A74" s="4" t="s">
        <v>89</v>
      </c>
      <c r="B74" s="6">
        <v>420</v>
      </c>
      <c r="C74" s="6">
        <v>647</v>
      </c>
      <c r="D74" s="1">
        <v>0.35</v>
      </c>
      <c r="E74">
        <v>49</v>
      </c>
      <c r="F74">
        <v>4.5999999999999996</v>
      </c>
      <c r="G74" t="str">
        <f t="shared" si="6"/>
        <v>Excellent</v>
      </c>
      <c r="H74" s="6">
        <f t="shared" si="7"/>
        <v>227</v>
      </c>
      <c r="J74" t="str">
        <f t="shared" si="8"/>
        <v>Medium Discount</v>
      </c>
    </row>
    <row r="75" spans="1:10" x14ac:dyDescent="0.35">
      <c r="A75" s="4" t="s">
        <v>44</v>
      </c>
      <c r="B75" s="6">
        <v>990</v>
      </c>
      <c r="C75" s="6">
        <v>1500</v>
      </c>
      <c r="D75" s="1">
        <v>0.34</v>
      </c>
      <c r="E75">
        <v>39</v>
      </c>
      <c r="F75">
        <v>4.7</v>
      </c>
      <c r="G75" t="str">
        <f t="shared" si="6"/>
        <v>Excellent</v>
      </c>
      <c r="H75" s="6">
        <f t="shared" si="7"/>
        <v>510</v>
      </c>
      <c r="J75" t="str">
        <f t="shared" si="8"/>
        <v>Medium Discount</v>
      </c>
    </row>
    <row r="76" spans="1:10" x14ac:dyDescent="0.35">
      <c r="A76" s="4" t="s">
        <v>105</v>
      </c>
      <c r="B76" s="6">
        <v>980</v>
      </c>
      <c r="C76" s="6">
        <v>1490</v>
      </c>
      <c r="D76" s="1">
        <v>0.34</v>
      </c>
      <c r="E76">
        <v>12</v>
      </c>
      <c r="F76">
        <v>4.7</v>
      </c>
      <c r="G76" t="str">
        <f t="shared" si="6"/>
        <v>Excellent</v>
      </c>
      <c r="H76" s="6">
        <f t="shared" si="7"/>
        <v>510</v>
      </c>
      <c r="J76" t="str">
        <f t="shared" si="8"/>
        <v>Medium Discount</v>
      </c>
    </row>
    <row r="77" spans="1:10" x14ac:dyDescent="0.35">
      <c r="A77" s="4" t="s">
        <v>307</v>
      </c>
      <c r="B77" s="6">
        <v>1150</v>
      </c>
      <c r="C77" s="6">
        <v>1737</v>
      </c>
      <c r="D77" s="1">
        <v>0.34</v>
      </c>
      <c r="E77" t="s">
        <v>16703</v>
      </c>
      <c r="F77" t="s">
        <v>16703</v>
      </c>
      <c r="G77" t="str">
        <f t="shared" si="6"/>
        <v>Excellent</v>
      </c>
      <c r="H77" s="6">
        <f t="shared" si="7"/>
        <v>587</v>
      </c>
      <c r="J77" t="str">
        <f t="shared" si="8"/>
        <v>Medium Discount</v>
      </c>
    </row>
    <row r="78" spans="1:10" x14ac:dyDescent="0.35">
      <c r="A78" s="4" t="s">
        <v>310</v>
      </c>
      <c r="B78" s="6">
        <v>1190</v>
      </c>
      <c r="C78" s="6">
        <v>1810</v>
      </c>
      <c r="D78" s="1">
        <v>0.34</v>
      </c>
      <c r="E78" t="s">
        <v>16703</v>
      </c>
      <c r="F78" t="s">
        <v>16703</v>
      </c>
      <c r="G78" t="str">
        <f t="shared" si="6"/>
        <v>Excellent</v>
      </c>
      <c r="H78" s="6">
        <f t="shared" si="7"/>
        <v>620</v>
      </c>
      <c r="J78" t="str">
        <f t="shared" si="8"/>
        <v>Medium Discount</v>
      </c>
    </row>
    <row r="79" spans="1:10" x14ac:dyDescent="0.35">
      <c r="A79" s="4" t="s">
        <v>53</v>
      </c>
      <c r="B79" s="6">
        <v>1680</v>
      </c>
      <c r="C79" s="6">
        <v>2499</v>
      </c>
      <c r="D79" s="1">
        <v>0.33</v>
      </c>
      <c r="E79">
        <v>9</v>
      </c>
      <c r="F79">
        <v>4.2</v>
      </c>
      <c r="G79" t="str">
        <f t="shared" si="6"/>
        <v>Average</v>
      </c>
      <c r="H79" s="6">
        <f t="shared" si="7"/>
        <v>819</v>
      </c>
      <c r="J79" t="str">
        <f t="shared" si="8"/>
        <v>Medium Discount</v>
      </c>
    </row>
    <row r="80" spans="1:10" x14ac:dyDescent="0.35">
      <c r="A80" s="4" t="s">
        <v>145</v>
      </c>
      <c r="B80" s="6">
        <v>1190</v>
      </c>
      <c r="C80" s="6">
        <v>1785</v>
      </c>
      <c r="D80" s="1">
        <v>0.33</v>
      </c>
      <c r="E80" t="s">
        <v>16703</v>
      </c>
      <c r="F80" t="s">
        <v>16703</v>
      </c>
      <c r="G80" t="str">
        <f t="shared" si="6"/>
        <v>Excellent</v>
      </c>
      <c r="H80" s="6">
        <f t="shared" si="7"/>
        <v>595</v>
      </c>
      <c r="J80" t="str">
        <f t="shared" si="8"/>
        <v>Medium Discount</v>
      </c>
    </row>
    <row r="81" spans="1:10" x14ac:dyDescent="0.35">
      <c r="A81" s="4" t="s">
        <v>95</v>
      </c>
      <c r="B81" s="6">
        <v>1350</v>
      </c>
      <c r="C81" s="6">
        <v>1990</v>
      </c>
      <c r="D81" s="1">
        <v>0.32</v>
      </c>
      <c r="E81">
        <v>13</v>
      </c>
      <c r="F81">
        <v>3.8</v>
      </c>
      <c r="G81" t="str">
        <f t="shared" si="6"/>
        <v>Average</v>
      </c>
      <c r="H81" s="6">
        <f t="shared" si="7"/>
        <v>640</v>
      </c>
      <c r="J81" t="str">
        <f t="shared" si="8"/>
        <v>Medium Discount</v>
      </c>
    </row>
    <row r="82" spans="1:10" x14ac:dyDescent="0.35">
      <c r="A82" s="4" t="s">
        <v>97</v>
      </c>
      <c r="B82" s="6">
        <v>1758</v>
      </c>
      <c r="C82" s="6">
        <v>2499</v>
      </c>
      <c r="D82" s="1">
        <v>0.3</v>
      </c>
      <c r="E82">
        <v>20</v>
      </c>
      <c r="F82">
        <v>4.0999999999999996</v>
      </c>
      <c r="G82" t="str">
        <f t="shared" si="6"/>
        <v>Average</v>
      </c>
      <c r="H82" s="6">
        <f t="shared" si="7"/>
        <v>741</v>
      </c>
      <c r="J82" t="str">
        <f t="shared" si="8"/>
        <v>Medium Discount</v>
      </c>
    </row>
    <row r="83" spans="1:10" x14ac:dyDescent="0.35">
      <c r="A83" s="4" t="s">
        <v>218</v>
      </c>
      <c r="B83" s="6">
        <v>2300</v>
      </c>
      <c r="C83" s="6">
        <v>3240</v>
      </c>
      <c r="D83" s="1">
        <v>0.28999999999999998</v>
      </c>
      <c r="E83">
        <v>5</v>
      </c>
      <c r="F83">
        <v>3</v>
      </c>
      <c r="G83" t="str">
        <f t="shared" si="6"/>
        <v>Average</v>
      </c>
      <c r="H83" s="6">
        <f t="shared" si="7"/>
        <v>940</v>
      </c>
      <c r="J83" t="str">
        <f t="shared" si="8"/>
        <v>Medium Discount</v>
      </c>
    </row>
    <row r="84" spans="1:10" x14ac:dyDescent="0.35">
      <c r="A84" s="4" t="s">
        <v>111</v>
      </c>
      <c r="B84" s="6">
        <v>1940</v>
      </c>
      <c r="C84" s="6">
        <v>2650</v>
      </c>
      <c r="D84" s="1">
        <v>0.27</v>
      </c>
      <c r="E84">
        <v>20</v>
      </c>
      <c r="F84">
        <v>4.7</v>
      </c>
      <c r="G84" t="str">
        <f t="shared" si="6"/>
        <v>Excellent</v>
      </c>
      <c r="H84" s="6">
        <f t="shared" si="7"/>
        <v>710</v>
      </c>
      <c r="J84" t="str">
        <f t="shared" si="8"/>
        <v>Medium Discount</v>
      </c>
    </row>
    <row r="85" spans="1:10" x14ac:dyDescent="0.35">
      <c r="A85" s="4" t="s">
        <v>114</v>
      </c>
      <c r="B85" s="6">
        <v>1980</v>
      </c>
      <c r="C85" s="6">
        <v>2699</v>
      </c>
      <c r="D85" s="1">
        <v>0.27</v>
      </c>
      <c r="E85">
        <v>32</v>
      </c>
      <c r="F85">
        <v>4.5</v>
      </c>
      <c r="G85" t="str">
        <f t="shared" si="6"/>
        <v>Average</v>
      </c>
      <c r="H85" s="6">
        <f t="shared" si="7"/>
        <v>719</v>
      </c>
      <c r="J85" t="str">
        <f t="shared" si="8"/>
        <v>Medium Discount</v>
      </c>
    </row>
    <row r="86" spans="1:10" x14ac:dyDescent="0.35">
      <c r="A86" s="4" t="s">
        <v>177</v>
      </c>
      <c r="B86" s="6">
        <v>2799</v>
      </c>
      <c r="C86" s="6">
        <v>3810</v>
      </c>
      <c r="D86" s="1">
        <v>0.27</v>
      </c>
      <c r="E86" t="s">
        <v>16703</v>
      </c>
      <c r="F86" t="s">
        <v>16703</v>
      </c>
      <c r="G86" t="str">
        <f t="shared" si="6"/>
        <v>Excellent</v>
      </c>
      <c r="H86" s="6">
        <f t="shared" si="7"/>
        <v>1011</v>
      </c>
      <c r="J86" t="str">
        <f t="shared" si="8"/>
        <v>Medium Discount</v>
      </c>
    </row>
    <row r="87" spans="1:10" x14ac:dyDescent="0.35">
      <c r="A87" s="4" t="s">
        <v>22</v>
      </c>
      <c r="B87" s="6">
        <v>1740</v>
      </c>
      <c r="C87" s="6">
        <v>2356</v>
      </c>
      <c r="D87" s="1">
        <v>0.26</v>
      </c>
      <c r="E87">
        <v>5</v>
      </c>
      <c r="F87">
        <v>4.8</v>
      </c>
      <c r="G87" t="str">
        <f t="shared" si="6"/>
        <v>Excellent</v>
      </c>
      <c r="H87" s="6">
        <f t="shared" si="7"/>
        <v>616</v>
      </c>
      <c r="J87" t="str">
        <f t="shared" si="8"/>
        <v>Medium Discount</v>
      </c>
    </row>
    <row r="88" spans="1:10" x14ac:dyDescent="0.35">
      <c r="A88" s="4" t="s">
        <v>14</v>
      </c>
      <c r="B88" s="6">
        <v>2199</v>
      </c>
      <c r="C88" s="6">
        <v>2923</v>
      </c>
      <c r="D88" s="1">
        <v>0.25</v>
      </c>
      <c r="E88">
        <v>24</v>
      </c>
      <c r="F88">
        <v>4.5999999999999996</v>
      </c>
      <c r="G88" t="str">
        <f t="shared" si="6"/>
        <v>Excellent</v>
      </c>
      <c r="H88" s="6">
        <f t="shared" si="7"/>
        <v>724</v>
      </c>
      <c r="J88" t="str">
        <f t="shared" si="8"/>
        <v>Medium Discount</v>
      </c>
    </row>
    <row r="89" spans="1:10" x14ac:dyDescent="0.35">
      <c r="A89" s="4" t="s">
        <v>30</v>
      </c>
      <c r="B89" s="6">
        <v>2319</v>
      </c>
      <c r="C89" s="6">
        <v>3032</v>
      </c>
      <c r="D89" s="1">
        <v>0.24</v>
      </c>
      <c r="E89">
        <v>55</v>
      </c>
      <c r="F89">
        <v>4.5999999999999996</v>
      </c>
      <c r="G89" t="str">
        <f t="shared" si="6"/>
        <v>Excellent</v>
      </c>
      <c r="H89" s="6">
        <f t="shared" si="7"/>
        <v>713</v>
      </c>
      <c r="J89" t="str">
        <f t="shared" si="8"/>
        <v>Medium Discount</v>
      </c>
    </row>
    <row r="90" spans="1:10" x14ac:dyDescent="0.35">
      <c r="A90" s="4" t="s">
        <v>304</v>
      </c>
      <c r="B90" s="6">
        <v>198</v>
      </c>
      <c r="C90" s="6">
        <v>260</v>
      </c>
      <c r="D90" s="1">
        <v>0.24</v>
      </c>
      <c r="E90" t="s">
        <v>16703</v>
      </c>
      <c r="F90" t="s">
        <v>16703</v>
      </c>
      <c r="G90" t="str">
        <f t="shared" si="6"/>
        <v>Excellent</v>
      </c>
      <c r="H90" s="6">
        <f t="shared" si="7"/>
        <v>62</v>
      </c>
      <c r="J90" t="str">
        <f t="shared" si="8"/>
        <v>Medium Discount</v>
      </c>
    </row>
    <row r="91" spans="1:10" x14ac:dyDescent="0.35">
      <c r="A91" s="4" t="s">
        <v>81</v>
      </c>
      <c r="B91" s="6">
        <v>1650</v>
      </c>
      <c r="C91" s="6">
        <v>2150</v>
      </c>
      <c r="D91" s="1">
        <v>0.23</v>
      </c>
      <c r="E91">
        <v>14</v>
      </c>
      <c r="F91">
        <v>4.4000000000000004</v>
      </c>
      <c r="G91" t="str">
        <f t="shared" si="6"/>
        <v>Average</v>
      </c>
      <c r="H91" s="6">
        <f t="shared" si="7"/>
        <v>500</v>
      </c>
      <c r="J91" t="str">
        <f t="shared" si="8"/>
        <v>Medium Discount</v>
      </c>
    </row>
    <row r="92" spans="1:10" x14ac:dyDescent="0.35">
      <c r="A92" s="4" t="s">
        <v>163</v>
      </c>
      <c r="B92" s="6">
        <v>299</v>
      </c>
      <c r="C92" s="6">
        <v>384</v>
      </c>
      <c r="D92" s="1">
        <v>0.22</v>
      </c>
      <c r="E92" t="s">
        <v>16703</v>
      </c>
      <c r="F92" t="s">
        <v>16703</v>
      </c>
      <c r="G92" t="str">
        <f t="shared" si="6"/>
        <v>Excellent</v>
      </c>
      <c r="H92" s="6">
        <f t="shared" si="7"/>
        <v>85</v>
      </c>
      <c r="J92" t="str">
        <f t="shared" si="8"/>
        <v>Medium Discount</v>
      </c>
    </row>
    <row r="93" spans="1:10" x14ac:dyDescent="0.35">
      <c r="A93" s="4" t="s">
        <v>202</v>
      </c>
      <c r="B93" s="6">
        <v>1220</v>
      </c>
      <c r="C93" s="6">
        <v>1555</v>
      </c>
      <c r="D93" s="1">
        <v>0.22</v>
      </c>
      <c r="E93">
        <v>16</v>
      </c>
      <c r="F93">
        <v>2.9</v>
      </c>
      <c r="G93" t="str">
        <f t="shared" si="6"/>
        <v>Poor</v>
      </c>
      <c r="H93" s="6">
        <f t="shared" si="7"/>
        <v>335</v>
      </c>
      <c r="J93" t="str">
        <f t="shared" si="8"/>
        <v>Medium Discount</v>
      </c>
    </row>
    <row r="94" spans="1:10" x14ac:dyDescent="0.35">
      <c r="A94" s="4" t="s">
        <v>295</v>
      </c>
      <c r="B94" s="6">
        <v>3640</v>
      </c>
      <c r="C94" s="6">
        <v>4588</v>
      </c>
      <c r="D94" s="1">
        <v>0.21</v>
      </c>
      <c r="E94">
        <v>1</v>
      </c>
      <c r="F94">
        <v>5</v>
      </c>
      <c r="G94" t="str">
        <f t="shared" si="6"/>
        <v>Excellent</v>
      </c>
      <c r="H94" s="6">
        <f t="shared" si="7"/>
        <v>948</v>
      </c>
      <c r="J94" t="str">
        <f t="shared" si="8"/>
        <v>Medium Discount</v>
      </c>
    </row>
    <row r="95" spans="1:10" x14ac:dyDescent="0.35">
      <c r="A95" s="4" t="s">
        <v>42</v>
      </c>
      <c r="B95" s="6">
        <v>799</v>
      </c>
      <c r="C95" s="6">
        <v>999</v>
      </c>
      <c r="D95" s="1">
        <v>0.2</v>
      </c>
      <c r="E95">
        <v>12</v>
      </c>
      <c r="F95">
        <v>4.0999999999999996</v>
      </c>
      <c r="G95" t="str">
        <f t="shared" si="6"/>
        <v>Average</v>
      </c>
      <c r="H95" s="6">
        <f t="shared" si="7"/>
        <v>200</v>
      </c>
      <c r="J95" t="str">
        <f t="shared" si="8"/>
        <v>Medium Discount</v>
      </c>
    </row>
    <row r="96" spans="1:10" x14ac:dyDescent="0.35">
      <c r="A96" s="4" t="s">
        <v>66</v>
      </c>
      <c r="B96" s="6">
        <v>2999</v>
      </c>
      <c r="C96" s="6">
        <v>3699</v>
      </c>
      <c r="D96" s="1">
        <v>0.19</v>
      </c>
      <c r="E96">
        <v>5</v>
      </c>
      <c r="F96">
        <v>4.5999999999999996</v>
      </c>
      <c r="G96" t="str">
        <f t="shared" si="6"/>
        <v>Excellent</v>
      </c>
      <c r="H96" s="6">
        <f t="shared" si="7"/>
        <v>700</v>
      </c>
      <c r="J96" t="str">
        <f t="shared" si="8"/>
        <v>Low Discount</v>
      </c>
    </row>
    <row r="97" spans="1:10" x14ac:dyDescent="0.35">
      <c r="A97" s="4" t="s">
        <v>92</v>
      </c>
      <c r="B97" s="6">
        <v>2880</v>
      </c>
      <c r="C97" s="6">
        <v>3520</v>
      </c>
      <c r="D97" s="1">
        <v>0.18</v>
      </c>
      <c r="E97">
        <v>12</v>
      </c>
      <c r="F97">
        <v>3.8</v>
      </c>
      <c r="G97" t="str">
        <f t="shared" si="6"/>
        <v>Average</v>
      </c>
      <c r="H97" s="6">
        <f t="shared" si="7"/>
        <v>640</v>
      </c>
      <c r="J97" t="str">
        <f t="shared" si="8"/>
        <v>Low Discount</v>
      </c>
    </row>
    <row r="98" spans="1:10" x14ac:dyDescent="0.35">
      <c r="A98" s="4" t="s">
        <v>256</v>
      </c>
      <c r="B98" s="6">
        <v>1466</v>
      </c>
      <c r="C98" s="6">
        <v>1699</v>
      </c>
      <c r="D98" s="1">
        <v>0.14000000000000001</v>
      </c>
      <c r="E98" t="s">
        <v>16703</v>
      </c>
      <c r="F98" t="s">
        <v>16703</v>
      </c>
      <c r="G98" t="str">
        <f t="shared" ref="G98:G113" si="9">IF(F98&lt;3,"Poor",IF(F98&lt;=4.5,"Average","Excellent"))</f>
        <v>Excellent</v>
      </c>
      <c r="H98" s="6">
        <f t="shared" ref="H98:H113" si="10">C98-B98</f>
        <v>233</v>
      </c>
      <c r="J98" t="str">
        <f t="shared" ref="J98:J113" si="11">IF(D98&lt;20%,"Low Discount",IF(D98&lt;=40%,"Medium Discount","High Discount"))</f>
        <v>Low Discount</v>
      </c>
    </row>
    <row r="99" spans="1:10" x14ac:dyDescent="0.35">
      <c r="A99" s="4" t="s">
        <v>264</v>
      </c>
      <c r="B99" s="6">
        <v>1468</v>
      </c>
      <c r="C99" s="6">
        <v>1699</v>
      </c>
      <c r="D99" s="1">
        <v>0.14000000000000001</v>
      </c>
      <c r="E99" t="s">
        <v>16703</v>
      </c>
      <c r="F99" t="s">
        <v>16703</v>
      </c>
      <c r="G99" t="str">
        <f t="shared" si="9"/>
        <v>Excellent</v>
      </c>
      <c r="H99" s="6">
        <f t="shared" si="10"/>
        <v>231</v>
      </c>
      <c r="J99" t="str">
        <f t="shared" si="11"/>
        <v>Low Discount</v>
      </c>
    </row>
    <row r="100" spans="1:10" x14ac:dyDescent="0.35">
      <c r="A100" s="4" t="s">
        <v>182</v>
      </c>
      <c r="B100" s="6">
        <v>2170</v>
      </c>
      <c r="C100" s="6">
        <v>2500</v>
      </c>
      <c r="D100" s="1">
        <v>0.13</v>
      </c>
      <c r="E100">
        <v>6</v>
      </c>
      <c r="F100">
        <v>2.5</v>
      </c>
      <c r="G100" t="str">
        <f t="shared" si="9"/>
        <v>Poor</v>
      </c>
      <c r="H100" s="6">
        <f t="shared" si="10"/>
        <v>330</v>
      </c>
      <c r="J100" t="str">
        <f t="shared" si="11"/>
        <v>Low Discount</v>
      </c>
    </row>
    <row r="101" spans="1:10" x14ac:dyDescent="0.35">
      <c r="A101" s="4" t="s">
        <v>261</v>
      </c>
      <c r="B101" s="6">
        <v>799</v>
      </c>
      <c r="C101" s="6">
        <v>900</v>
      </c>
      <c r="D101" s="1">
        <v>0.11</v>
      </c>
      <c r="E101" t="s">
        <v>16703</v>
      </c>
      <c r="F101" t="s">
        <v>16703</v>
      </c>
      <c r="G101" t="str">
        <f t="shared" si="9"/>
        <v>Excellent</v>
      </c>
      <c r="H101" s="6">
        <f t="shared" si="10"/>
        <v>101</v>
      </c>
      <c r="J101" t="str">
        <f t="shared" si="11"/>
        <v>Low Discount</v>
      </c>
    </row>
    <row r="102" spans="1:10" x14ac:dyDescent="0.35">
      <c r="A102" s="4" t="s">
        <v>26</v>
      </c>
      <c r="B102" s="6">
        <v>2999</v>
      </c>
      <c r="C102" s="6">
        <v>3290</v>
      </c>
      <c r="D102" s="1">
        <v>0.09</v>
      </c>
      <c r="E102">
        <v>15</v>
      </c>
      <c r="F102">
        <v>4</v>
      </c>
      <c r="G102" t="str">
        <f t="shared" si="9"/>
        <v>Average</v>
      </c>
      <c r="H102" s="6">
        <f t="shared" si="10"/>
        <v>291</v>
      </c>
      <c r="J102" t="str">
        <f t="shared" si="11"/>
        <v>Low Discount</v>
      </c>
    </row>
    <row r="103" spans="1:10" x14ac:dyDescent="0.35">
      <c r="A103" s="4" t="s">
        <v>280</v>
      </c>
      <c r="B103" s="6">
        <v>1526</v>
      </c>
      <c r="C103" s="6">
        <v>1660</v>
      </c>
      <c r="D103" s="1">
        <v>0.08</v>
      </c>
      <c r="E103" t="s">
        <v>16703</v>
      </c>
      <c r="F103" t="s">
        <v>16703</v>
      </c>
      <c r="G103" t="str">
        <f t="shared" si="9"/>
        <v>Excellent</v>
      </c>
      <c r="H103" s="6">
        <f t="shared" si="10"/>
        <v>134</v>
      </c>
      <c r="J103" t="str">
        <f t="shared" si="11"/>
        <v>Low Discount</v>
      </c>
    </row>
    <row r="104" spans="1:10" x14ac:dyDescent="0.35">
      <c r="A104" s="4" t="s">
        <v>237</v>
      </c>
      <c r="B104" s="6">
        <v>1732</v>
      </c>
      <c r="C104" s="6">
        <v>1799</v>
      </c>
      <c r="D104" s="1">
        <v>0.04</v>
      </c>
      <c r="E104" t="s">
        <v>16703</v>
      </c>
      <c r="F104" t="s">
        <v>16703</v>
      </c>
      <c r="G104" t="str">
        <f t="shared" si="9"/>
        <v>Excellent</v>
      </c>
      <c r="H104" s="6">
        <f t="shared" si="10"/>
        <v>67</v>
      </c>
      <c r="J104" t="str">
        <f t="shared" si="11"/>
        <v>Low Discount</v>
      </c>
    </row>
    <row r="105" spans="1:10" x14ac:dyDescent="0.35">
      <c r="A105" s="4" t="s">
        <v>287</v>
      </c>
      <c r="B105" s="6">
        <v>3546</v>
      </c>
      <c r="C105" s="6">
        <v>3699</v>
      </c>
      <c r="D105" s="1">
        <v>0.04</v>
      </c>
      <c r="E105" t="s">
        <v>16703</v>
      </c>
      <c r="F105" t="s">
        <v>16703</v>
      </c>
      <c r="G105" t="str">
        <f t="shared" si="9"/>
        <v>Excellent</v>
      </c>
      <c r="H105" s="6">
        <f t="shared" si="10"/>
        <v>153</v>
      </c>
      <c r="J105" t="str">
        <f t="shared" si="11"/>
        <v>Low Discount</v>
      </c>
    </row>
    <row r="106" spans="1:10" x14ac:dyDescent="0.35">
      <c r="A106" s="4" t="s">
        <v>165</v>
      </c>
      <c r="B106" s="6">
        <v>1459</v>
      </c>
      <c r="C106" s="6">
        <v>1499</v>
      </c>
      <c r="D106" s="1">
        <v>0.03</v>
      </c>
      <c r="E106" t="s">
        <v>16703</v>
      </c>
      <c r="F106" t="s">
        <v>16703</v>
      </c>
      <c r="G106" t="str">
        <f t="shared" si="9"/>
        <v>Excellent</v>
      </c>
      <c r="H106" s="6">
        <f t="shared" si="10"/>
        <v>40</v>
      </c>
      <c r="J106" t="str">
        <f t="shared" si="11"/>
        <v>Low Discount</v>
      </c>
    </row>
    <row r="107" spans="1:10" x14ac:dyDescent="0.35">
      <c r="A107" s="4" t="s">
        <v>140</v>
      </c>
      <c r="B107" s="6">
        <v>2132</v>
      </c>
      <c r="C107" s="6">
        <v>2169</v>
      </c>
      <c r="D107" s="1">
        <v>0.02</v>
      </c>
      <c r="E107" t="s">
        <v>16703</v>
      </c>
      <c r="F107" t="s">
        <v>16703</v>
      </c>
      <c r="G107" t="str">
        <f t="shared" si="9"/>
        <v>Excellent</v>
      </c>
      <c r="H107" s="6">
        <f t="shared" si="10"/>
        <v>37</v>
      </c>
      <c r="J107" t="str">
        <f t="shared" si="11"/>
        <v>Low Discount</v>
      </c>
    </row>
    <row r="108" spans="1:10" x14ac:dyDescent="0.35">
      <c r="A108" s="4" t="s">
        <v>160</v>
      </c>
      <c r="B108" s="6">
        <v>1660</v>
      </c>
      <c r="C108" s="6">
        <v>1699</v>
      </c>
      <c r="D108" s="1">
        <v>0.02</v>
      </c>
      <c r="E108" t="s">
        <v>16703</v>
      </c>
      <c r="F108" t="s">
        <v>16703</v>
      </c>
      <c r="G108" t="str">
        <f t="shared" si="9"/>
        <v>Excellent</v>
      </c>
      <c r="H108" s="6">
        <f t="shared" si="10"/>
        <v>39</v>
      </c>
      <c r="J108" t="str">
        <f t="shared" si="11"/>
        <v>Low Discount</v>
      </c>
    </row>
    <row r="109" spans="1:10" x14ac:dyDescent="0.35">
      <c r="A109" s="4" t="s">
        <v>251</v>
      </c>
      <c r="B109" s="6">
        <v>1666</v>
      </c>
      <c r="C109" s="6">
        <v>1699</v>
      </c>
      <c r="D109" s="1">
        <v>0.02</v>
      </c>
      <c r="E109" t="s">
        <v>16703</v>
      </c>
      <c r="F109" t="s">
        <v>16703</v>
      </c>
      <c r="G109" t="str">
        <f t="shared" si="9"/>
        <v>Excellent</v>
      </c>
      <c r="H109" s="6">
        <f t="shared" si="10"/>
        <v>33</v>
      </c>
      <c r="J109" t="str">
        <f t="shared" si="11"/>
        <v>Low Discount</v>
      </c>
    </row>
    <row r="110" spans="1:10" x14ac:dyDescent="0.35">
      <c r="A110" s="4" t="s">
        <v>282</v>
      </c>
      <c r="B110" s="6">
        <v>1462</v>
      </c>
      <c r="C110" s="6">
        <v>1499</v>
      </c>
      <c r="D110" s="1">
        <v>0.02</v>
      </c>
      <c r="E110" t="s">
        <v>16703</v>
      </c>
      <c r="F110" t="s">
        <v>16703</v>
      </c>
      <c r="G110" t="str">
        <f t="shared" si="9"/>
        <v>Excellent</v>
      </c>
      <c r="H110" s="6">
        <f t="shared" si="10"/>
        <v>37</v>
      </c>
      <c r="J110" t="str">
        <f t="shared" si="11"/>
        <v>Low Discount</v>
      </c>
    </row>
    <row r="111" spans="1:10" x14ac:dyDescent="0.35">
      <c r="A111" s="4" t="s">
        <v>312</v>
      </c>
      <c r="B111" s="6">
        <v>1658</v>
      </c>
      <c r="C111" s="6">
        <v>1699</v>
      </c>
      <c r="D111" s="1">
        <v>0.02</v>
      </c>
      <c r="E111" t="s">
        <v>16703</v>
      </c>
      <c r="F111" t="s">
        <v>16703</v>
      </c>
      <c r="G111" t="str">
        <f t="shared" si="9"/>
        <v>Excellent</v>
      </c>
      <c r="H111" s="6">
        <f t="shared" si="10"/>
        <v>41</v>
      </c>
      <c r="J111" t="str">
        <f t="shared" si="11"/>
        <v>Low Discount</v>
      </c>
    </row>
    <row r="112" spans="1:10" x14ac:dyDescent="0.35">
      <c r="A112" s="4" t="s">
        <v>314</v>
      </c>
      <c r="B112" s="6">
        <v>1768</v>
      </c>
      <c r="C112" s="6">
        <v>1799</v>
      </c>
      <c r="D112" s="1">
        <v>0.02</v>
      </c>
      <c r="E112" t="s">
        <v>16703</v>
      </c>
      <c r="F112" t="s">
        <v>16703</v>
      </c>
      <c r="G112" t="str">
        <f t="shared" si="9"/>
        <v>Excellent</v>
      </c>
      <c r="H112" s="6">
        <f t="shared" si="10"/>
        <v>31</v>
      </c>
      <c r="J112" t="str">
        <f t="shared" si="11"/>
        <v>Low Discount</v>
      </c>
    </row>
    <row r="113" spans="1:10" x14ac:dyDescent="0.35">
      <c r="A113" s="4" t="s">
        <v>301</v>
      </c>
      <c r="B113" s="6">
        <v>1875</v>
      </c>
      <c r="C113" s="6">
        <v>1899</v>
      </c>
      <c r="D113" s="1">
        <v>0.01</v>
      </c>
      <c r="E113" t="s">
        <v>16703</v>
      </c>
      <c r="F113" t="s">
        <v>16703</v>
      </c>
      <c r="G113" t="str">
        <f t="shared" si="9"/>
        <v>Excellent</v>
      </c>
      <c r="H113" s="6">
        <f t="shared" si="10"/>
        <v>24</v>
      </c>
      <c r="J113" t="str">
        <f t="shared" si="11"/>
        <v>Low Discount</v>
      </c>
    </row>
  </sheetData>
  <sortState xmlns:xlrd2="http://schemas.microsoft.com/office/spreadsheetml/2017/richdata2" ref="A2:J118">
    <sortCondition descending="1" ref="D2:D118"/>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B570-F962-45DA-B4D9-1FE8A6AB21CB}">
  <dimension ref="A1:J113"/>
  <sheetViews>
    <sheetView topLeftCell="A106" workbookViewId="0">
      <selection activeCell="A120" sqref="A120"/>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16712</v>
      </c>
      <c r="H1" s="2" t="s">
        <v>16711</v>
      </c>
      <c r="I1" s="2" t="s">
        <v>16710</v>
      </c>
      <c r="J1" s="2" t="s">
        <v>16709</v>
      </c>
    </row>
    <row r="2" spans="1:10" x14ac:dyDescent="0.35">
      <c r="A2" s="4" t="s">
        <v>75</v>
      </c>
      <c r="B2" s="6">
        <v>1860</v>
      </c>
      <c r="C2" s="6">
        <v>3220</v>
      </c>
      <c r="D2" s="1">
        <v>0.42</v>
      </c>
      <c r="E2" t="s">
        <v>16703</v>
      </c>
      <c r="F2" t="s">
        <v>16703</v>
      </c>
      <c r="G2" t="str">
        <f t="shared" ref="G2:G33" si="0">IF(F2&lt;3,"Poor",IF(F2&lt;=4.5,"Average","Excellent"))</f>
        <v>Excellent</v>
      </c>
      <c r="H2" s="6">
        <f t="shared" ref="H2:H33" si="1">C2-B2</f>
        <v>1360</v>
      </c>
      <c r="J2" t="str">
        <f t="shared" ref="J2:J33" si="2">IF(D2&lt;20%,"Low Discount",IF(D2&lt;=40%,"Medium Discount","High Discount"))</f>
        <v>High Discount</v>
      </c>
    </row>
    <row r="3" spans="1:10" x14ac:dyDescent="0.35">
      <c r="A3" s="4" t="s">
        <v>99</v>
      </c>
      <c r="B3" s="6">
        <v>2200</v>
      </c>
      <c r="C3" s="6">
        <v>4080</v>
      </c>
      <c r="D3" s="1">
        <v>0.46</v>
      </c>
      <c r="E3" t="s">
        <v>16703</v>
      </c>
      <c r="F3" t="s">
        <v>16703</v>
      </c>
      <c r="G3" t="str">
        <f t="shared" si="0"/>
        <v>Excellent</v>
      </c>
      <c r="H3" s="6">
        <f t="shared" si="1"/>
        <v>1880</v>
      </c>
      <c r="J3" t="str">
        <f t="shared" si="2"/>
        <v>High Discount</v>
      </c>
    </row>
    <row r="4" spans="1:10" x14ac:dyDescent="0.35">
      <c r="A4" s="4" t="s">
        <v>128</v>
      </c>
      <c r="B4" s="6">
        <v>2750</v>
      </c>
      <c r="C4" s="6">
        <v>4471</v>
      </c>
      <c r="D4" s="1">
        <v>0.38</v>
      </c>
      <c r="E4" t="s">
        <v>16703</v>
      </c>
      <c r="F4" t="s">
        <v>16703</v>
      </c>
      <c r="G4" t="str">
        <f t="shared" si="0"/>
        <v>Excellent</v>
      </c>
      <c r="H4" s="6">
        <f t="shared" si="1"/>
        <v>1721</v>
      </c>
      <c r="J4" t="str">
        <f t="shared" si="2"/>
        <v>Medium Discount</v>
      </c>
    </row>
    <row r="5" spans="1:10" x14ac:dyDescent="0.35">
      <c r="A5" s="4" t="s">
        <v>131</v>
      </c>
      <c r="B5" s="6">
        <v>475</v>
      </c>
      <c r="C5" s="6">
        <v>931</v>
      </c>
      <c r="D5" s="1">
        <v>0.49</v>
      </c>
      <c r="E5" t="s">
        <v>16703</v>
      </c>
      <c r="F5" t="s">
        <v>16703</v>
      </c>
      <c r="G5" t="str">
        <f t="shared" si="0"/>
        <v>Excellent</v>
      </c>
      <c r="H5" s="6">
        <f t="shared" si="1"/>
        <v>456</v>
      </c>
      <c r="J5" t="str">
        <f t="shared" si="2"/>
        <v>High Discount</v>
      </c>
    </row>
    <row r="6" spans="1:10" x14ac:dyDescent="0.35">
      <c r="A6" s="4" t="s">
        <v>134</v>
      </c>
      <c r="B6" s="6">
        <v>238</v>
      </c>
      <c r="C6" s="6">
        <v>476</v>
      </c>
      <c r="D6" s="1">
        <v>0.5</v>
      </c>
      <c r="E6" t="s">
        <v>16703</v>
      </c>
      <c r="F6" t="s">
        <v>16703</v>
      </c>
      <c r="G6" t="str">
        <f t="shared" si="0"/>
        <v>Excellent</v>
      </c>
      <c r="H6" s="6">
        <f t="shared" si="1"/>
        <v>238</v>
      </c>
      <c r="J6" t="str">
        <f t="shared" si="2"/>
        <v>High Discount</v>
      </c>
    </row>
    <row r="7" spans="1:10" x14ac:dyDescent="0.35">
      <c r="A7" s="4" t="s">
        <v>137</v>
      </c>
      <c r="B7" s="6">
        <v>610</v>
      </c>
      <c r="C7" s="6">
        <v>1060</v>
      </c>
      <c r="D7" s="1">
        <v>0.42</v>
      </c>
      <c r="E7" t="s">
        <v>16703</v>
      </c>
      <c r="F7" t="s">
        <v>16703</v>
      </c>
      <c r="G7" t="str">
        <f t="shared" si="0"/>
        <v>Excellent</v>
      </c>
      <c r="H7" s="6">
        <f t="shared" si="1"/>
        <v>450</v>
      </c>
      <c r="J7" t="str">
        <f t="shared" si="2"/>
        <v>High Discount</v>
      </c>
    </row>
    <row r="8" spans="1:10" x14ac:dyDescent="0.35">
      <c r="A8" s="4" t="s">
        <v>140</v>
      </c>
      <c r="B8" s="6">
        <v>2132</v>
      </c>
      <c r="C8" s="6">
        <v>2169</v>
      </c>
      <c r="D8" s="1">
        <v>0.02</v>
      </c>
      <c r="E8" t="s">
        <v>16703</v>
      </c>
      <c r="F8" t="s">
        <v>16703</v>
      </c>
      <c r="G8" t="str">
        <f t="shared" si="0"/>
        <v>Excellent</v>
      </c>
      <c r="H8" s="6">
        <f t="shared" si="1"/>
        <v>37</v>
      </c>
      <c r="J8" t="str">
        <f t="shared" si="2"/>
        <v>Low Discount</v>
      </c>
    </row>
    <row r="9" spans="1:10" x14ac:dyDescent="0.35">
      <c r="A9" s="4" t="s">
        <v>143</v>
      </c>
      <c r="B9" s="6">
        <v>999</v>
      </c>
      <c r="C9" s="6">
        <v>2000</v>
      </c>
      <c r="D9" s="1">
        <v>0.5</v>
      </c>
      <c r="E9" t="s">
        <v>16703</v>
      </c>
      <c r="F9" t="s">
        <v>16703</v>
      </c>
      <c r="G9" t="str">
        <f t="shared" si="0"/>
        <v>Excellent</v>
      </c>
      <c r="H9" s="6">
        <f t="shared" si="1"/>
        <v>1001</v>
      </c>
      <c r="J9" t="str">
        <f t="shared" si="2"/>
        <v>High Discount</v>
      </c>
    </row>
    <row r="10" spans="1:10" x14ac:dyDescent="0.35">
      <c r="A10" s="4" t="s">
        <v>145</v>
      </c>
      <c r="B10" s="6">
        <v>1190</v>
      </c>
      <c r="C10" s="6">
        <v>1785</v>
      </c>
      <c r="D10" s="1">
        <v>0.33</v>
      </c>
      <c r="E10" t="s">
        <v>16703</v>
      </c>
      <c r="F10" t="s">
        <v>16703</v>
      </c>
      <c r="G10" t="str">
        <f t="shared" si="0"/>
        <v>Excellent</v>
      </c>
      <c r="H10" s="6">
        <f t="shared" si="1"/>
        <v>595</v>
      </c>
      <c r="J10" t="str">
        <f t="shared" si="2"/>
        <v>Medium Discount</v>
      </c>
    </row>
    <row r="11" spans="1:10" x14ac:dyDescent="0.35">
      <c r="A11" s="4" t="s">
        <v>148</v>
      </c>
      <c r="B11" s="6">
        <v>671</v>
      </c>
      <c r="C11" s="6">
        <v>1316</v>
      </c>
      <c r="D11" s="1">
        <v>0.49</v>
      </c>
      <c r="E11" t="s">
        <v>16703</v>
      </c>
      <c r="F11" t="s">
        <v>16703</v>
      </c>
      <c r="G11" t="str">
        <f t="shared" si="0"/>
        <v>Excellent</v>
      </c>
      <c r="H11" s="6">
        <f t="shared" si="1"/>
        <v>645</v>
      </c>
      <c r="J11" t="str">
        <f t="shared" si="2"/>
        <v>High Discount</v>
      </c>
    </row>
    <row r="12" spans="1:10" x14ac:dyDescent="0.35">
      <c r="A12" s="4" t="s">
        <v>151</v>
      </c>
      <c r="B12" s="6">
        <v>1200</v>
      </c>
      <c r="C12" s="6">
        <v>1950</v>
      </c>
      <c r="D12" s="1">
        <v>0.38</v>
      </c>
      <c r="E12" t="s">
        <v>16703</v>
      </c>
      <c r="F12" t="s">
        <v>16703</v>
      </c>
      <c r="G12" t="str">
        <f t="shared" si="0"/>
        <v>Excellent</v>
      </c>
      <c r="H12" s="6">
        <f t="shared" si="1"/>
        <v>750</v>
      </c>
      <c r="J12" t="str">
        <f t="shared" si="2"/>
        <v>Medium Discount</v>
      </c>
    </row>
    <row r="13" spans="1:10" x14ac:dyDescent="0.35">
      <c r="A13" s="4" t="s">
        <v>154</v>
      </c>
      <c r="B13" s="6">
        <v>199</v>
      </c>
      <c r="C13" s="6">
        <v>504</v>
      </c>
      <c r="D13" s="1">
        <v>0.61</v>
      </c>
      <c r="E13" t="s">
        <v>16703</v>
      </c>
      <c r="F13" t="s">
        <v>16703</v>
      </c>
      <c r="G13" t="str">
        <f t="shared" si="0"/>
        <v>Excellent</v>
      </c>
      <c r="H13" s="6">
        <f t="shared" si="1"/>
        <v>305</v>
      </c>
      <c r="J13" t="str">
        <f t="shared" si="2"/>
        <v>High Discount</v>
      </c>
    </row>
    <row r="14" spans="1:10" x14ac:dyDescent="0.35">
      <c r="A14" s="4" t="s">
        <v>157</v>
      </c>
      <c r="B14" s="6">
        <v>299</v>
      </c>
      <c r="C14" s="6">
        <v>600</v>
      </c>
      <c r="D14" s="1">
        <v>0.5</v>
      </c>
      <c r="E14" t="s">
        <v>16703</v>
      </c>
      <c r="F14" t="s">
        <v>16703</v>
      </c>
      <c r="G14" t="str">
        <f t="shared" si="0"/>
        <v>Excellent</v>
      </c>
      <c r="H14" s="6">
        <f t="shared" si="1"/>
        <v>301</v>
      </c>
      <c r="J14" t="str">
        <f t="shared" si="2"/>
        <v>High Discount</v>
      </c>
    </row>
    <row r="15" spans="1:10" x14ac:dyDescent="0.35">
      <c r="A15" s="4" t="s">
        <v>160</v>
      </c>
      <c r="B15" s="6">
        <v>1660</v>
      </c>
      <c r="C15" s="6">
        <v>1699</v>
      </c>
      <c r="D15" s="1">
        <v>0.02</v>
      </c>
      <c r="E15" t="s">
        <v>16703</v>
      </c>
      <c r="F15" t="s">
        <v>16703</v>
      </c>
      <c r="G15" t="str">
        <f t="shared" si="0"/>
        <v>Excellent</v>
      </c>
      <c r="H15" s="6">
        <f t="shared" si="1"/>
        <v>39</v>
      </c>
      <c r="J15" t="str">
        <f t="shared" si="2"/>
        <v>Low Discount</v>
      </c>
    </row>
    <row r="16" spans="1:10" x14ac:dyDescent="0.35">
      <c r="A16" s="4" t="s">
        <v>163</v>
      </c>
      <c r="B16" s="6">
        <v>299</v>
      </c>
      <c r="C16" s="6">
        <v>384</v>
      </c>
      <c r="D16" s="1">
        <v>0.22</v>
      </c>
      <c r="E16" t="s">
        <v>16703</v>
      </c>
      <c r="F16" t="s">
        <v>16703</v>
      </c>
      <c r="G16" t="str">
        <f t="shared" si="0"/>
        <v>Excellent</v>
      </c>
      <c r="H16" s="6">
        <f t="shared" si="1"/>
        <v>85</v>
      </c>
      <c r="J16" t="str">
        <f t="shared" si="2"/>
        <v>Medium Discount</v>
      </c>
    </row>
    <row r="17" spans="1:10" x14ac:dyDescent="0.35">
      <c r="A17" s="4" t="s">
        <v>165</v>
      </c>
      <c r="B17" s="6">
        <v>1459</v>
      </c>
      <c r="C17" s="6">
        <v>1499</v>
      </c>
      <c r="D17" s="1">
        <v>0.03</v>
      </c>
      <c r="E17" t="s">
        <v>16703</v>
      </c>
      <c r="F17" t="s">
        <v>16703</v>
      </c>
      <c r="G17" t="str">
        <f t="shared" si="0"/>
        <v>Excellent</v>
      </c>
      <c r="H17" s="6">
        <f t="shared" si="1"/>
        <v>40</v>
      </c>
      <c r="J17" t="str">
        <f t="shared" si="2"/>
        <v>Low Discount</v>
      </c>
    </row>
    <row r="18" spans="1:10" x14ac:dyDescent="0.35">
      <c r="A18" s="4" t="s">
        <v>168</v>
      </c>
      <c r="B18" s="6">
        <v>799</v>
      </c>
      <c r="C18" s="6">
        <v>1343</v>
      </c>
      <c r="D18" s="1">
        <v>0.41</v>
      </c>
      <c r="E18" t="s">
        <v>16703</v>
      </c>
      <c r="F18" t="s">
        <v>16703</v>
      </c>
      <c r="G18" t="str">
        <f t="shared" si="0"/>
        <v>Excellent</v>
      </c>
      <c r="H18" s="6">
        <f t="shared" si="1"/>
        <v>544</v>
      </c>
      <c r="J18" t="str">
        <f t="shared" si="2"/>
        <v>High Discount</v>
      </c>
    </row>
    <row r="19" spans="1:10" x14ac:dyDescent="0.35">
      <c r="A19" s="4" t="s">
        <v>170</v>
      </c>
      <c r="B19" s="6">
        <v>499</v>
      </c>
      <c r="C19" s="6">
        <v>900</v>
      </c>
      <c r="D19" s="1">
        <v>0.45</v>
      </c>
      <c r="E19" t="s">
        <v>16703</v>
      </c>
      <c r="F19" t="s">
        <v>16703</v>
      </c>
      <c r="G19" t="str">
        <f t="shared" si="0"/>
        <v>Excellent</v>
      </c>
      <c r="H19" s="6">
        <f t="shared" si="1"/>
        <v>401</v>
      </c>
      <c r="J19" t="str">
        <f t="shared" si="2"/>
        <v>High Discount</v>
      </c>
    </row>
    <row r="20" spans="1:10" x14ac:dyDescent="0.35">
      <c r="A20" s="4" t="s">
        <v>173</v>
      </c>
      <c r="B20" s="6">
        <v>699</v>
      </c>
      <c r="C20" s="6">
        <v>1343</v>
      </c>
      <c r="D20" s="1">
        <v>0.48</v>
      </c>
      <c r="E20" t="s">
        <v>16703</v>
      </c>
      <c r="F20" t="s">
        <v>16703</v>
      </c>
      <c r="G20" t="str">
        <f t="shared" si="0"/>
        <v>Excellent</v>
      </c>
      <c r="H20" s="6">
        <f t="shared" si="1"/>
        <v>644</v>
      </c>
      <c r="J20" t="str">
        <f t="shared" si="2"/>
        <v>High Discount</v>
      </c>
    </row>
    <row r="21" spans="1:10" x14ac:dyDescent="0.35">
      <c r="A21" s="4" t="s">
        <v>175</v>
      </c>
      <c r="B21" s="6">
        <v>799</v>
      </c>
      <c r="C21" s="6">
        <v>1567</v>
      </c>
      <c r="D21" s="1">
        <v>0.49</v>
      </c>
      <c r="E21" t="s">
        <v>16703</v>
      </c>
      <c r="F21" t="s">
        <v>16703</v>
      </c>
      <c r="G21" t="str">
        <f t="shared" si="0"/>
        <v>Excellent</v>
      </c>
      <c r="H21" s="6">
        <f t="shared" si="1"/>
        <v>768</v>
      </c>
      <c r="J21" t="str">
        <f t="shared" si="2"/>
        <v>High Discount</v>
      </c>
    </row>
    <row r="22" spans="1:10" x14ac:dyDescent="0.35">
      <c r="A22" s="4" t="s">
        <v>177</v>
      </c>
      <c r="B22" s="6">
        <v>2799</v>
      </c>
      <c r="C22" s="6">
        <v>3810</v>
      </c>
      <c r="D22" s="1">
        <v>0.27</v>
      </c>
      <c r="E22" t="s">
        <v>16703</v>
      </c>
      <c r="F22" t="s">
        <v>16703</v>
      </c>
      <c r="G22" t="str">
        <f t="shared" si="0"/>
        <v>Excellent</v>
      </c>
      <c r="H22" s="6">
        <f t="shared" si="1"/>
        <v>1011</v>
      </c>
      <c r="J22" t="str">
        <f t="shared" si="2"/>
        <v>Medium Discount</v>
      </c>
    </row>
    <row r="23" spans="1:10" x14ac:dyDescent="0.35">
      <c r="A23" s="4" t="s">
        <v>170</v>
      </c>
      <c r="B23" s="6">
        <v>399</v>
      </c>
      <c r="C23" s="6">
        <v>896</v>
      </c>
      <c r="D23" s="1">
        <v>0.55000000000000004</v>
      </c>
      <c r="E23" t="s">
        <v>16703</v>
      </c>
      <c r="F23" t="s">
        <v>16703</v>
      </c>
      <c r="G23" t="str">
        <f t="shared" si="0"/>
        <v>Excellent</v>
      </c>
      <c r="H23" s="6">
        <f t="shared" si="1"/>
        <v>497</v>
      </c>
      <c r="J23" t="str">
        <f t="shared" si="2"/>
        <v>High Discount</v>
      </c>
    </row>
    <row r="24" spans="1:10" x14ac:dyDescent="0.35">
      <c r="A24" s="4" t="s">
        <v>232</v>
      </c>
      <c r="B24" s="6">
        <v>790</v>
      </c>
      <c r="C24" s="6">
        <v>1485</v>
      </c>
      <c r="D24" s="1">
        <v>0.47</v>
      </c>
      <c r="E24" t="s">
        <v>16703</v>
      </c>
      <c r="F24" t="s">
        <v>16703</v>
      </c>
      <c r="G24" t="str">
        <f t="shared" si="0"/>
        <v>Excellent</v>
      </c>
      <c r="H24" s="6">
        <f t="shared" si="1"/>
        <v>695</v>
      </c>
      <c r="J24" t="str">
        <f t="shared" si="2"/>
        <v>High Discount</v>
      </c>
    </row>
    <row r="25" spans="1:10" x14ac:dyDescent="0.35">
      <c r="A25" s="4" t="s">
        <v>235</v>
      </c>
      <c r="B25" s="6">
        <v>690</v>
      </c>
      <c r="C25" s="6">
        <v>1200</v>
      </c>
      <c r="D25" s="1">
        <v>0.43</v>
      </c>
      <c r="E25" t="s">
        <v>16703</v>
      </c>
      <c r="F25" t="s">
        <v>16703</v>
      </c>
      <c r="G25" t="str">
        <f t="shared" si="0"/>
        <v>Excellent</v>
      </c>
      <c r="H25" s="6">
        <f t="shared" si="1"/>
        <v>510</v>
      </c>
      <c r="J25" t="str">
        <f t="shared" si="2"/>
        <v>High Discount</v>
      </c>
    </row>
    <row r="26" spans="1:10" x14ac:dyDescent="0.35">
      <c r="A26" s="4" t="s">
        <v>237</v>
      </c>
      <c r="B26" s="6">
        <v>1732</v>
      </c>
      <c r="C26" s="6">
        <v>1799</v>
      </c>
      <c r="D26" s="1">
        <v>0.04</v>
      </c>
      <c r="E26" t="s">
        <v>16703</v>
      </c>
      <c r="F26" t="s">
        <v>16703</v>
      </c>
      <c r="G26" t="str">
        <f t="shared" si="0"/>
        <v>Excellent</v>
      </c>
      <c r="H26" s="6">
        <f t="shared" si="1"/>
        <v>67</v>
      </c>
      <c r="J26" t="str">
        <f t="shared" si="2"/>
        <v>Low Discount</v>
      </c>
    </row>
    <row r="27" spans="1:10" x14ac:dyDescent="0.35">
      <c r="A27" s="4" t="s">
        <v>240</v>
      </c>
      <c r="B27" s="6">
        <v>230</v>
      </c>
      <c r="C27" s="6">
        <v>450</v>
      </c>
      <c r="D27" s="1">
        <v>0.49</v>
      </c>
      <c r="E27" t="s">
        <v>16703</v>
      </c>
      <c r="F27" t="s">
        <v>16703</v>
      </c>
      <c r="G27" t="str">
        <f t="shared" si="0"/>
        <v>Excellent</v>
      </c>
      <c r="H27" s="6">
        <f t="shared" si="1"/>
        <v>220</v>
      </c>
      <c r="J27" t="str">
        <f t="shared" si="2"/>
        <v>High Discount</v>
      </c>
    </row>
    <row r="28" spans="1:10" x14ac:dyDescent="0.35">
      <c r="A28" s="4" t="s">
        <v>248</v>
      </c>
      <c r="B28" s="6">
        <v>1460</v>
      </c>
      <c r="C28" s="6">
        <v>2290</v>
      </c>
      <c r="D28" s="1">
        <v>0.36</v>
      </c>
      <c r="E28" t="s">
        <v>16703</v>
      </c>
      <c r="F28" t="s">
        <v>16703</v>
      </c>
      <c r="G28" t="str">
        <f t="shared" si="0"/>
        <v>Excellent</v>
      </c>
      <c r="H28" s="6">
        <f t="shared" si="1"/>
        <v>830</v>
      </c>
      <c r="J28" t="str">
        <f t="shared" si="2"/>
        <v>Medium Discount</v>
      </c>
    </row>
    <row r="29" spans="1:10" x14ac:dyDescent="0.35">
      <c r="A29" s="4" t="s">
        <v>251</v>
      </c>
      <c r="B29" s="6">
        <v>1666</v>
      </c>
      <c r="C29" s="6">
        <v>1699</v>
      </c>
      <c r="D29" s="1">
        <v>0.02</v>
      </c>
      <c r="E29" t="s">
        <v>16703</v>
      </c>
      <c r="F29" t="s">
        <v>16703</v>
      </c>
      <c r="G29" t="str">
        <f t="shared" si="0"/>
        <v>Excellent</v>
      </c>
      <c r="H29" s="6">
        <f t="shared" si="1"/>
        <v>33</v>
      </c>
      <c r="J29" t="str">
        <f t="shared" si="2"/>
        <v>Low Discount</v>
      </c>
    </row>
    <row r="30" spans="1:10" x14ac:dyDescent="0.35">
      <c r="A30" s="4" t="s">
        <v>154</v>
      </c>
      <c r="B30" s="6">
        <v>176</v>
      </c>
      <c r="C30" s="6">
        <v>345</v>
      </c>
      <c r="D30" s="1">
        <v>0.49</v>
      </c>
      <c r="E30" t="s">
        <v>16703</v>
      </c>
      <c r="F30" t="s">
        <v>16703</v>
      </c>
      <c r="G30" t="str">
        <f t="shared" si="0"/>
        <v>Excellent</v>
      </c>
      <c r="H30" s="6">
        <f t="shared" si="1"/>
        <v>169</v>
      </c>
      <c r="J30" t="str">
        <f t="shared" si="2"/>
        <v>High Discount</v>
      </c>
    </row>
    <row r="31" spans="1:10" x14ac:dyDescent="0.35">
      <c r="A31" s="4" t="s">
        <v>256</v>
      </c>
      <c r="B31" s="6">
        <v>1466</v>
      </c>
      <c r="C31" s="6">
        <v>1699</v>
      </c>
      <c r="D31" s="1">
        <v>0.14000000000000001</v>
      </c>
      <c r="E31" t="s">
        <v>16703</v>
      </c>
      <c r="F31" t="s">
        <v>16703</v>
      </c>
      <c r="G31" t="str">
        <f t="shared" si="0"/>
        <v>Excellent</v>
      </c>
      <c r="H31" s="6">
        <f t="shared" si="1"/>
        <v>233</v>
      </c>
      <c r="J31" t="str">
        <f t="shared" si="2"/>
        <v>Low Discount</v>
      </c>
    </row>
    <row r="32" spans="1:10" x14ac:dyDescent="0.35">
      <c r="A32" s="4" t="s">
        <v>258</v>
      </c>
      <c r="B32" s="6">
        <v>274</v>
      </c>
      <c r="C32" s="6">
        <v>537</v>
      </c>
      <c r="D32" s="1">
        <v>0.49</v>
      </c>
      <c r="E32" t="s">
        <v>16703</v>
      </c>
      <c r="F32" t="s">
        <v>16703</v>
      </c>
      <c r="G32" t="str">
        <f t="shared" si="0"/>
        <v>Excellent</v>
      </c>
      <c r="H32" s="6">
        <f t="shared" si="1"/>
        <v>263</v>
      </c>
      <c r="J32" t="str">
        <f t="shared" si="2"/>
        <v>High Discount</v>
      </c>
    </row>
    <row r="33" spans="1:10" x14ac:dyDescent="0.35">
      <c r="A33" s="4" t="s">
        <v>261</v>
      </c>
      <c r="B33" s="6">
        <v>799</v>
      </c>
      <c r="C33" s="6">
        <v>900</v>
      </c>
      <c r="D33" s="1">
        <v>0.11</v>
      </c>
      <c r="E33" t="s">
        <v>16703</v>
      </c>
      <c r="F33" t="s">
        <v>16703</v>
      </c>
      <c r="G33" t="str">
        <f t="shared" si="0"/>
        <v>Excellent</v>
      </c>
      <c r="H33" s="6">
        <f t="shared" si="1"/>
        <v>101</v>
      </c>
      <c r="J33" t="str">
        <f t="shared" si="2"/>
        <v>Low Discount</v>
      </c>
    </row>
    <row r="34" spans="1:10" x14ac:dyDescent="0.35">
      <c r="A34" s="4" t="s">
        <v>175</v>
      </c>
      <c r="B34" s="6">
        <v>657</v>
      </c>
      <c r="C34" s="6">
        <v>1288</v>
      </c>
      <c r="D34" s="1">
        <v>0.49</v>
      </c>
      <c r="E34" t="s">
        <v>16703</v>
      </c>
      <c r="F34" t="s">
        <v>16703</v>
      </c>
      <c r="G34" t="str">
        <f t="shared" ref="G34:G65" si="3">IF(F34&lt;3,"Poor",IF(F34&lt;=4.5,"Average","Excellent"))</f>
        <v>Excellent</v>
      </c>
      <c r="H34" s="6">
        <f t="shared" ref="H34:H65" si="4">C34-B34</f>
        <v>631</v>
      </c>
      <c r="J34" t="str">
        <f t="shared" ref="J34:J65" si="5">IF(D34&lt;20%,"Low Discount",IF(D34&lt;=40%,"Medium Discount","High Discount"))</f>
        <v>High Discount</v>
      </c>
    </row>
    <row r="35" spans="1:10" x14ac:dyDescent="0.35">
      <c r="A35" s="4" t="s">
        <v>264</v>
      </c>
      <c r="B35" s="6">
        <v>1468</v>
      </c>
      <c r="C35" s="6">
        <v>1699</v>
      </c>
      <c r="D35" s="1">
        <v>0.14000000000000001</v>
      </c>
      <c r="E35" t="s">
        <v>16703</v>
      </c>
      <c r="F35" t="s">
        <v>16703</v>
      </c>
      <c r="G35" t="str">
        <f t="shared" si="3"/>
        <v>Excellent</v>
      </c>
      <c r="H35" s="6">
        <f t="shared" si="4"/>
        <v>231</v>
      </c>
      <c r="J35" t="str">
        <f t="shared" si="5"/>
        <v>Low Discount</v>
      </c>
    </row>
    <row r="36" spans="1:10" x14ac:dyDescent="0.35">
      <c r="A36" s="4" t="s">
        <v>266</v>
      </c>
      <c r="B36" s="6">
        <v>630</v>
      </c>
      <c r="C36" s="6">
        <v>1100</v>
      </c>
      <c r="D36" s="1">
        <v>0.43</v>
      </c>
      <c r="E36" t="s">
        <v>16703</v>
      </c>
      <c r="F36" t="s">
        <v>16703</v>
      </c>
      <c r="G36" t="str">
        <f t="shared" si="3"/>
        <v>Excellent</v>
      </c>
      <c r="H36" s="6">
        <f t="shared" si="4"/>
        <v>470</v>
      </c>
      <c r="J36" t="str">
        <f t="shared" si="5"/>
        <v>High Discount</v>
      </c>
    </row>
    <row r="37" spans="1:10" x14ac:dyDescent="0.35">
      <c r="A37" s="4" t="s">
        <v>269</v>
      </c>
      <c r="B37" s="6">
        <v>850</v>
      </c>
      <c r="C37" s="6">
        <v>1700</v>
      </c>
      <c r="D37" s="1">
        <v>0.5</v>
      </c>
      <c r="E37" t="s">
        <v>16703</v>
      </c>
      <c r="F37" t="s">
        <v>16703</v>
      </c>
      <c r="G37" t="str">
        <f t="shared" si="3"/>
        <v>Excellent</v>
      </c>
      <c r="H37" s="6">
        <f t="shared" si="4"/>
        <v>850</v>
      </c>
      <c r="J37" t="str">
        <f t="shared" si="5"/>
        <v>High Discount</v>
      </c>
    </row>
    <row r="38" spans="1:10" x14ac:dyDescent="0.35">
      <c r="A38" s="4" t="s">
        <v>272</v>
      </c>
      <c r="B38" s="6">
        <v>1300</v>
      </c>
      <c r="C38" s="6">
        <v>2500</v>
      </c>
      <c r="D38" s="1">
        <v>0.48</v>
      </c>
      <c r="E38" t="s">
        <v>16703</v>
      </c>
      <c r="F38" t="s">
        <v>16703</v>
      </c>
      <c r="G38" t="str">
        <f t="shared" si="3"/>
        <v>Excellent</v>
      </c>
      <c r="H38" s="6">
        <f t="shared" si="4"/>
        <v>1200</v>
      </c>
      <c r="J38" t="str">
        <f t="shared" si="5"/>
        <v>High Discount</v>
      </c>
    </row>
    <row r="39" spans="1:10" x14ac:dyDescent="0.35">
      <c r="A39" s="4" t="s">
        <v>274</v>
      </c>
      <c r="B39" s="6">
        <v>105</v>
      </c>
      <c r="C39" s="6">
        <v>200</v>
      </c>
      <c r="D39" s="1">
        <v>0.48</v>
      </c>
      <c r="E39" t="s">
        <v>16703</v>
      </c>
      <c r="F39" t="s">
        <v>16703</v>
      </c>
      <c r="G39" t="str">
        <f t="shared" si="3"/>
        <v>Excellent</v>
      </c>
      <c r="H39" s="6">
        <f t="shared" si="4"/>
        <v>95</v>
      </c>
      <c r="J39" t="str">
        <f t="shared" si="5"/>
        <v>High Discount</v>
      </c>
    </row>
    <row r="40" spans="1:10" x14ac:dyDescent="0.35">
      <c r="A40" s="4" t="s">
        <v>277</v>
      </c>
      <c r="B40" s="6">
        <v>899</v>
      </c>
      <c r="C40" s="6">
        <v>1699</v>
      </c>
      <c r="D40" s="1">
        <v>0.47</v>
      </c>
      <c r="E40" t="s">
        <v>16703</v>
      </c>
      <c r="F40" t="s">
        <v>16703</v>
      </c>
      <c r="G40" t="str">
        <f t="shared" si="3"/>
        <v>Excellent</v>
      </c>
      <c r="H40" s="6">
        <f t="shared" si="4"/>
        <v>800</v>
      </c>
      <c r="J40" t="str">
        <f t="shared" si="5"/>
        <v>High Discount</v>
      </c>
    </row>
    <row r="41" spans="1:10" x14ac:dyDescent="0.35">
      <c r="A41" s="4" t="s">
        <v>278</v>
      </c>
      <c r="B41" s="6">
        <v>1200</v>
      </c>
      <c r="C41" s="6">
        <v>2400</v>
      </c>
      <c r="D41" s="1">
        <v>0.5</v>
      </c>
      <c r="E41" t="s">
        <v>16703</v>
      </c>
      <c r="F41" t="s">
        <v>16703</v>
      </c>
      <c r="G41" t="str">
        <f t="shared" si="3"/>
        <v>Excellent</v>
      </c>
      <c r="H41" s="6">
        <f t="shared" si="4"/>
        <v>1200</v>
      </c>
      <c r="J41" t="str">
        <f t="shared" si="5"/>
        <v>High Discount</v>
      </c>
    </row>
    <row r="42" spans="1:10" x14ac:dyDescent="0.35">
      <c r="A42" s="4" t="s">
        <v>280</v>
      </c>
      <c r="B42" s="6">
        <v>1526</v>
      </c>
      <c r="C42" s="6">
        <v>1660</v>
      </c>
      <c r="D42" s="1">
        <v>0.08</v>
      </c>
      <c r="E42" t="s">
        <v>16703</v>
      </c>
      <c r="F42" t="s">
        <v>16703</v>
      </c>
      <c r="G42" t="str">
        <f t="shared" si="3"/>
        <v>Excellent</v>
      </c>
      <c r="H42" s="6">
        <f t="shared" si="4"/>
        <v>134</v>
      </c>
      <c r="J42" t="str">
        <f t="shared" si="5"/>
        <v>Low Discount</v>
      </c>
    </row>
    <row r="43" spans="1:10" x14ac:dyDescent="0.35">
      <c r="A43" s="4" t="s">
        <v>282</v>
      </c>
      <c r="B43" s="6">
        <v>1462</v>
      </c>
      <c r="C43" s="6">
        <v>1499</v>
      </c>
      <c r="D43" s="1">
        <v>0.02</v>
      </c>
      <c r="E43" t="s">
        <v>16703</v>
      </c>
      <c r="F43" t="s">
        <v>16703</v>
      </c>
      <c r="G43" t="str">
        <f t="shared" si="3"/>
        <v>Excellent</v>
      </c>
      <c r="H43" s="6">
        <f t="shared" si="4"/>
        <v>37</v>
      </c>
      <c r="J43" t="str">
        <f t="shared" si="5"/>
        <v>Low Discount</v>
      </c>
    </row>
    <row r="44" spans="1:10" x14ac:dyDescent="0.35">
      <c r="A44" s="4" t="s">
        <v>284</v>
      </c>
      <c r="B44" s="6">
        <v>248</v>
      </c>
      <c r="C44" s="6">
        <v>486</v>
      </c>
      <c r="D44" s="1">
        <v>0.49</v>
      </c>
      <c r="E44" t="s">
        <v>16703</v>
      </c>
      <c r="F44" t="s">
        <v>16703</v>
      </c>
      <c r="G44" t="str">
        <f t="shared" si="3"/>
        <v>Excellent</v>
      </c>
      <c r="H44" s="6">
        <f t="shared" si="4"/>
        <v>238</v>
      </c>
      <c r="J44" t="str">
        <f t="shared" si="5"/>
        <v>High Discount</v>
      </c>
    </row>
    <row r="45" spans="1:10" x14ac:dyDescent="0.35">
      <c r="A45" s="4" t="s">
        <v>287</v>
      </c>
      <c r="B45" s="6">
        <v>3546</v>
      </c>
      <c r="C45" s="6">
        <v>3699</v>
      </c>
      <c r="D45" s="1">
        <v>0.04</v>
      </c>
      <c r="E45" t="s">
        <v>16703</v>
      </c>
      <c r="F45" t="s">
        <v>16703</v>
      </c>
      <c r="G45" t="str">
        <f t="shared" si="3"/>
        <v>Excellent</v>
      </c>
      <c r="H45" s="6">
        <f t="shared" si="4"/>
        <v>153</v>
      </c>
      <c r="J45" t="str">
        <f t="shared" si="5"/>
        <v>Low Discount</v>
      </c>
    </row>
    <row r="46" spans="1:10" x14ac:dyDescent="0.35">
      <c r="A46" s="4" t="s">
        <v>289</v>
      </c>
      <c r="B46" s="6">
        <v>525</v>
      </c>
      <c r="C46" s="6">
        <v>1029</v>
      </c>
      <c r="D46" s="1">
        <v>0.49</v>
      </c>
      <c r="E46" t="s">
        <v>16703</v>
      </c>
      <c r="F46" t="s">
        <v>16703</v>
      </c>
      <c r="G46" t="str">
        <f t="shared" si="3"/>
        <v>Excellent</v>
      </c>
      <c r="H46" s="6">
        <f t="shared" si="4"/>
        <v>504</v>
      </c>
      <c r="J46" t="str">
        <f t="shared" si="5"/>
        <v>High Discount</v>
      </c>
    </row>
    <row r="47" spans="1:10" x14ac:dyDescent="0.35">
      <c r="A47" s="4" t="s">
        <v>292</v>
      </c>
      <c r="B47" s="6">
        <v>1080</v>
      </c>
      <c r="C47" s="6">
        <v>1874</v>
      </c>
      <c r="D47" s="1">
        <v>0.42</v>
      </c>
      <c r="E47" t="s">
        <v>16703</v>
      </c>
      <c r="F47" t="s">
        <v>16703</v>
      </c>
      <c r="G47" t="str">
        <f t="shared" si="3"/>
        <v>Excellent</v>
      </c>
      <c r="H47" s="6">
        <f t="shared" si="4"/>
        <v>794</v>
      </c>
      <c r="J47" t="str">
        <f t="shared" si="5"/>
        <v>High Discount</v>
      </c>
    </row>
    <row r="48" spans="1:10" x14ac:dyDescent="0.35">
      <c r="A48" s="4" t="s">
        <v>298</v>
      </c>
      <c r="B48" s="6">
        <v>1420</v>
      </c>
      <c r="C48" s="6">
        <v>2420</v>
      </c>
      <c r="D48" s="1">
        <v>0.41</v>
      </c>
      <c r="E48" t="s">
        <v>16703</v>
      </c>
      <c r="F48" t="s">
        <v>16703</v>
      </c>
      <c r="G48" t="str">
        <f t="shared" si="3"/>
        <v>Excellent</v>
      </c>
      <c r="H48" s="6">
        <f t="shared" si="4"/>
        <v>1000</v>
      </c>
      <c r="J48" t="str">
        <f t="shared" si="5"/>
        <v>High Discount</v>
      </c>
    </row>
    <row r="49" spans="1:10" x14ac:dyDescent="0.35">
      <c r="A49" s="4" t="s">
        <v>301</v>
      </c>
      <c r="B49" s="6">
        <v>1875</v>
      </c>
      <c r="C49" s="6">
        <v>1899</v>
      </c>
      <c r="D49" s="1">
        <v>0.01</v>
      </c>
      <c r="E49" t="s">
        <v>16703</v>
      </c>
      <c r="F49" t="s">
        <v>16703</v>
      </c>
      <c r="G49" t="str">
        <f t="shared" si="3"/>
        <v>Excellent</v>
      </c>
      <c r="H49" s="6">
        <f t="shared" si="4"/>
        <v>24</v>
      </c>
      <c r="J49" t="str">
        <f t="shared" si="5"/>
        <v>Low Discount</v>
      </c>
    </row>
    <row r="50" spans="1:10" x14ac:dyDescent="0.35">
      <c r="A50" s="4" t="s">
        <v>304</v>
      </c>
      <c r="B50" s="6">
        <v>198</v>
      </c>
      <c r="C50" s="6">
        <v>260</v>
      </c>
      <c r="D50" s="1">
        <v>0.24</v>
      </c>
      <c r="E50" t="s">
        <v>16703</v>
      </c>
      <c r="F50" t="s">
        <v>16703</v>
      </c>
      <c r="G50" t="str">
        <f t="shared" si="3"/>
        <v>Excellent</v>
      </c>
      <c r="H50" s="6">
        <f t="shared" si="4"/>
        <v>62</v>
      </c>
      <c r="J50" t="str">
        <f t="shared" si="5"/>
        <v>Medium Discount</v>
      </c>
    </row>
    <row r="51" spans="1:10" x14ac:dyDescent="0.35">
      <c r="A51" s="4" t="s">
        <v>307</v>
      </c>
      <c r="B51" s="6">
        <v>1150</v>
      </c>
      <c r="C51" s="6">
        <v>1737</v>
      </c>
      <c r="D51" s="1">
        <v>0.34</v>
      </c>
      <c r="E51" t="s">
        <v>16703</v>
      </c>
      <c r="F51" t="s">
        <v>16703</v>
      </c>
      <c r="G51" t="str">
        <f t="shared" si="3"/>
        <v>Excellent</v>
      </c>
      <c r="H51" s="6">
        <f t="shared" si="4"/>
        <v>587</v>
      </c>
      <c r="J51" t="str">
        <f t="shared" si="5"/>
        <v>Medium Discount</v>
      </c>
    </row>
    <row r="52" spans="1:10" x14ac:dyDescent="0.35">
      <c r="A52" s="4" t="s">
        <v>310</v>
      </c>
      <c r="B52" s="6">
        <v>1190</v>
      </c>
      <c r="C52" s="6">
        <v>1810</v>
      </c>
      <c r="D52" s="1">
        <v>0.34</v>
      </c>
      <c r="E52" t="s">
        <v>16703</v>
      </c>
      <c r="F52" t="s">
        <v>16703</v>
      </c>
      <c r="G52" t="str">
        <f t="shared" si="3"/>
        <v>Excellent</v>
      </c>
      <c r="H52" s="6">
        <f t="shared" si="4"/>
        <v>620</v>
      </c>
      <c r="J52" t="str">
        <f t="shared" si="5"/>
        <v>Medium Discount</v>
      </c>
    </row>
    <row r="53" spans="1:10" x14ac:dyDescent="0.35">
      <c r="A53" s="4" t="s">
        <v>312</v>
      </c>
      <c r="B53" s="6">
        <v>1658</v>
      </c>
      <c r="C53" s="6">
        <v>1699</v>
      </c>
      <c r="D53" s="1">
        <v>0.02</v>
      </c>
      <c r="E53" t="s">
        <v>16703</v>
      </c>
      <c r="F53" t="s">
        <v>16703</v>
      </c>
      <c r="G53" t="str">
        <f t="shared" si="3"/>
        <v>Excellent</v>
      </c>
      <c r="H53" s="6">
        <f t="shared" si="4"/>
        <v>41</v>
      </c>
      <c r="J53" t="str">
        <f t="shared" si="5"/>
        <v>Low Discount</v>
      </c>
    </row>
    <row r="54" spans="1:10" x14ac:dyDescent="0.35">
      <c r="A54" s="4" t="s">
        <v>314</v>
      </c>
      <c r="B54" s="6">
        <v>1768</v>
      </c>
      <c r="C54" s="6">
        <v>1799</v>
      </c>
      <c r="D54" s="1">
        <v>0.02</v>
      </c>
      <c r="E54" t="s">
        <v>16703</v>
      </c>
      <c r="F54" t="s">
        <v>16703</v>
      </c>
      <c r="G54" t="str">
        <f t="shared" si="3"/>
        <v>Excellent</v>
      </c>
      <c r="H54" s="6">
        <f t="shared" si="4"/>
        <v>31</v>
      </c>
      <c r="J54" t="str">
        <f t="shared" si="5"/>
        <v>Low Discount</v>
      </c>
    </row>
    <row r="55" spans="1:10" x14ac:dyDescent="0.35">
      <c r="A55" s="4" t="s">
        <v>316</v>
      </c>
      <c r="B55" s="6">
        <v>199</v>
      </c>
      <c r="C55" s="6">
        <v>553</v>
      </c>
      <c r="D55" s="1">
        <v>0.64</v>
      </c>
      <c r="E55" t="s">
        <v>16703</v>
      </c>
      <c r="F55" t="s">
        <v>16703</v>
      </c>
      <c r="G55" t="str">
        <f t="shared" si="3"/>
        <v>Excellent</v>
      </c>
      <c r="H55" s="6">
        <f t="shared" si="4"/>
        <v>354</v>
      </c>
      <c r="J55" t="str">
        <f t="shared" si="5"/>
        <v>High Discount</v>
      </c>
    </row>
    <row r="56" spans="1:10" x14ac:dyDescent="0.35">
      <c r="A56" s="4" t="s">
        <v>320</v>
      </c>
      <c r="B56" s="6">
        <v>169</v>
      </c>
      <c r="C56" s="6">
        <v>320</v>
      </c>
      <c r="D56" s="1">
        <v>0.47</v>
      </c>
      <c r="E56" t="s">
        <v>16703</v>
      </c>
      <c r="F56" t="s">
        <v>16703</v>
      </c>
      <c r="G56" t="str">
        <f t="shared" si="3"/>
        <v>Excellent</v>
      </c>
      <c r="H56" s="6">
        <f t="shared" si="4"/>
        <v>151</v>
      </c>
      <c r="J56" t="str">
        <f t="shared" si="5"/>
        <v>High Discount</v>
      </c>
    </row>
    <row r="57" spans="1:10" x14ac:dyDescent="0.35">
      <c r="A57" s="4" t="s">
        <v>194</v>
      </c>
      <c r="B57" s="6">
        <v>445</v>
      </c>
      <c r="C57" s="6">
        <v>873</v>
      </c>
      <c r="D57" s="1">
        <v>0.49</v>
      </c>
      <c r="E57">
        <v>69</v>
      </c>
      <c r="F57">
        <v>2.8</v>
      </c>
      <c r="G57" t="str">
        <f t="shared" si="3"/>
        <v>Poor</v>
      </c>
      <c r="H57" s="6">
        <f t="shared" si="4"/>
        <v>428</v>
      </c>
      <c r="J57" t="str">
        <f t="shared" si="5"/>
        <v>High Discount</v>
      </c>
    </row>
    <row r="58" spans="1:10" x14ac:dyDescent="0.35">
      <c r="A58" s="4" t="s">
        <v>30</v>
      </c>
      <c r="B58" s="6">
        <v>2319</v>
      </c>
      <c r="C58" s="6">
        <v>3032</v>
      </c>
      <c r="D58" s="1">
        <v>0.24</v>
      </c>
      <c r="E58">
        <v>55</v>
      </c>
      <c r="F58">
        <v>4.5999999999999996</v>
      </c>
      <c r="G58" t="str">
        <f t="shared" si="3"/>
        <v>Excellent</v>
      </c>
      <c r="H58" s="6">
        <f t="shared" si="4"/>
        <v>713</v>
      </c>
      <c r="J58" t="str">
        <f t="shared" si="5"/>
        <v>Medium Discount</v>
      </c>
    </row>
    <row r="59" spans="1:10" x14ac:dyDescent="0.35">
      <c r="A59" s="4" t="s">
        <v>89</v>
      </c>
      <c r="B59" s="6">
        <v>420</v>
      </c>
      <c r="C59" s="6">
        <v>647</v>
      </c>
      <c r="D59" s="1">
        <v>0.35</v>
      </c>
      <c r="E59">
        <v>49</v>
      </c>
      <c r="F59">
        <v>4.5999999999999996</v>
      </c>
      <c r="G59" t="str">
        <f t="shared" si="3"/>
        <v>Excellent</v>
      </c>
      <c r="H59" s="6">
        <f t="shared" si="4"/>
        <v>227</v>
      </c>
      <c r="J59" t="str">
        <f t="shared" si="5"/>
        <v>Medium Discount</v>
      </c>
    </row>
    <row r="60" spans="1:10" x14ac:dyDescent="0.35">
      <c r="A60" s="4" t="s">
        <v>68</v>
      </c>
      <c r="B60" s="6">
        <v>998</v>
      </c>
      <c r="C60" s="6">
        <v>1966</v>
      </c>
      <c r="D60" s="1">
        <v>0.49</v>
      </c>
      <c r="E60">
        <v>44</v>
      </c>
      <c r="F60">
        <v>4.5999999999999996</v>
      </c>
      <c r="G60" t="str">
        <f t="shared" si="3"/>
        <v>Excellent</v>
      </c>
      <c r="H60" s="6">
        <f t="shared" si="4"/>
        <v>968</v>
      </c>
      <c r="J60" t="str">
        <f t="shared" si="5"/>
        <v>High Discount</v>
      </c>
    </row>
    <row r="61" spans="1:10" x14ac:dyDescent="0.35">
      <c r="A61" s="4" t="s">
        <v>44</v>
      </c>
      <c r="B61" s="6">
        <v>990</v>
      </c>
      <c r="C61" s="6">
        <v>1500</v>
      </c>
      <c r="D61" s="1">
        <v>0.34</v>
      </c>
      <c r="E61">
        <v>39</v>
      </c>
      <c r="F61">
        <v>4.7</v>
      </c>
      <c r="G61" t="str">
        <f t="shared" si="3"/>
        <v>Excellent</v>
      </c>
      <c r="H61" s="6">
        <f t="shared" si="4"/>
        <v>510</v>
      </c>
      <c r="J61" t="str">
        <f t="shared" si="5"/>
        <v>Medium Discount</v>
      </c>
    </row>
    <row r="62" spans="1:10" x14ac:dyDescent="0.35">
      <c r="A62" s="4" t="s">
        <v>122</v>
      </c>
      <c r="B62" s="6">
        <v>389</v>
      </c>
      <c r="C62" s="6">
        <v>656</v>
      </c>
      <c r="D62" s="1">
        <v>0.41</v>
      </c>
      <c r="E62">
        <v>36</v>
      </c>
      <c r="F62">
        <v>4.3</v>
      </c>
      <c r="G62" t="str">
        <f t="shared" si="3"/>
        <v>Average</v>
      </c>
      <c r="H62" s="6">
        <f t="shared" si="4"/>
        <v>267</v>
      </c>
      <c r="J62" t="str">
        <f t="shared" si="5"/>
        <v>High Discount</v>
      </c>
    </row>
    <row r="63" spans="1:10" x14ac:dyDescent="0.35">
      <c r="A63" s="4" t="s">
        <v>114</v>
      </c>
      <c r="B63" s="6">
        <v>1980</v>
      </c>
      <c r="C63" s="6">
        <v>2699</v>
      </c>
      <c r="D63" s="1">
        <v>0.27</v>
      </c>
      <c r="E63">
        <v>32</v>
      </c>
      <c r="F63">
        <v>4.5</v>
      </c>
      <c r="G63" t="str">
        <f t="shared" si="3"/>
        <v>Average</v>
      </c>
      <c r="H63" s="6">
        <f t="shared" si="4"/>
        <v>719</v>
      </c>
      <c r="J63" t="str">
        <f t="shared" si="5"/>
        <v>Medium Discount</v>
      </c>
    </row>
    <row r="64" spans="1:10" x14ac:dyDescent="0.35">
      <c r="A64" s="4" t="s">
        <v>14</v>
      </c>
      <c r="B64" s="6">
        <v>2199</v>
      </c>
      <c r="C64" s="6">
        <v>2923</v>
      </c>
      <c r="D64" s="1">
        <v>0.25</v>
      </c>
      <c r="E64">
        <v>24</v>
      </c>
      <c r="F64">
        <v>4.5999999999999996</v>
      </c>
      <c r="G64" t="str">
        <f t="shared" si="3"/>
        <v>Excellent</v>
      </c>
      <c r="H64" s="6">
        <f t="shared" si="4"/>
        <v>724</v>
      </c>
      <c r="J64" t="str">
        <f t="shared" si="5"/>
        <v>Medium Discount</v>
      </c>
    </row>
    <row r="65" spans="1:10" x14ac:dyDescent="0.35">
      <c r="A65" s="4" t="s">
        <v>97</v>
      </c>
      <c r="B65" s="6">
        <v>1758</v>
      </c>
      <c r="C65" s="6">
        <v>2499</v>
      </c>
      <c r="D65" s="1">
        <v>0.3</v>
      </c>
      <c r="E65">
        <v>20</v>
      </c>
      <c r="F65">
        <v>4.0999999999999996</v>
      </c>
      <c r="G65" t="str">
        <f t="shared" si="3"/>
        <v>Average</v>
      </c>
      <c r="H65" s="6">
        <f t="shared" si="4"/>
        <v>741</v>
      </c>
      <c r="J65" t="str">
        <f t="shared" si="5"/>
        <v>Medium Discount</v>
      </c>
    </row>
    <row r="66" spans="1:10" x14ac:dyDescent="0.35">
      <c r="A66" s="4" t="s">
        <v>111</v>
      </c>
      <c r="B66" s="6">
        <v>1940</v>
      </c>
      <c r="C66" s="6">
        <v>2650</v>
      </c>
      <c r="D66" s="1">
        <v>0.27</v>
      </c>
      <c r="E66">
        <v>20</v>
      </c>
      <c r="F66">
        <v>4.7</v>
      </c>
      <c r="G66" t="str">
        <f t="shared" ref="G66:G97" si="6">IF(F66&lt;3,"Poor",IF(F66&lt;=4.5,"Average","Excellent"))</f>
        <v>Excellent</v>
      </c>
      <c r="H66" s="6">
        <f t="shared" ref="H66:H97" si="7">C66-B66</f>
        <v>710</v>
      </c>
      <c r="J66" t="str">
        <f t="shared" ref="J66:J97" si="8">IF(D66&lt;20%,"Low Discount",IF(D66&lt;=40%,"Medium Discount","High Discount"))</f>
        <v>Medium Discount</v>
      </c>
    </row>
    <row r="67" spans="1:10" x14ac:dyDescent="0.35">
      <c r="A67" s="4" t="s">
        <v>215</v>
      </c>
      <c r="B67" s="6">
        <v>382</v>
      </c>
      <c r="C67" s="6">
        <v>700</v>
      </c>
      <c r="D67" s="1">
        <v>0.45</v>
      </c>
      <c r="E67">
        <v>17</v>
      </c>
      <c r="F67">
        <v>2.6</v>
      </c>
      <c r="G67" t="str">
        <f t="shared" si="6"/>
        <v>Poor</v>
      </c>
      <c r="H67" s="6">
        <f t="shared" si="7"/>
        <v>318</v>
      </c>
      <c r="J67" t="str">
        <f t="shared" si="8"/>
        <v>High Discount</v>
      </c>
    </row>
    <row r="68" spans="1:10" x14ac:dyDescent="0.35">
      <c r="A68" s="4" t="s">
        <v>202</v>
      </c>
      <c r="B68" s="6">
        <v>1220</v>
      </c>
      <c r="C68" s="6">
        <v>1555</v>
      </c>
      <c r="D68" s="1">
        <v>0.22</v>
      </c>
      <c r="E68">
        <v>16</v>
      </c>
      <c r="F68">
        <v>2.9</v>
      </c>
      <c r="G68" t="str">
        <f t="shared" si="6"/>
        <v>Poor</v>
      </c>
      <c r="H68" s="6">
        <f t="shared" si="7"/>
        <v>335</v>
      </c>
      <c r="J68" t="str">
        <f t="shared" si="8"/>
        <v>Medium Discount</v>
      </c>
    </row>
    <row r="69" spans="1:10" x14ac:dyDescent="0.35">
      <c r="A69" s="4" t="s">
        <v>26</v>
      </c>
      <c r="B69" s="6">
        <v>2999</v>
      </c>
      <c r="C69" s="6">
        <v>3290</v>
      </c>
      <c r="D69" s="1">
        <v>0.09</v>
      </c>
      <c r="E69">
        <v>15</v>
      </c>
      <c r="F69">
        <v>4</v>
      </c>
      <c r="G69" t="str">
        <f t="shared" si="6"/>
        <v>Average</v>
      </c>
      <c r="H69" s="6">
        <f t="shared" si="7"/>
        <v>291</v>
      </c>
      <c r="J69" t="str">
        <f t="shared" si="8"/>
        <v>Low Discount</v>
      </c>
    </row>
    <row r="70" spans="1:10" x14ac:dyDescent="0.35">
      <c r="A70" s="4" t="s">
        <v>198</v>
      </c>
      <c r="B70" s="6">
        <v>325</v>
      </c>
      <c r="C70" s="6">
        <v>680</v>
      </c>
      <c r="D70" s="1">
        <v>0.52</v>
      </c>
      <c r="E70">
        <v>15</v>
      </c>
      <c r="F70">
        <v>2.7</v>
      </c>
      <c r="G70" t="str">
        <f t="shared" si="6"/>
        <v>Poor</v>
      </c>
      <c r="H70" s="6">
        <f t="shared" si="7"/>
        <v>355</v>
      </c>
      <c r="J70" t="str">
        <f t="shared" si="8"/>
        <v>High Discount</v>
      </c>
    </row>
    <row r="71" spans="1:10" x14ac:dyDescent="0.35">
      <c r="A71" s="4" t="s">
        <v>10</v>
      </c>
      <c r="B71" s="6">
        <v>527</v>
      </c>
      <c r="C71" s="6">
        <v>999</v>
      </c>
      <c r="D71" s="1">
        <v>0.47</v>
      </c>
      <c r="E71">
        <v>14</v>
      </c>
      <c r="F71">
        <v>4.0999999999999996</v>
      </c>
      <c r="G71" t="str">
        <f t="shared" si="6"/>
        <v>Average</v>
      </c>
      <c r="H71" s="6">
        <f t="shared" si="7"/>
        <v>472</v>
      </c>
      <c r="J71" t="str">
        <f t="shared" si="8"/>
        <v>High Discount</v>
      </c>
    </row>
    <row r="72" spans="1:10" x14ac:dyDescent="0.35">
      <c r="A72" s="4" t="s">
        <v>81</v>
      </c>
      <c r="B72" s="6">
        <v>1650</v>
      </c>
      <c r="C72" s="6">
        <v>2150</v>
      </c>
      <c r="D72" s="1">
        <v>0.23</v>
      </c>
      <c r="E72">
        <v>14</v>
      </c>
      <c r="F72">
        <v>4.4000000000000004</v>
      </c>
      <c r="G72" t="str">
        <f t="shared" si="6"/>
        <v>Average</v>
      </c>
      <c r="H72" s="6">
        <f t="shared" si="7"/>
        <v>500</v>
      </c>
      <c r="J72" t="str">
        <f t="shared" si="8"/>
        <v>Medium Discount</v>
      </c>
    </row>
    <row r="73" spans="1:10" x14ac:dyDescent="0.35">
      <c r="A73" s="4" t="s">
        <v>71</v>
      </c>
      <c r="B73" s="6">
        <v>38</v>
      </c>
      <c r="C73" s="6">
        <v>80</v>
      </c>
      <c r="D73" s="1">
        <v>0.53</v>
      </c>
      <c r="E73">
        <v>13</v>
      </c>
      <c r="F73">
        <v>3.3</v>
      </c>
      <c r="G73" t="str">
        <f t="shared" si="6"/>
        <v>Average</v>
      </c>
      <c r="H73" s="6">
        <f t="shared" si="7"/>
        <v>42</v>
      </c>
      <c r="J73" t="str">
        <f t="shared" si="8"/>
        <v>High Discount</v>
      </c>
    </row>
    <row r="74" spans="1:10" x14ac:dyDescent="0.35">
      <c r="A74" s="4" t="s">
        <v>95</v>
      </c>
      <c r="B74" s="6">
        <v>1350</v>
      </c>
      <c r="C74" s="6">
        <v>1990</v>
      </c>
      <c r="D74" s="1">
        <v>0.32</v>
      </c>
      <c r="E74">
        <v>13</v>
      </c>
      <c r="F74">
        <v>3.8</v>
      </c>
      <c r="G74" t="str">
        <f t="shared" si="6"/>
        <v>Average</v>
      </c>
      <c r="H74" s="6">
        <f t="shared" si="7"/>
        <v>640</v>
      </c>
      <c r="J74" t="str">
        <f t="shared" si="8"/>
        <v>Medium Discount</v>
      </c>
    </row>
    <row r="75" spans="1:10" x14ac:dyDescent="0.35">
      <c r="A75" s="4" t="s">
        <v>190</v>
      </c>
      <c r="B75" s="6">
        <v>2115</v>
      </c>
      <c r="C75" s="6">
        <v>4700</v>
      </c>
      <c r="D75" s="1">
        <v>0.55000000000000004</v>
      </c>
      <c r="E75">
        <v>13</v>
      </c>
      <c r="F75">
        <v>2.1</v>
      </c>
      <c r="G75" t="str">
        <f t="shared" si="6"/>
        <v>Poor</v>
      </c>
      <c r="H75" s="6">
        <f t="shared" si="7"/>
        <v>2585</v>
      </c>
      <c r="J75" t="str">
        <f t="shared" si="8"/>
        <v>High Discount</v>
      </c>
    </row>
    <row r="76" spans="1:10" x14ac:dyDescent="0.35">
      <c r="A76" s="4" t="s">
        <v>42</v>
      </c>
      <c r="B76" s="6">
        <v>799</v>
      </c>
      <c r="C76" s="6">
        <v>999</v>
      </c>
      <c r="D76" s="1">
        <v>0.2</v>
      </c>
      <c r="E76">
        <v>12</v>
      </c>
      <c r="F76">
        <v>4.0999999999999996</v>
      </c>
      <c r="G76" t="str">
        <f t="shared" si="6"/>
        <v>Average</v>
      </c>
      <c r="H76" s="6">
        <f t="shared" si="7"/>
        <v>200</v>
      </c>
      <c r="J76" t="str">
        <f t="shared" si="8"/>
        <v>Medium Discount</v>
      </c>
    </row>
    <row r="77" spans="1:10" x14ac:dyDescent="0.35">
      <c r="A77" s="4" t="s">
        <v>47</v>
      </c>
      <c r="B77" s="6">
        <v>552</v>
      </c>
      <c r="C77" s="6">
        <v>1035</v>
      </c>
      <c r="D77" s="1">
        <v>0.47</v>
      </c>
      <c r="E77">
        <v>12</v>
      </c>
      <c r="F77">
        <v>4.8</v>
      </c>
      <c r="G77" t="str">
        <f t="shared" si="6"/>
        <v>Excellent</v>
      </c>
      <c r="H77" s="6">
        <f t="shared" si="7"/>
        <v>483</v>
      </c>
      <c r="J77" t="str">
        <f t="shared" si="8"/>
        <v>High Discount</v>
      </c>
    </row>
    <row r="78" spans="1:10" x14ac:dyDescent="0.35">
      <c r="A78" s="4" t="s">
        <v>92</v>
      </c>
      <c r="B78" s="6">
        <v>2880</v>
      </c>
      <c r="C78" s="6">
        <v>3520</v>
      </c>
      <c r="D78" s="1">
        <v>0.18</v>
      </c>
      <c r="E78">
        <v>12</v>
      </c>
      <c r="F78">
        <v>3.8</v>
      </c>
      <c r="G78" t="str">
        <f t="shared" si="6"/>
        <v>Average</v>
      </c>
      <c r="H78" s="6">
        <f t="shared" si="7"/>
        <v>640</v>
      </c>
      <c r="J78" t="str">
        <f t="shared" si="8"/>
        <v>Low Discount</v>
      </c>
    </row>
    <row r="79" spans="1:10" x14ac:dyDescent="0.35">
      <c r="A79" s="4" t="s">
        <v>105</v>
      </c>
      <c r="B79" s="6">
        <v>980</v>
      </c>
      <c r="C79" s="6">
        <v>1490</v>
      </c>
      <c r="D79" s="1">
        <v>0.34</v>
      </c>
      <c r="E79">
        <v>12</v>
      </c>
      <c r="F79">
        <v>4.7</v>
      </c>
      <c r="G79" t="str">
        <f t="shared" si="6"/>
        <v>Excellent</v>
      </c>
      <c r="H79" s="6">
        <f t="shared" si="7"/>
        <v>510</v>
      </c>
      <c r="J79" t="str">
        <f t="shared" si="8"/>
        <v>Medium Discount</v>
      </c>
    </row>
    <row r="80" spans="1:10" x14ac:dyDescent="0.35">
      <c r="A80" s="4" t="s">
        <v>186</v>
      </c>
      <c r="B80" s="6">
        <v>458</v>
      </c>
      <c r="C80" s="6">
        <v>986</v>
      </c>
      <c r="D80" s="1">
        <v>0.54</v>
      </c>
      <c r="E80">
        <v>10</v>
      </c>
      <c r="F80">
        <v>3</v>
      </c>
      <c r="G80" t="str">
        <f t="shared" si="6"/>
        <v>Average</v>
      </c>
      <c r="H80" s="6">
        <f t="shared" si="7"/>
        <v>528</v>
      </c>
      <c r="J80" t="str">
        <f t="shared" si="8"/>
        <v>High Discount</v>
      </c>
    </row>
    <row r="81" spans="1:10" x14ac:dyDescent="0.35">
      <c r="A81" s="4" t="s">
        <v>53</v>
      </c>
      <c r="B81" s="6">
        <v>1680</v>
      </c>
      <c r="C81" s="6">
        <v>2499</v>
      </c>
      <c r="D81" s="1">
        <v>0.33</v>
      </c>
      <c r="E81">
        <v>9</v>
      </c>
      <c r="F81">
        <v>4.2</v>
      </c>
      <c r="G81" t="str">
        <f t="shared" si="6"/>
        <v>Average</v>
      </c>
      <c r="H81" s="6">
        <f t="shared" si="7"/>
        <v>819</v>
      </c>
      <c r="J81" t="str">
        <f t="shared" si="8"/>
        <v>Medium Discount</v>
      </c>
    </row>
    <row r="82" spans="1:10" x14ac:dyDescent="0.35">
      <c r="A82" s="4" t="s">
        <v>102</v>
      </c>
      <c r="B82" s="6">
        <v>185</v>
      </c>
      <c r="C82" s="6">
        <v>382</v>
      </c>
      <c r="D82" s="1">
        <v>0.52</v>
      </c>
      <c r="E82">
        <v>9</v>
      </c>
      <c r="F82">
        <v>4.3</v>
      </c>
      <c r="G82" t="str">
        <f t="shared" si="6"/>
        <v>Average</v>
      </c>
      <c r="H82" s="6">
        <f t="shared" si="7"/>
        <v>197</v>
      </c>
      <c r="J82" t="str">
        <f t="shared" si="8"/>
        <v>High Discount</v>
      </c>
    </row>
    <row r="83" spans="1:10" x14ac:dyDescent="0.35">
      <c r="A83" s="4" t="s">
        <v>108</v>
      </c>
      <c r="B83" s="6">
        <v>1820</v>
      </c>
      <c r="C83" s="6">
        <v>3490</v>
      </c>
      <c r="D83" s="1">
        <v>0.48</v>
      </c>
      <c r="E83">
        <v>9</v>
      </c>
      <c r="F83">
        <v>4.3</v>
      </c>
      <c r="G83" t="str">
        <f t="shared" si="6"/>
        <v>Average</v>
      </c>
      <c r="H83" s="6">
        <f t="shared" si="7"/>
        <v>1670</v>
      </c>
      <c r="J83" t="str">
        <f t="shared" si="8"/>
        <v>High Discount</v>
      </c>
    </row>
    <row r="84" spans="1:10" x14ac:dyDescent="0.35">
      <c r="A84" s="4" t="s">
        <v>18</v>
      </c>
      <c r="B84" s="6">
        <v>1580</v>
      </c>
      <c r="C84" s="6">
        <v>2499</v>
      </c>
      <c r="D84" s="1">
        <v>0.37</v>
      </c>
      <c r="E84">
        <v>7</v>
      </c>
      <c r="F84">
        <v>4.7</v>
      </c>
      <c r="G84" t="str">
        <f t="shared" si="6"/>
        <v>Excellent</v>
      </c>
      <c r="H84" s="6">
        <f t="shared" si="7"/>
        <v>919</v>
      </c>
      <c r="J84" t="str">
        <f t="shared" si="8"/>
        <v>Medium Discount</v>
      </c>
    </row>
    <row r="85" spans="1:10" x14ac:dyDescent="0.35">
      <c r="A85" s="4" t="s">
        <v>85</v>
      </c>
      <c r="B85" s="6">
        <v>2048</v>
      </c>
      <c r="C85" s="6">
        <v>4500</v>
      </c>
      <c r="D85" s="1">
        <v>0.54</v>
      </c>
      <c r="E85">
        <v>7</v>
      </c>
      <c r="F85">
        <v>4.3</v>
      </c>
      <c r="G85" t="str">
        <f t="shared" si="6"/>
        <v>Average</v>
      </c>
      <c r="H85" s="6">
        <f t="shared" si="7"/>
        <v>2452</v>
      </c>
      <c r="J85" t="str">
        <f t="shared" si="8"/>
        <v>High Discount</v>
      </c>
    </row>
    <row r="86" spans="1:10" x14ac:dyDescent="0.35">
      <c r="A86" s="4" t="s">
        <v>209</v>
      </c>
      <c r="B86" s="6">
        <v>1000</v>
      </c>
      <c r="C86" s="6">
        <v>2000</v>
      </c>
      <c r="D86" s="1">
        <v>0.5</v>
      </c>
      <c r="E86">
        <v>7</v>
      </c>
      <c r="F86">
        <v>2.2999999999999998</v>
      </c>
      <c r="G86" t="str">
        <f t="shared" si="6"/>
        <v>Poor</v>
      </c>
      <c r="H86" s="6">
        <f t="shared" si="7"/>
        <v>1000</v>
      </c>
      <c r="J86" t="str">
        <f t="shared" si="8"/>
        <v>High Discount</v>
      </c>
    </row>
    <row r="87" spans="1:10" x14ac:dyDescent="0.35">
      <c r="A87" s="4" t="s">
        <v>229</v>
      </c>
      <c r="B87" s="6">
        <v>1570</v>
      </c>
      <c r="C87" s="6">
        <v>2988</v>
      </c>
      <c r="D87" s="1">
        <v>0.47</v>
      </c>
      <c r="E87">
        <v>7</v>
      </c>
      <c r="F87">
        <v>2.1</v>
      </c>
      <c r="G87" t="str">
        <f t="shared" si="6"/>
        <v>Poor</v>
      </c>
      <c r="H87" s="6">
        <f t="shared" si="7"/>
        <v>1418</v>
      </c>
      <c r="J87" t="str">
        <f t="shared" si="8"/>
        <v>High Discount</v>
      </c>
    </row>
    <row r="88" spans="1:10" x14ac:dyDescent="0.35">
      <c r="A88" s="4" t="s">
        <v>50</v>
      </c>
      <c r="B88" s="6">
        <v>501</v>
      </c>
      <c r="C88" s="6">
        <v>860</v>
      </c>
      <c r="D88" s="1">
        <v>0.42</v>
      </c>
      <c r="E88">
        <v>6</v>
      </c>
      <c r="F88">
        <v>4.5</v>
      </c>
      <c r="G88" t="str">
        <f t="shared" si="6"/>
        <v>Average</v>
      </c>
      <c r="H88" s="6">
        <f t="shared" si="7"/>
        <v>359</v>
      </c>
      <c r="J88" t="str">
        <f t="shared" si="8"/>
        <v>High Discount</v>
      </c>
    </row>
    <row r="89" spans="1:10" x14ac:dyDescent="0.35">
      <c r="A89" s="4" t="s">
        <v>78</v>
      </c>
      <c r="B89" s="6">
        <v>880</v>
      </c>
      <c r="C89" s="6">
        <v>1350</v>
      </c>
      <c r="D89" s="1">
        <v>0.35</v>
      </c>
      <c r="E89">
        <v>6</v>
      </c>
      <c r="F89">
        <v>4</v>
      </c>
      <c r="G89" t="str">
        <f t="shared" si="6"/>
        <v>Average</v>
      </c>
      <c r="H89" s="6">
        <f t="shared" si="7"/>
        <v>470</v>
      </c>
      <c r="J89" t="str">
        <f t="shared" si="8"/>
        <v>Medium Discount</v>
      </c>
    </row>
    <row r="90" spans="1:10" x14ac:dyDescent="0.35">
      <c r="A90" s="4" t="s">
        <v>182</v>
      </c>
      <c r="B90" s="6">
        <v>2170</v>
      </c>
      <c r="C90" s="6">
        <v>2500</v>
      </c>
      <c r="D90" s="1">
        <v>0.13</v>
      </c>
      <c r="E90">
        <v>6</v>
      </c>
      <c r="F90">
        <v>2.5</v>
      </c>
      <c r="G90" t="str">
        <f t="shared" si="6"/>
        <v>Poor</v>
      </c>
      <c r="H90" s="6">
        <f t="shared" si="7"/>
        <v>330</v>
      </c>
      <c r="J90" t="str">
        <f t="shared" si="8"/>
        <v>Low Discount</v>
      </c>
    </row>
    <row r="91" spans="1:10" x14ac:dyDescent="0.35">
      <c r="A91" s="4" t="s">
        <v>206</v>
      </c>
      <c r="B91" s="6">
        <v>990</v>
      </c>
      <c r="C91" s="6">
        <v>1814</v>
      </c>
      <c r="D91" s="1">
        <v>0.45</v>
      </c>
      <c r="E91">
        <v>6</v>
      </c>
      <c r="F91">
        <v>2.2000000000000002</v>
      </c>
      <c r="G91" t="str">
        <f t="shared" si="6"/>
        <v>Poor</v>
      </c>
      <c r="H91" s="6">
        <f t="shared" si="7"/>
        <v>824</v>
      </c>
      <c r="J91" t="str">
        <f t="shared" si="8"/>
        <v>High Discount</v>
      </c>
    </row>
    <row r="92" spans="1:10" x14ac:dyDescent="0.35">
      <c r="A92" s="4" t="s">
        <v>221</v>
      </c>
      <c r="B92" s="6">
        <v>345</v>
      </c>
      <c r="C92" s="6">
        <v>602</v>
      </c>
      <c r="D92" s="1">
        <v>0.43</v>
      </c>
      <c r="E92">
        <v>6</v>
      </c>
      <c r="F92">
        <v>2.2999999999999998</v>
      </c>
      <c r="G92" t="str">
        <f t="shared" si="6"/>
        <v>Poor</v>
      </c>
      <c r="H92" s="6">
        <f t="shared" si="7"/>
        <v>257</v>
      </c>
      <c r="J92" t="str">
        <f t="shared" si="8"/>
        <v>High Discount</v>
      </c>
    </row>
    <row r="93" spans="1:10" x14ac:dyDescent="0.35">
      <c r="A93" s="4" t="s">
        <v>227</v>
      </c>
      <c r="B93" s="6">
        <v>968</v>
      </c>
      <c r="C93" s="6">
        <v>1814</v>
      </c>
      <c r="D93" s="1">
        <v>0.47</v>
      </c>
      <c r="E93">
        <v>6</v>
      </c>
      <c r="F93">
        <v>2.2000000000000002</v>
      </c>
      <c r="G93" t="str">
        <f t="shared" si="6"/>
        <v>Poor</v>
      </c>
      <c r="H93" s="6">
        <f t="shared" si="7"/>
        <v>846</v>
      </c>
      <c r="J93" t="str">
        <f t="shared" si="8"/>
        <v>High Discount</v>
      </c>
    </row>
    <row r="94" spans="1:10" x14ac:dyDescent="0.35">
      <c r="A94" s="4" t="s">
        <v>22</v>
      </c>
      <c r="B94" s="6">
        <v>1740</v>
      </c>
      <c r="C94" s="6">
        <v>2356</v>
      </c>
      <c r="D94" s="1">
        <v>0.26</v>
      </c>
      <c r="E94">
        <v>5</v>
      </c>
      <c r="F94">
        <v>4.8</v>
      </c>
      <c r="G94" t="str">
        <f t="shared" si="6"/>
        <v>Excellent</v>
      </c>
      <c r="H94" s="6">
        <f t="shared" si="7"/>
        <v>616</v>
      </c>
      <c r="J94" t="str">
        <f t="shared" si="8"/>
        <v>Medium Discount</v>
      </c>
    </row>
    <row r="95" spans="1:10" x14ac:dyDescent="0.35">
      <c r="A95" s="4" t="s">
        <v>35</v>
      </c>
      <c r="B95" s="6">
        <v>1274</v>
      </c>
      <c r="C95" s="6">
        <v>2800</v>
      </c>
      <c r="D95" s="1">
        <v>0.55000000000000004</v>
      </c>
      <c r="E95">
        <v>5</v>
      </c>
      <c r="F95">
        <v>4.8</v>
      </c>
      <c r="G95" t="str">
        <f t="shared" si="6"/>
        <v>Excellent</v>
      </c>
      <c r="H95" s="6">
        <f t="shared" si="7"/>
        <v>1526</v>
      </c>
      <c r="J95" t="str">
        <f t="shared" si="8"/>
        <v>High Discount</v>
      </c>
    </row>
    <row r="96" spans="1:10" x14ac:dyDescent="0.35">
      <c r="A96" s="4" t="s">
        <v>38</v>
      </c>
      <c r="B96" s="6">
        <v>1600</v>
      </c>
      <c r="C96" s="6">
        <v>2929</v>
      </c>
      <c r="D96" s="1">
        <v>0.45</v>
      </c>
      <c r="E96">
        <v>5</v>
      </c>
      <c r="F96">
        <v>3.8</v>
      </c>
      <c r="G96" t="str">
        <f t="shared" si="6"/>
        <v>Average</v>
      </c>
      <c r="H96" s="6">
        <f t="shared" si="7"/>
        <v>1329</v>
      </c>
      <c r="J96" t="str">
        <f t="shared" si="8"/>
        <v>High Discount</v>
      </c>
    </row>
    <row r="97" spans="1:10" x14ac:dyDescent="0.35">
      <c r="A97" s="4" t="s">
        <v>66</v>
      </c>
      <c r="B97" s="6">
        <v>2999</v>
      </c>
      <c r="C97" s="6">
        <v>3699</v>
      </c>
      <c r="D97" s="1">
        <v>0.19</v>
      </c>
      <c r="E97">
        <v>5</v>
      </c>
      <c r="F97">
        <v>4.5999999999999996</v>
      </c>
      <c r="G97" t="str">
        <f t="shared" si="6"/>
        <v>Excellent</v>
      </c>
      <c r="H97" s="6">
        <f t="shared" si="7"/>
        <v>700</v>
      </c>
      <c r="J97" t="str">
        <f t="shared" si="8"/>
        <v>Low Discount</v>
      </c>
    </row>
    <row r="98" spans="1:10" x14ac:dyDescent="0.35">
      <c r="A98" s="4" t="s">
        <v>212</v>
      </c>
      <c r="B98" s="6">
        <v>3750</v>
      </c>
      <c r="C98" s="6">
        <v>6143</v>
      </c>
      <c r="D98" s="1">
        <v>0.39</v>
      </c>
      <c r="E98">
        <v>5</v>
      </c>
      <c r="F98">
        <v>3</v>
      </c>
      <c r="G98" t="str">
        <f t="shared" ref="G98:G113" si="9">IF(F98&lt;3,"Poor",IF(F98&lt;=4.5,"Average","Excellent"))</f>
        <v>Average</v>
      </c>
      <c r="H98" s="6">
        <f t="shared" ref="H98:H113" si="10">C98-B98</f>
        <v>2393</v>
      </c>
      <c r="J98" t="str">
        <f t="shared" ref="J98:J113" si="11">IF(D98&lt;20%,"Low Discount",IF(D98&lt;=40%,"Medium Discount","High Discount"))</f>
        <v>Medium Discount</v>
      </c>
    </row>
    <row r="99" spans="1:10" x14ac:dyDescent="0.35">
      <c r="A99" s="4" t="s">
        <v>218</v>
      </c>
      <c r="B99" s="6">
        <v>2300</v>
      </c>
      <c r="C99" s="6">
        <v>3240</v>
      </c>
      <c r="D99" s="1">
        <v>0.28999999999999998</v>
      </c>
      <c r="E99">
        <v>5</v>
      </c>
      <c r="F99">
        <v>3</v>
      </c>
      <c r="G99" t="str">
        <f t="shared" si="9"/>
        <v>Average</v>
      </c>
      <c r="H99" s="6">
        <f t="shared" si="10"/>
        <v>940</v>
      </c>
      <c r="J99" t="str">
        <f t="shared" si="11"/>
        <v>Medium Discount</v>
      </c>
    </row>
    <row r="100" spans="1:10" x14ac:dyDescent="0.35">
      <c r="A100" s="4" t="s">
        <v>224</v>
      </c>
      <c r="B100" s="6">
        <v>509</v>
      </c>
      <c r="C100" s="6">
        <v>899</v>
      </c>
      <c r="D100" s="1">
        <v>0.43</v>
      </c>
      <c r="E100">
        <v>5</v>
      </c>
      <c r="F100">
        <v>3</v>
      </c>
      <c r="G100" t="str">
        <f t="shared" si="9"/>
        <v>Average</v>
      </c>
      <c r="H100" s="6">
        <f t="shared" si="10"/>
        <v>390</v>
      </c>
      <c r="J100" t="str">
        <f t="shared" si="11"/>
        <v>High Discount</v>
      </c>
    </row>
    <row r="101" spans="1:10" x14ac:dyDescent="0.35">
      <c r="A101" s="4" t="s">
        <v>63</v>
      </c>
      <c r="B101" s="6">
        <v>2025</v>
      </c>
      <c r="C101" s="6">
        <v>3971</v>
      </c>
      <c r="D101" s="1">
        <v>0.49</v>
      </c>
      <c r="E101">
        <v>3</v>
      </c>
      <c r="F101">
        <v>5</v>
      </c>
      <c r="G101" t="str">
        <f t="shared" si="9"/>
        <v>Excellent</v>
      </c>
      <c r="H101" s="6">
        <f t="shared" si="10"/>
        <v>1946</v>
      </c>
      <c r="J101" t="str">
        <f t="shared" si="11"/>
        <v>High Discount</v>
      </c>
    </row>
    <row r="102" spans="1:10" x14ac:dyDescent="0.35">
      <c r="A102" s="4" t="s">
        <v>6</v>
      </c>
      <c r="B102" s="6">
        <v>950</v>
      </c>
      <c r="C102" s="6">
        <v>1525</v>
      </c>
      <c r="D102" s="1">
        <v>0.38</v>
      </c>
      <c r="E102">
        <v>2</v>
      </c>
      <c r="F102">
        <v>4.5</v>
      </c>
      <c r="G102" t="str">
        <f t="shared" si="9"/>
        <v>Average</v>
      </c>
      <c r="H102" s="6">
        <f t="shared" si="10"/>
        <v>575</v>
      </c>
      <c r="J102" t="str">
        <f t="shared" si="11"/>
        <v>Medium Discount</v>
      </c>
    </row>
    <row r="103" spans="1:10" x14ac:dyDescent="0.35">
      <c r="A103" s="4" t="s">
        <v>33</v>
      </c>
      <c r="B103" s="6">
        <v>988</v>
      </c>
      <c r="C103" s="6">
        <v>1580</v>
      </c>
      <c r="D103" s="1">
        <v>0.37</v>
      </c>
      <c r="E103">
        <v>2</v>
      </c>
      <c r="F103">
        <v>4</v>
      </c>
      <c r="G103" t="str">
        <f t="shared" si="9"/>
        <v>Average</v>
      </c>
      <c r="H103" s="6">
        <f t="shared" si="10"/>
        <v>592</v>
      </c>
      <c r="J103" t="str">
        <f t="shared" si="11"/>
        <v>Medium Discount</v>
      </c>
    </row>
    <row r="104" spans="1:10" x14ac:dyDescent="0.35">
      <c r="A104" s="4" t="s">
        <v>56</v>
      </c>
      <c r="B104" s="6">
        <v>332</v>
      </c>
      <c r="C104" s="6">
        <v>684</v>
      </c>
      <c r="D104" s="1">
        <v>0.51</v>
      </c>
      <c r="E104">
        <v>2</v>
      </c>
      <c r="F104">
        <v>5</v>
      </c>
      <c r="G104" t="str">
        <f t="shared" si="9"/>
        <v>Excellent</v>
      </c>
      <c r="H104" s="6">
        <f t="shared" si="10"/>
        <v>352</v>
      </c>
      <c r="J104" t="str">
        <f t="shared" si="11"/>
        <v>High Discount</v>
      </c>
    </row>
    <row r="105" spans="1:10" x14ac:dyDescent="0.35">
      <c r="A105" s="4" t="s">
        <v>60</v>
      </c>
      <c r="B105" s="6">
        <v>195</v>
      </c>
      <c r="C105" s="6">
        <v>360</v>
      </c>
      <c r="D105" s="1">
        <v>0.46</v>
      </c>
      <c r="E105">
        <v>2</v>
      </c>
      <c r="F105">
        <v>5</v>
      </c>
      <c r="G105" t="str">
        <f t="shared" si="9"/>
        <v>Excellent</v>
      </c>
      <c r="H105" s="6">
        <f t="shared" si="10"/>
        <v>165</v>
      </c>
      <c r="J105" t="str">
        <f t="shared" si="11"/>
        <v>High Discount</v>
      </c>
    </row>
    <row r="106" spans="1:10" x14ac:dyDescent="0.35">
      <c r="A106" s="4" t="s">
        <v>120</v>
      </c>
      <c r="B106" s="6">
        <v>171</v>
      </c>
      <c r="C106" s="6">
        <v>360</v>
      </c>
      <c r="D106" s="1">
        <v>0.53</v>
      </c>
      <c r="E106">
        <v>2</v>
      </c>
      <c r="F106">
        <v>5</v>
      </c>
      <c r="G106" t="str">
        <f t="shared" si="9"/>
        <v>Excellent</v>
      </c>
      <c r="H106" s="6">
        <f t="shared" si="10"/>
        <v>189</v>
      </c>
      <c r="J106" t="str">
        <f t="shared" si="11"/>
        <v>High Discount</v>
      </c>
    </row>
    <row r="107" spans="1:10" x14ac:dyDescent="0.35">
      <c r="A107" s="4" t="s">
        <v>125</v>
      </c>
      <c r="B107" s="6">
        <v>1980</v>
      </c>
      <c r="C107" s="6">
        <v>3200</v>
      </c>
      <c r="D107" s="1">
        <v>0.38</v>
      </c>
      <c r="E107">
        <v>2</v>
      </c>
      <c r="F107">
        <v>4.5</v>
      </c>
      <c r="G107" t="str">
        <f t="shared" si="9"/>
        <v>Average</v>
      </c>
      <c r="H107" s="6">
        <f t="shared" si="10"/>
        <v>1220</v>
      </c>
      <c r="J107" t="str">
        <f t="shared" si="11"/>
        <v>Medium Discount</v>
      </c>
    </row>
    <row r="108" spans="1:10" x14ac:dyDescent="0.35">
      <c r="A108" s="4" t="s">
        <v>117</v>
      </c>
      <c r="B108" s="6">
        <v>1620</v>
      </c>
      <c r="C108" s="6">
        <v>2690</v>
      </c>
      <c r="D108" s="1">
        <v>0.4</v>
      </c>
      <c r="E108">
        <v>1</v>
      </c>
      <c r="F108">
        <v>5</v>
      </c>
      <c r="G108" t="str">
        <f t="shared" si="9"/>
        <v>Excellent</v>
      </c>
      <c r="H108" s="6">
        <f t="shared" si="10"/>
        <v>1070</v>
      </c>
      <c r="J108" t="str">
        <f t="shared" si="11"/>
        <v>Medium Discount</v>
      </c>
    </row>
    <row r="109" spans="1:10" x14ac:dyDescent="0.35">
      <c r="A109" s="4" t="s">
        <v>243</v>
      </c>
      <c r="B109" s="6">
        <v>1189</v>
      </c>
      <c r="C109" s="6">
        <v>2199</v>
      </c>
      <c r="D109" s="1">
        <v>0.46</v>
      </c>
      <c r="E109">
        <v>1</v>
      </c>
      <c r="F109">
        <v>3</v>
      </c>
      <c r="G109" t="str">
        <f t="shared" si="9"/>
        <v>Average</v>
      </c>
      <c r="H109" s="6">
        <f t="shared" si="10"/>
        <v>1010</v>
      </c>
      <c r="J109" t="str">
        <f t="shared" si="11"/>
        <v>High Discount</v>
      </c>
    </row>
    <row r="110" spans="1:10" x14ac:dyDescent="0.35">
      <c r="A110" s="4" t="s">
        <v>245</v>
      </c>
      <c r="B110" s="6">
        <v>979</v>
      </c>
      <c r="C110" s="6">
        <v>1920</v>
      </c>
      <c r="D110" s="1">
        <v>0.49</v>
      </c>
      <c r="E110">
        <v>1</v>
      </c>
      <c r="F110">
        <v>5</v>
      </c>
      <c r="G110" t="str">
        <f t="shared" si="9"/>
        <v>Excellent</v>
      </c>
      <c r="H110" s="6">
        <f t="shared" si="10"/>
        <v>941</v>
      </c>
      <c r="J110" t="str">
        <f t="shared" si="11"/>
        <v>High Discount</v>
      </c>
    </row>
    <row r="111" spans="1:10" x14ac:dyDescent="0.35">
      <c r="A111" s="4" t="s">
        <v>253</v>
      </c>
      <c r="B111" s="6">
        <v>330</v>
      </c>
      <c r="C111" s="6">
        <v>647</v>
      </c>
      <c r="D111" s="1">
        <v>0.49</v>
      </c>
      <c r="E111">
        <v>1</v>
      </c>
      <c r="F111">
        <v>4</v>
      </c>
      <c r="G111" t="str">
        <f t="shared" si="9"/>
        <v>Average</v>
      </c>
      <c r="H111" s="6">
        <f t="shared" si="10"/>
        <v>317</v>
      </c>
      <c r="J111" t="str">
        <f t="shared" si="11"/>
        <v>High Discount</v>
      </c>
    </row>
    <row r="112" spans="1:10" x14ac:dyDescent="0.35">
      <c r="A112" s="4" t="s">
        <v>295</v>
      </c>
      <c r="B112" s="6">
        <v>3640</v>
      </c>
      <c r="C112" s="6">
        <v>4588</v>
      </c>
      <c r="D112" s="1">
        <v>0.21</v>
      </c>
      <c r="E112">
        <v>1</v>
      </c>
      <c r="F112">
        <v>5</v>
      </c>
      <c r="G112" t="str">
        <f t="shared" si="9"/>
        <v>Excellent</v>
      </c>
      <c r="H112" s="6">
        <f t="shared" si="10"/>
        <v>948</v>
      </c>
      <c r="J112" t="str">
        <f t="shared" si="11"/>
        <v>Medium Discount</v>
      </c>
    </row>
    <row r="113" spans="1:10" x14ac:dyDescent="0.35">
      <c r="A113" s="4" t="s">
        <v>318</v>
      </c>
      <c r="B113" s="6">
        <v>450</v>
      </c>
      <c r="C113" s="6">
        <v>900</v>
      </c>
      <c r="D113" s="1">
        <v>0.5</v>
      </c>
      <c r="E113">
        <v>1</v>
      </c>
      <c r="F113">
        <v>2</v>
      </c>
      <c r="G113" t="str">
        <f t="shared" si="9"/>
        <v>Poor</v>
      </c>
      <c r="H113" s="6">
        <f t="shared" si="10"/>
        <v>450</v>
      </c>
      <c r="J113" t="str">
        <f t="shared" si="11"/>
        <v>High Discount</v>
      </c>
    </row>
  </sheetData>
  <sortState xmlns:xlrd2="http://schemas.microsoft.com/office/spreadsheetml/2017/richdata2" ref="A2:J113">
    <sortCondition descending="1" ref="E2:E113"/>
  </sortState>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8C8B8-F742-4F19-B536-6AD17463CEF3}">
  <dimension ref="A1:AJ3"/>
  <sheetViews>
    <sheetView topLeftCell="B1" zoomScale="57" workbookViewId="0">
      <selection activeCell="R35" sqref="R35"/>
    </sheetView>
  </sheetViews>
  <sheetFormatPr defaultRowHeight="14.5" x14ac:dyDescent="0.35"/>
  <sheetData>
    <row r="1" spans="1:36" ht="14.5" customHeight="1" x14ac:dyDescent="0.35">
      <c r="A1" s="16" t="s">
        <v>16738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5"/>
      <c r="AJ1" s="15"/>
    </row>
    <row r="2" spans="1:36" x14ac:dyDescent="0.3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5"/>
      <c r="AJ2" s="15"/>
    </row>
    <row r="3" spans="1:36" x14ac:dyDescent="0.3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5"/>
      <c r="AJ3" s="15"/>
    </row>
  </sheetData>
  <mergeCells count="1">
    <mergeCell ref="A1:AH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D38F-4B14-44B4-B647-25EC5570FCE5}">
  <dimension ref="A3:B114"/>
  <sheetViews>
    <sheetView topLeftCell="A4" workbookViewId="0">
      <selection activeCell="B3" sqref="B3"/>
    </sheetView>
  </sheetViews>
  <sheetFormatPr defaultRowHeight="14.5" x14ac:dyDescent="0.35"/>
  <cols>
    <col min="1" max="1" width="86.1796875" bestFit="1" customWidth="1"/>
    <col min="2" max="2" width="12.90625" bestFit="1" customWidth="1"/>
    <col min="3" max="10" width="3.81640625" bestFit="1" customWidth="1"/>
    <col min="11" max="11" width="1.81640625" bestFit="1" customWidth="1"/>
    <col min="12" max="13" width="3.81640625" bestFit="1" customWidth="1"/>
    <col min="14" max="14" width="11.81640625" bestFit="1" customWidth="1"/>
    <col min="15" max="15" width="1.81640625" bestFit="1" customWidth="1"/>
    <col min="16" max="23" width="3.81640625" bestFit="1" customWidth="1"/>
    <col min="24" max="24" width="1.81640625" bestFit="1" customWidth="1"/>
    <col min="25" max="25" width="4.08984375" bestFit="1" customWidth="1"/>
    <col min="26" max="26" width="6.81640625" bestFit="1" customWidth="1"/>
    <col min="27" max="27" width="10.36328125" bestFit="1" customWidth="1"/>
  </cols>
  <sheetData>
    <row r="3" spans="1:2" x14ac:dyDescent="0.35">
      <c r="A3" s="10" t="s">
        <v>16722</v>
      </c>
      <c r="B3" t="s">
        <v>16735</v>
      </c>
    </row>
    <row r="4" spans="1:2" x14ac:dyDescent="0.35">
      <c r="A4" s="11" t="s">
        <v>125</v>
      </c>
      <c r="B4" s="12">
        <v>4.5</v>
      </c>
    </row>
    <row r="5" spans="1:2" x14ac:dyDescent="0.35">
      <c r="A5" s="11" t="s">
        <v>44</v>
      </c>
      <c r="B5" s="12">
        <v>4.7</v>
      </c>
    </row>
    <row r="6" spans="1:2" x14ac:dyDescent="0.35">
      <c r="A6" s="11" t="s">
        <v>6</v>
      </c>
      <c r="B6" s="12">
        <v>4.5</v>
      </c>
    </row>
    <row r="7" spans="1:2" x14ac:dyDescent="0.35">
      <c r="A7" s="11" t="s">
        <v>95</v>
      </c>
      <c r="B7" s="12">
        <v>3.8</v>
      </c>
    </row>
    <row r="8" spans="1:2" x14ac:dyDescent="0.35">
      <c r="A8" s="11" t="s">
        <v>105</v>
      </c>
      <c r="B8" s="12">
        <v>4.7</v>
      </c>
    </row>
    <row r="9" spans="1:2" x14ac:dyDescent="0.35">
      <c r="A9" s="11" t="s">
        <v>194</v>
      </c>
      <c r="B9" s="12">
        <v>2.8</v>
      </c>
    </row>
    <row r="10" spans="1:2" x14ac:dyDescent="0.35">
      <c r="A10" s="11" t="s">
        <v>177</v>
      </c>
      <c r="B10" s="12">
        <v>0</v>
      </c>
    </row>
    <row r="11" spans="1:2" x14ac:dyDescent="0.35">
      <c r="A11" s="11" t="s">
        <v>38</v>
      </c>
      <c r="B11" s="12">
        <v>3.8</v>
      </c>
    </row>
    <row r="12" spans="1:2" x14ac:dyDescent="0.35">
      <c r="A12" s="11" t="s">
        <v>30</v>
      </c>
      <c r="B12" s="12">
        <v>4.5999999999999996</v>
      </c>
    </row>
    <row r="13" spans="1:2" x14ac:dyDescent="0.35">
      <c r="A13" s="11" t="s">
        <v>304</v>
      </c>
      <c r="B13" s="12">
        <v>0</v>
      </c>
    </row>
    <row r="14" spans="1:2" x14ac:dyDescent="0.35">
      <c r="A14" s="11" t="s">
        <v>251</v>
      </c>
      <c r="B14" s="12">
        <v>0</v>
      </c>
    </row>
    <row r="15" spans="1:2" x14ac:dyDescent="0.35">
      <c r="A15" s="11" t="s">
        <v>26</v>
      </c>
      <c r="B15" s="12">
        <v>4</v>
      </c>
    </row>
    <row r="16" spans="1:2" x14ac:dyDescent="0.35">
      <c r="A16" s="11" t="s">
        <v>301</v>
      </c>
      <c r="B16" s="12">
        <v>0</v>
      </c>
    </row>
    <row r="17" spans="1:2" x14ac:dyDescent="0.35">
      <c r="A17" s="11" t="s">
        <v>278</v>
      </c>
      <c r="B17" s="12">
        <v>0</v>
      </c>
    </row>
    <row r="18" spans="1:2" x14ac:dyDescent="0.35">
      <c r="A18" s="11" t="s">
        <v>151</v>
      </c>
      <c r="B18" s="12">
        <v>0</v>
      </c>
    </row>
    <row r="19" spans="1:2" x14ac:dyDescent="0.35">
      <c r="A19" s="11" t="s">
        <v>232</v>
      </c>
      <c r="B19" s="12">
        <v>0</v>
      </c>
    </row>
    <row r="20" spans="1:2" x14ac:dyDescent="0.35">
      <c r="A20" s="11" t="s">
        <v>212</v>
      </c>
      <c r="B20" s="12">
        <v>3</v>
      </c>
    </row>
    <row r="21" spans="1:2" x14ac:dyDescent="0.35">
      <c r="A21" s="11" t="s">
        <v>209</v>
      </c>
      <c r="B21" s="12">
        <v>2.2999999999999998</v>
      </c>
    </row>
    <row r="22" spans="1:2" x14ac:dyDescent="0.35">
      <c r="A22" s="11" t="s">
        <v>68</v>
      </c>
      <c r="B22" s="12">
        <v>4.5999999999999996</v>
      </c>
    </row>
    <row r="23" spans="1:2" x14ac:dyDescent="0.35">
      <c r="A23" s="11" t="s">
        <v>235</v>
      </c>
      <c r="B23" s="12">
        <v>0</v>
      </c>
    </row>
    <row r="24" spans="1:2" x14ac:dyDescent="0.35">
      <c r="A24" s="11" t="s">
        <v>71</v>
      </c>
      <c r="B24" s="12">
        <v>3.3</v>
      </c>
    </row>
    <row r="25" spans="1:2" x14ac:dyDescent="0.35">
      <c r="A25" s="11" t="s">
        <v>284</v>
      </c>
      <c r="B25" s="12">
        <v>0</v>
      </c>
    </row>
    <row r="26" spans="1:2" x14ac:dyDescent="0.35">
      <c r="A26" s="11" t="s">
        <v>47</v>
      </c>
      <c r="B26" s="12">
        <v>4.8</v>
      </c>
    </row>
    <row r="27" spans="1:2" x14ac:dyDescent="0.35">
      <c r="A27" s="11" t="s">
        <v>131</v>
      </c>
      <c r="B27" s="12">
        <v>0</v>
      </c>
    </row>
    <row r="28" spans="1:2" x14ac:dyDescent="0.35">
      <c r="A28" s="11" t="s">
        <v>75</v>
      </c>
      <c r="B28" s="12">
        <v>0</v>
      </c>
    </row>
    <row r="29" spans="1:2" x14ac:dyDescent="0.35">
      <c r="A29" s="11" t="s">
        <v>182</v>
      </c>
      <c r="B29" s="12">
        <v>2.5</v>
      </c>
    </row>
    <row r="30" spans="1:2" x14ac:dyDescent="0.35">
      <c r="A30" s="11" t="s">
        <v>97</v>
      </c>
      <c r="B30" s="12">
        <v>4.0999999999999996</v>
      </c>
    </row>
    <row r="31" spans="1:2" x14ac:dyDescent="0.35">
      <c r="A31" s="11" t="s">
        <v>114</v>
      </c>
      <c r="B31" s="12">
        <v>4.5</v>
      </c>
    </row>
    <row r="32" spans="1:2" x14ac:dyDescent="0.35">
      <c r="A32" s="11" t="s">
        <v>111</v>
      </c>
      <c r="B32" s="12">
        <v>4.7</v>
      </c>
    </row>
    <row r="33" spans="1:2" x14ac:dyDescent="0.35">
      <c r="A33" s="11" t="s">
        <v>248</v>
      </c>
      <c r="B33" s="12">
        <v>0</v>
      </c>
    </row>
    <row r="34" spans="1:2" x14ac:dyDescent="0.35">
      <c r="A34" s="11" t="s">
        <v>190</v>
      </c>
      <c r="B34" s="12">
        <v>2.1</v>
      </c>
    </row>
    <row r="35" spans="1:2" x14ac:dyDescent="0.35">
      <c r="A35" s="11" t="s">
        <v>316</v>
      </c>
      <c r="B35" s="12">
        <v>0</v>
      </c>
    </row>
    <row r="36" spans="1:2" x14ac:dyDescent="0.35">
      <c r="A36" s="11" t="s">
        <v>277</v>
      </c>
      <c r="B36" s="12">
        <v>0</v>
      </c>
    </row>
    <row r="37" spans="1:2" x14ac:dyDescent="0.35">
      <c r="A37" s="11" t="s">
        <v>145</v>
      </c>
      <c r="B37" s="12">
        <v>0</v>
      </c>
    </row>
    <row r="38" spans="1:2" x14ac:dyDescent="0.35">
      <c r="A38" s="11" t="s">
        <v>240</v>
      </c>
      <c r="B38" s="12">
        <v>0</v>
      </c>
    </row>
    <row r="39" spans="1:2" x14ac:dyDescent="0.35">
      <c r="A39" s="11" t="s">
        <v>227</v>
      </c>
      <c r="B39" s="12">
        <v>2.2000000000000002</v>
      </c>
    </row>
    <row r="40" spans="1:2" x14ac:dyDescent="0.35">
      <c r="A40" s="11" t="s">
        <v>292</v>
      </c>
      <c r="B40" s="12">
        <v>0</v>
      </c>
    </row>
    <row r="41" spans="1:2" x14ac:dyDescent="0.35">
      <c r="A41" s="11" t="s">
        <v>298</v>
      </c>
      <c r="B41" s="12">
        <v>0</v>
      </c>
    </row>
    <row r="42" spans="1:2" x14ac:dyDescent="0.35">
      <c r="A42" s="11" t="s">
        <v>215</v>
      </c>
      <c r="B42" s="12">
        <v>2.6</v>
      </c>
    </row>
    <row r="43" spans="1:2" x14ac:dyDescent="0.35">
      <c r="A43" s="11" t="s">
        <v>175</v>
      </c>
      <c r="B43" s="12">
        <v>0</v>
      </c>
    </row>
    <row r="44" spans="1:2" x14ac:dyDescent="0.35">
      <c r="A44" s="11" t="s">
        <v>56</v>
      </c>
      <c r="B44" s="12">
        <v>5</v>
      </c>
    </row>
    <row r="45" spans="1:2" x14ac:dyDescent="0.35">
      <c r="A45" s="11" t="s">
        <v>206</v>
      </c>
      <c r="B45" s="12">
        <v>2.2000000000000002</v>
      </c>
    </row>
    <row r="46" spans="1:2" x14ac:dyDescent="0.35">
      <c r="A46" s="11" t="s">
        <v>289</v>
      </c>
      <c r="B46" s="12">
        <v>0</v>
      </c>
    </row>
    <row r="47" spans="1:2" x14ac:dyDescent="0.35">
      <c r="A47" s="11" t="s">
        <v>137</v>
      </c>
      <c r="B47" s="12">
        <v>0</v>
      </c>
    </row>
    <row r="48" spans="1:2" x14ac:dyDescent="0.35">
      <c r="A48" s="11" t="s">
        <v>245</v>
      </c>
      <c r="B48" s="12">
        <v>5</v>
      </c>
    </row>
    <row r="49" spans="1:2" x14ac:dyDescent="0.35">
      <c r="A49" s="11" t="s">
        <v>320</v>
      </c>
      <c r="B49" s="12">
        <v>0</v>
      </c>
    </row>
    <row r="50" spans="1:2" x14ac:dyDescent="0.35">
      <c r="A50" s="11" t="s">
        <v>157</v>
      </c>
      <c r="B50" s="12">
        <v>0</v>
      </c>
    </row>
    <row r="51" spans="1:2" x14ac:dyDescent="0.35">
      <c r="A51" s="11" t="s">
        <v>148</v>
      </c>
      <c r="B51" s="12">
        <v>0</v>
      </c>
    </row>
    <row r="52" spans="1:2" x14ac:dyDescent="0.35">
      <c r="A52" s="11" t="s">
        <v>258</v>
      </c>
      <c r="B52" s="12">
        <v>0</v>
      </c>
    </row>
    <row r="53" spans="1:2" x14ac:dyDescent="0.35">
      <c r="A53" s="11" t="s">
        <v>310</v>
      </c>
      <c r="B53" s="12">
        <v>0</v>
      </c>
    </row>
    <row r="54" spans="1:2" x14ac:dyDescent="0.35">
      <c r="A54" s="11" t="s">
        <v>143</v>
      </c>
      <c r="B54" s="12">
        <v>0</v>
      </c>
    </row>
    <row r="55" spans="1:2" x14ac:dyDescent="0.35">
      <c r="A55" s="11" t="s">
        <v>173</v>
      </c>
      <c r="B55" s="12">
        <v>0</v>
      </c>
    </row>
    <row r="56" spans="1:2" x14ac:dyDescent="0.35">
      <c r="A56" s="11" t="s">
        <v>120</v>
      </c>
      <c r="B56" s="12">
        <v>5</v>
      </c>
    </row>
    <row r="57" spans="1:2" x14ac:dyDescent="0.35">
      <c r="A57" s="11" t="s">
        <v>154</v>
      </c>
      <c r="B57" s="12">
        <v>0</v>
      </c>
    </row>
    <row r="58" spans="1:2" x14ac:dyDescent="0.35">
      <c r="A58" s="11" t="s">
        <v>237</v>
      </c>
      <c r="B58" s="12">
        <v>0</v>
      </c>
    </row>
    <row r="59" spans="1:2" x14ac:dyDescent="0.35">
      <c r="A59" s="11" t="s">
        <v>168</v>
      </c>
      <c r="B59" s="12">
        <v>0</v>
      </c>
    </row>
    <row r="60" spans="1:2" x14ac:dyDescent="0.35">
      <c r="A60" s="11" t="s">
        <v>33</v>
      </c>
      <c r="B60" s="12">
        <v>4</v>
      </c>
    </row>
    <row r="61" spans="1:2" x14ac:dyDescent="0.35">
      <c r="A61" s="11" t="s">
        <v>117</v>
      </c>
      <c r="B61" s="12">
        <v>5</v>
      </c>
    </row>
    <row r="62" spans="1:2" x14ac:dyDescent="0.35">
      <c r="A62" s="11" t="s">
        <v>229</v>
      </c>
      <c r="B62" s="12">
        <v>2.1</v>
      </c>
    </row>
    <row r="63" spans="1:2" x14ac:dyDescent="0.35">
      <c r="A63" s="11" t="s">
        <v>89</v>
      </c>
      <c r="B63" s="12">
        <v>4.5999999999999996</v>
      </c>
    </row>
    <row r="64" spans="1:2" x14ac:dyDescent="0.35">
      <c r="A64" s="11" t="s">
        <v>102</v>
      </c>
      <c r="B64" s="12">
        <v>4.3</v>
      </c>
    </row>
    <row r="65" spans="1:2" x14ac:dyDescent="0.35">
      <c r="A65" s="11" t="s">
        <v>81</v>
      </c>
      <c r="B65" s="12">
        <v>4.4000000000000004</v>
      </c>
    </row>
    <row r="66" spans="1:2" x14ac:dyDescent="0.35">
      <c r="A66" s="11" t="s">
        <v>42</v>
      </c>
      <c r="B66" s="12">
        <v>4.0999999999999996</v>
      </c>
    </row>
    <row r="67" spans="1:2" x14ac:dyDescent="0.35">
      <c r="A67" s="11" t="s">
        <v>253</v>
      </c>
      <c r="B67" s="12">
        <v>4</v>
      </c>
    </row>
    <row r="68" spans="1:2" x14ac:dyDescent="0.35">
      <c r="A68" s="11" t="s">
        <v>198</v>
      </c>
      <c r="B68" s="12">
        <v>2.7</v>
      </c>
    </row>
    <row r="69" spans="1:2" x14ac:dyDescent="0.35">
      <c r="A69" s="11" t="s">
        <v>295</v>
      </c>
      <c r="B69" s="12">
        <v>5</v>
      </c>
    </row>
    <row r="70" spans="1:2" x14ac:dyDescent="0.35">
      <c r="A70" s="11" t="s">
        <v>218</v>
      </c>
      <c r="B70" s="12">
        <v>3</v>
      </c>
    </row>
    <row r="71" spans="1:2" x14ac:dyDescent="0.35">
      <c r="A71" s="11" t="s">
        <v>85</v>
      </c>
      <c r="B71" s="12">
        <v>4.3</v>
      </c>
    </row>
    <row r="72" spans="1:2" x14ac:dyDescent="0.35">
      <c r="A72" s="11" t="s">
        <v>63</v>
      </c>
      <c r="B72" s="12">
        <v>5</v>
      </c>
    </row>
    <row r="73" spans="1:2" x14ac:dyDescent="0.35">
      <c r="A73" s="11" t="s">
        <v>50</v>
      </c>
      <c r="B73" s="12">
        <v>4.5</v>
      </c>
    </row>
    <row r="74" spans="1:2" x14ac:dyDescent="0.35">
      <c r="A74" s="11" t="s">
        <v>35</v>
      </c>
      <c r="B74" s="12">
        <v>4.8</v>
      </c>
    </row>
    <row r="75" spans="1:2" x14ac:dyDescent="0.35">
      <c r="A75" s="11" t="s">
        <v>128</v>
      </c>
      <c r="B75" s="12">
        <v>0</v>
      </c>
    </row>
    <row r="76" spans="1:2" x14ac:dyDescent="0.35">
      <c r="A76" s="11" t="s">
        <v>108</v>
      </c>
      <c r="B76" s="12">
        <v>4.3</v>
      </c>
    </row>
    <row r="77" spans="1:2" x14ac:dyDescent="0.35">
      <c r="A77" s="11" t="s">
        <v>78</v>
      </c>
      <c r="B77" s="12">
        <v>4</v>
      </c>
    </row>
    <row r="78" spans="1:2" x14ac:dyDescent="0.35">
      <c r="A78" s="11" t="s">
        <v>307</v>
      </c>
      <c r="B78" s="12">
        <v>0</v>
      </c>
    </row>
    <row r="79" spans="1:2" x14ac:dyDescent="0.35">
      <c r="A79" s="11" t="s">
        <v>66</v>
      </c>
      <c r="B79" s="12">
        <v>4.5999999999999996</v>
      </c>
    </row>
    <row r="80" spans="1:2" x14ac:dyDescent="0.35">
      <c r="A80" s="11" t="s">
        <v>243</v>
      </c>
      <c r="B80" s="12">
        <v>3</v>
      </c>
    </row>
    <row r="81" spans="1:2" x14ac:dyDescent="0.35">
      <c r="A81" s="11" t="s">
        <v>10</v>
      </c>
      <c r="B81" s="12">
        <v>4.0999999999999996</v>
      </c>
    </row>
    <row r="82" spans="1:2" x14ac:dyDescent="0.35">
      <c r="A82" s="11" t="s">
        <v>287</v>
      </c>
      <c r="B82" s="12">
        <v>0</v>
      </c>
    </row>
    <row r="83" spans="1:2" x14ac:dyDescent="0.35">
      <c r="A83" s="11" t="s">
        <v>134</v>
      </c>
      <c r="B83" s="12">
        <v>0</v>
      </c>
    </row>
    <row r="84" spans="1:2" x14ac:dyDescent="0.35">
      <c r="A84" s="11" t="s">
        <v>53</v>
      </c>
      <c r="B84" s="12">
        <v>4.2</v>
      </c>
    </row>
    <row r="85" spans="1:2" x14ac:dyDescent="0.35">
      <c r="A85" s="11" t="s">
        <v>266</v>
      </c>
      <c r="B85" s="12">
        <v>0</v>
      </c>
    </row>
    <row r="86" spans="1:2" x14ac:dyDescent="0.35">
      <c r="A86" s="11" t="s">
        <v>99</v>
      </c>
      <c r="B86" s="12">
        <v>0</v>
      </c>
    </row>
    <row r="87" spans="1:2" x14ac:dyDescent="0.35">
      <c r="A87" s="11" t="s">
        <v>165</v>
      </c>
      <c r="B87" s="12">
        <v>0</v>
      </c>
    </row>
    <row r="88" spans="1:2" x14ac:dyDescent="0.35">
      <c r="A88" s="11" t="s">
        <v>186</v>
      </c>
      <c r="B88" s="12">
        <v>3</v>
      </c>
    </row>
    <row r="89" spans="1:2" x14ac:dyDescent="0.35">
      <c r="A89" s="11" t="s">
        <v>256</v>
      </c>
      <c r="B89" s="12">
        <v>0</v>
      </c>
    </row>
    <row r="90" spans="1:2" x14ac:dyDescent="0.35">
      <c r="A90" s="11" t="s">
        <v>261</v>
      </c>
      <c r="B90" s="12">
        <v>0</v>
      </c>
    </row>
    <row r="91" spans="1:2" x14ac:dyDescent="0.35">
      <c r="A91" s="11" t="s">
        <v>60</v>
      </c>
      <c r="B91" s="12">
        <v>5</v>
      </c>
    </row>
    <row r="92" spans="1:2" x14ac:dyDescent="0.35">
      <c r="A92" s="11" t="s">
        <v>160</v>
      </c>
      <c r="B92" s="12">
        <v>0</v>
      </c>
    </row>
    <row r="93" spans="1:2" x14ac:dyDescent="0.35">
      <c r="A93" s="11" t="s">
        <v>163</v>
      </c>
      <c r="B93" s="12">
        <v>0</v>
      </c>
    </row>
    <row r="94" spans="1:2" x14ac:dyDescent="0.35">
      <c r="A94" s="11" t="s">
        <v>22</v>
      </c>
      <c r="B94" s="12">
        <v>4.8</v>
      </c>
    </row>
    <row r="95" spans="1:2" x14ac:dyDescent="0.35">
      <c r="A95" s="11" t="s">
        <v>14</v>
      </c>
      <c r="B95" s="12">
        <v>4.5999999999999996</v>
      </c>
    </row>
    <row r="96" spans="1:2" x14ac:dyDescent="0.35">
      <c r="A96" s="11" t="s">
        <v>282</v>
      </c>
      <c r="B96" s="12">
        <v>0</v>
      </c>
    </row>
    <row r="97" spans="1:2" x14ac:dyDescent="0.35">
      <c r="A97" s="11" t="s">
        <v>92</v>
      </c>
      <c r="B97" s="12">
        <v>3.8</v>
      </c>
    </row>
    <row r="98" spans="1:2" x14ac:dyDescent="0.35">
      <c r="A98" s="11" t="s">
        <v>272</v>
      </c>
      <c r="B98" s="12">
        <v>0</v>
      </c>
    </row>
    <row r="99" spans="1:2" x14ac:dyDescent="0.35">
      <c r="A99" s="11" t="s">
        <v>122</v>
      </c>
      <c r="B99" s="12">
        <v>4.3</v>
      </c>
    </row>
    <row r="100" spans="1:2" x14ac:dyDescent="0.35">
      <c r="A100" s="11" t="s">
        <v>274</v>
      </c>
      <c r="B100" s="12">
        <v>0</v>
      </c>
    </row>
    <row r="101" spans="1:2" x14ac:dyDescent="0.35">
      <c r="A101" s="11" t="s">
        <v>140</v>
      </c>
      <c r="B101" s="12">
        <v>0</v>
      </c>
    </row>
    <row r="102" spans="1:2" x14ac:dyDescent="0.35">
      <c r="A102" s="11" t="s">
        <v>312</v>
      </c>
      <c r="B102" s="12">
        <v>0</v>
      </c>
    </row>
    <row r="103" spans="1:2" x14ac:dyDescent="0.35">
      <c r="A103" s="11" t="s">
        <v>170</v>
      </c>
      <c r="B103" s="12">
        <v>0</v>
      </c>
    </row>
    <row r="104" spans="1:2" x14ac:dyDescent="0.35">
      <c r="A104" s="11" t="s">
        <v>314</v>
      </c>
      <c r="B104" s="12">
        <v>0</v>
      </c>
    </row>
    <row r="105" spans="1:2" x14ac:dyDescent="0.35">
      <c r="A105" s="11" t="s">
        <v>202</v>
      </c>
      <c r="B105" s="12">
        <v>2.9</v>
      </c>
    </row>
    <row r="106" spans="1:2" x14ac:dyDescent="0.35">
      <c r="A106" s="11" t="s">
        <v>269</v>
      </c>
      <c r="B106" s="12">
        <v>0</v>
      </c>
    </row>
    <row r="107" spans="1:2" x14ac:dyDescent="0.35">
      <c r="A107" s="11" t="s">
        <v>280</v>
      </c>
      <c r="B107" s="12">
        <v>0</v>
      </c>
    </row>
    <row r="108" spans="1:2" x14ac:dyDescent="0.35">
      <c r="A108" s="11" t="s">
        <v>318</v>
      </c>
      <c r="B108" s="12">
        <v>2</v>
      </c>
    </row>
    <row r="109" spans="1:2" x14ac:dyDescent="0.35">
      <c r="A109" s="11" t="s">
        <v>264</v>
      </c>
      <c r="B109" s="12">
        <v>0</v>
      </c>
    </row>
    <row r="110" spans="1:2" x14ac:dyDescent="0.35">
      <c r="A110" s="11" t="s">
        <v>221</v>
      </c>
      <c r="B110" s="12">
        <v>2.2999999999999998</v>
      </c>
    </row>
    <row r="111" spans="1:2" x14ac:dyDescent="0.35">
      <c r="A111" s="11" t="s">
        <v>18</v>
      </c>
      <c r="B111" s="12">
        <v>4.7</v>
      </c>
    </row>
    <row r="112" spans="1:2" x14ac:dyDescent="0.35">
      <c r="A112" s="11" t="s">
        <v>224</v>
      </c>
      <c r="B112" s="12">
        <v>3</v>
      </c>
    </row>
    <row r="113" spans="1:2" x14ac:dyDescent="0.35">
      <c r="A113" s="11" t="s">
        <v>16723</v>
      </c>
      <c r="B113" s="12">
        <v>3.8894736842105258</v>
      </c>
    </row>
    <row r="114" spans="1:2" x14ac:dyDescent="0.35">
      <c r="A114" s="11" t="s">
        <v>16724</v>
      </c>
      <c r="B114" s="12">
        <v>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1D20C-5FDD-43E5-BDE9-EDFB9F35A509}">
  <sheetPr filterMode="1"/>
  <dimension ref="A1:J118"/>
  <sheetViews>
    <sheetView workbookViewId="0">
      <selection activeCell="A123" sqref="A123"/>
    </sheetView>
  </sheetViews>
  <sheetFormatPr defaultRowHeight="14.5" x14ac:dyDescent="0.35"/>
  <cols>
    <col min="1" max="1" width="86.1796875" style="4" bestFit="1" customWidth="1"/>
    <col min="2" max="2" width="13.7265625" style="6" bestFit="1" customWidth="1"/>
    <col min="3" max="3" width="8.7265625" style="6"/>
    <col min="4" max="4" width="8.7265625" style="1"/>
    <col min="6" max="6" width="9.6328125" bestFit="1" customWidth="1"/>
    <col min="7" max="7" width="9.6328125" customWidth="1"/>
    <col min="8" max="8" width="15.6328125" bestFit="1" customWidth="1"/>
    <col min="9" max="9" width="12.1796875" bestFit="1" customWidth="1"/>
    <col min="10" max="10" width="15.54296875" bestFit="1" customWidth="1"/>
  </cols>
  <sheetData>
    <row r="1" spans="1:10" s="2" customFormat="1" x14ac:dyDescent="0.35">
      <c r="A1" s="3" t="s">
        <v>0</v>
      </c>
      <c r="B1" s="5" t="s">
        <v>1</v>
      </c>
      <c r="C1" s="5" t="s">
        <v>2</v>
      </c>
      <c r="D1" s="7" t="s">
        <v>3</v>
      </c>
      <c r="E1" s="2" t="s">
        <v>4</v>
      </c>
      <c r="F1" s="2" t="s">
        <v>324</v>
      </c>
      <c r="G1" s="2" t="s">
        <v>16705</v>
      </c>
      <c r="H1" s="2" t="s">
        <v>16704</v>
      </c>
      <c r="I1" s="2" t="s">
        <v>16710</v>
      </c>
      <c r="J1" s="2" t="s">
        <v>16709</v>
      </c>
    </row>
    <row r="2" spans="1:10" hidden="1" x14ac:dyDescent="0.35">
      <c r="A2" s="4" t="s">
        <v>6</v>
      </c>
      <c r="B2" s="6">
        <v>950</v>
      </c>
      <c r="C2" s="6">
        <v>1525</v>
      </c>
      <c r="D2" s="1">
        <v>0.38</v>
      </c>
      <c r="E2">
        <v>2</v>
      </c>
      <c r="F2">
        <v>4.5</v>
      </c>
      <c r="G2" t="s">
        <v>16706</v>
      </c>
      <c r="H2" s="6">
        <f t="shared" ref="H2:H65" si="0">C2-B2</f>
        <v>575</v>
      </c>
    </row>
    <row r="3" spans="1:10" hidden="1" x14ac:dyDescent="0.35">
      <c r="A3" s="4" t="s">
        <v>10</v>
      </c>
      <c r="B3" s="6">
        <v>527</v>
      </c>
      <c r="C3" s="6">
        <v>999</v>
      </c>
      <c r="D3" s="1">
        <v>0.47</v>
      </c>
      <c r="E3">
        <v>14</v>
      </c>
      <c r="F3">
        <v>4.0999999999999996</v>
      </c>
      <c r="G3" t="s">
        <v>16707</v>
      </c>
      <c r="H3" s="6">
        <f t="shared" si="0"/>
        <v>472</v>
      </c>
    </row>
    <row r="4" spans="1:10" x14ac:dyDescent="0.35">
      <c r="A4" s="4" t="s">
        <v>14</v>
      </c>
      <c r="B4" s="6">
        <v>2199</v>
      </c>
      <c r="C4" s="6">
        <v>2923</v>
      </c>
      <c r="D4" s="1">
        <v>0.25</v>
      </c>
      <c r="E4">
        <v>24</v>
      </c>
      <c r="F4">
        <v>4.5999999999999996</v>
      </c>
      <c r="G4" t="s">
        <v>16706</v>
      </c>
      <c r="H4" s="6">
        <f t="shared" si="0"/>
        <v>724</v>
      </c>
    </row>
    <row r="5" spans="1:10" hidden="1" x14ac:dyDescent="0.35">
      <c r="A5" s="4" t="s">
        <v>18</v>
      </c>
      <c r="B5" s="6">
        <v>1580</v>
      </c>
      <c r="C5" s="6">
        <v>2499</v>
      </c>
      <c r="D5" s="1">
        <v>0.37</v>
      </c>
      <c r="E5">
        <v>7</v>
      </c>
      <c r="F5">
        <v>4.7</v>
      </c>
      <c r="G5" t="s">
        <v>16706</v>
      </c>
      <c r="H5" s="6">
        <f t="shared" si="0"/>
        <v>919</v>
      </c>
    </row>
    <row r="6" spans="1:10" hidden="1" x14ac:dyDescent="0.35">
      <c r="A6" s="4" t="s">
        <v>22</v>
      </c>
      <c r="B6" s="6">
        <v>1740</v>
      </c>
      <c r="C6" s="6">
        <v>2356</v>
      </c>
      <c r="D6" s="1">
        <v>0.26</v>
      </c>
      <c r="E6">
        <v>5</v>
      </c>
      <c r="F6">
        <v>4.8</v>
      </c>
      <c r="G6" t="s">
        <v>16706</v>
      </c>
      <c r="H6" s="6">
        <f t="shared" si="0"/>
        <v>616</v>
      </c>
    </row>
    <row r="7" spans="1:10" hidden="1" x14ac:dyDescent="0.35">
      <c r="A7" s="4" t="s">
        <v>26</v>
      </c>
      <c r="B7" s="6">
        <v>2999</v>
      </c>
      <c r="C7" s="6">
        <v>3290</v>
      </c>
      <c r="D7" s="1">
        <v>0.09</v>
      </c>
      <c r="E7">
        <v>15</v>
      </c>
      <c r="F7">
        <v>4</v>
      </c>
      <c r="G7" t="s">
        <v>16707</v>
      </c>
      <c r="H7" s="6">
        <f t="shared" si="0"/>
        <v>291</v>
      </c>
    </row>
    <row r="8" spans="1:10" x14ac:dyDescent="0.35">
      <c r="A8" s="4" t="s">
        <v>30</v>
      </c>
      <c r="B8" s="6">
        <v>2319</v>
      </c>
      <c r="C8" s="6">
        <v>3032</v>
      </c>
      <c r="D8" s="1">
        <v>0.24</v>
      </c>
      <c r="E8">
        <v>55</v>
      </c>
      <c r="F8">
        <v>4.5999999999999996</v>
      </c>
      <c r="G8" t="s">
        <v>16706</v>
      </c>
      <c r="H8" s="6">
        <f t="shared" si="0"/>
        <v>713</v>
      </c>
    </row>
    <row r="9" spans="1:10" hidden="1" x14ac:dyDescent="0.35">
      <c r="A9" s="4" t="s">
        <v>33</v>
      </c>
      <c r="B9" s="6">
        <v>988</v>
      </c>
      <c r="C9" s="6">
        <v>1580</v>
      </c>
      <c r="D9" s="1">
        <v>0.37</v>
      </c>
      <c r="E9">
        <v>2</v>
      </c>
      <c r="F9">
        <v>4</v>
      </c>
      <c r="G9" t="s">
        <v>16707</v>
      </c>
      <c r="H9" s="6">
        <f t="shared" si="0"/>
        <v>592</v>
      </c>
    </row>
    <row r="10" spans="1:10" hidden="1" x14ac:dyDescent="0.35">
      <c r="A10" s="4" t="s">
        <v>35</v>
      </c>
      <c r="B10" s="6">
        <v>1274</v>
      </c>
      <c r="C10" s="6">
        <v>2800</v>
      </c>
      <c r="D10" s="1">
        <v>0.55000000000000004</v>
      </c>
      <c r="E10">
        <v>5</v>
      </c>
      <c r="F10">
        <v>4.8</v>
      </c>
      <c r="G10" t="s">
        <v>16706</v>
      </c>
      <c r="H10" s="6">
        <f t="shared" si="0"/>
        <v>1526</v>
      </c>
    </row>
    <row r="11" spans="1:10" hidden="1" x14ac:dyDescent="0.35">
      <c r="A11" s="4" t="s">
        <v>38</v>
      </c>
      <c r="B11" s="6">
        <v>1600</v>
      </c>
      <c r="C11" s="6">
        <v>2929</v>
      </c>
      <c r="D11" s="1">
        <v>0.45</v>
      </c>
      <c r="E11">
        <v>5</v>
      </c>
      <c r="F11">
        <v>3.8</v>
      </c>
      <c r="G11" t="s">
        <v>16707</v>
      </c>
      <c r="H11" s="6">
        <f t="shared" si="0"/>
        <v>1329</v>
      </c>
    </row>
    <row r="12" spans="1:10" hidden="1" x14ac:dyDescent="0.35">
      <c r="A12" s="4" t="s">
        <v>42</v>
      </c>
      <c r="B12" s="6">
        <v>799</v>
      </c>
      <c r="C12" s="6">
        <v>999</v>
      </c>
      <c r="D12" s="1">
        <v>0.2</v>
      </c>
      <c r="E12">
        <v>12</v>
      </c>
      <c r="F12">
        <v>4.0999999999999996</v>
      </c>
      <c r="G12" t="s">
        <v>16707</v>
      </c>
      <c r="H12" s="6">
        <f t="shared" si="0"/>
        <v>200</v>
      </c>
    </row>
    <row r="13" spans="1:10" x14ac:dyDescent="0.35">
      <c r="A13" s="4" t="s">
        <v>44</v>
      </c>
      <c r="B13" s="6">
        <v>990</v>
      </c>
      <c r="C13" s="6">
        <v>1500</v>
      </c>
      <c r="D13" s="1">
        <v>0.34</v>
      </c>
      <c r="E13">
        <v>39</v>
      </c>
      <c r="F13">
        <v>4.7</v>
      </c>
      <c r="G13" t="s">
        <v>16706</v>
      </c>
      <c r="H13" s="6">
        <f t="shared" si="0"/>
        <v>510</v>
      </c>
    </row>
    <row r="14" spans="1:10" hidden="1" x14ac:dyDescent="0.35">
      <c r="A14" s="4" t="s">
        <v>47</v>
      </c>
      <c r="B14" s="6">
        <v>552</v>
      </c>
      <c r="C14" s="6">
        <v>1035</v>
      </c>
      <c r="D14" s="1">
        <v>0.47</v>
      </c>
      <c r="E14">
        <v>12</v>
      </c>
      <c r="F14">
        <v>4.8</v>
      </c>
      <c r="G14" t="s">
        <v>16706</v>
      </c>
      <c r="H14" s="6">
        <f t="shared" si="0"/>
        <v>483</v>
      </c>
    </row>
    <row r="15" spans="1:10" hidden="1" x14ac:dyDescent="0.35">
      <c r="A15" s="4" t="s">
        <v>50</v>
      </c>
      <c r="B15" s="6">
        <v>501</v>
      </c>
      <c r="C15" s="6">
        <v>860</v>
      </c>
      <c r="D15" s="1">
        <v>0.42</v>
      </c>
      <c r="E15">
        <v>6</v>
      </c>
      <c r="F15">
        <v>4.5</v>
      </c>
      <c r="G15" t="s">
        <v>16706</v>
      </c>
      <c r="H15" s="6">
        <f t="shared" si="0"/>
        <v>359</v>
      </c>
    </row>
    <row r="16" spans="1:10" hidden="1" x14ac:dyDescent="0.35">
      <c r="A16" s="4" t="s">
        <v>53</v>
      </c>
      <c r="B16" s="6">
        <v>1680</v>
      </c>
      <c r="C16" s="6">
        <v>2499</v>
      </c>
      <c r="D16" s="1">
        <v>0.33</v>
      </c>
      <c r="E16">
        <v>9</v>
      </c>
      <c r="F16">
        <v>4.2</v>
      </c>
      <c r="G16" t="s">
        <v>16707</v>
      </c>
      <c r="H16" s="6">
        <f t="shared" si="0"/>
        <v>819</v>
      </c>
    </row>
    <row r="17" spans="1:8" hidden="1" x14ac:dyDescent="0.35">
      <c r="A17" s="4" t="s">
        <v>56</v>
      </c>
      <c r="B17" s="6">
        <v>332</v>
      </c>
      <c r="C17" s="6">
        <v>684</v>
      </c>
      <c r="D17" s="1">
        <v>0.51</v>
      </c>
      <c r="E17">
        <v>2</v>
      </c>
      <c r="F17">
        <v>5</v>
      </c>
      <c r="G17" t="s">
        <v>16706</v>
      </c>
      <c r="H17" s="6">
        <f t="shared" si="0"/>
        <v>352</v>
      </c>
    </row>
    <row r="18" spans="1:8" hidden="1" x14ac:dyDescent="0.35">
      <c r="A18" s="4" t="s">
        <v>60</v>
      </c>
      <c r="B18" s="6">
        <v>195</v>
      </c>
      <c r="C18" s="6">
        <v>360</v>
      </c>
      <c r="D18" s="1">
        <v>0.46</v>
      </c>
      <c r="E18">
        <v>2</v>
      </c>
      <c r="F18">
        <v>5</v>
      </c>
      <c r="G18" t="s">
        <v>16706</v>
      </c>
      <c r="H18" s="6">
        <f t="shared" si="0"/>
        <v>165</v>
      </c>
    </row>
    <row r="19" spans="1:8" hidden="1" x14ac:dyDescent="0.35">
      <c r="A19" s="4" t="s">
        <v>63</v>
      </c>
      <c r="B19" s="6">
        <v>2025</v>
      </c>
      <c r="C19" s="6">
        <v>3971</v>
      </c>
      <c r="D19" s="1">
        <v>0.49</v>
      </c>
      <c r="E19">
        <v>3</v>
      </c>
      <c r="F19">
        <v>5</v>
      </c>
      <c r="G19" t="s">
        <v>16706</v>
      </c>
      <c r="H19" s="6">
        <f t="shared" si="0"/>
        <v>1946</v>
      </c>
    </row>
    <row r="20" spans="1:8" hidden="1" x14ac:dyDescent="0.35">
      <c r="A20" s="4" t="s">
        <v>66</v>
      </c>
      <c r="B20" s="6">
        <v>2999</v>
      </c>
      <c r="C20" s="6">
        <v>3699</v>
      </c>
      <c r="D20" s="1">
        <v>0.19</v>
      </c>
      <c r="E20">
        <v>5</v>
      </c>
      <c r="F20">
        <v>4.5999999999999996</v>
      </c>
      <c r="G20" t="s">
        <v>16706</v>
      </c>
      <c r="H20" s="6">
        <f t="shared" si="0"/>
        <v>700</v>
      </c>
    </row>
    <row r="21" spans="1:8" x14ac:dyDescent="0.35">
      <c r="A21" s="4" t="s">
        <v>68</v>
      </c>
      <c r="B21" s="6">
        <v>998</v>
      </c>
      <c r="C21" s="6">
        <v>1966</v>
      </c>
      <c r="D21" s="1">
        <v>0.49</v>
      </c>
      <c r="E21">
        <v>44</v>
      </c>
      <c r="F21">
        <v>4.5999999999999996</v>
      </c>
      <c r="G21" t="s">
        <v>16706</v>
      </c>
      <c r="H21" s="6">
        <f t="shared" si="0"/>
        <v>968</v>
      </c>
    </row>
    <row r="22" spans="1:8" hidden="1" x14ac:dyDescent="0.35">
      <c r="A22" s="4" t="s">
        <v>71</v>
      </c>
      <c r="B22" s="6">
        <v>38</v>
      </c>
      <c r="C22" s="6">
        <v>80</v>
      </c>
      <c r="D22" s="1">
        <v>0.53</v>
      </c>
      <c r="E22">
        <v>13</v>
      </c>
      <c r="F22">
        <v>3.3</v>
      </c>
      <c r="G22" t="s">
        <v>16707</v>
      </c>
      <c r="H22" s="6">
        <f t="shared" si="0"/>
        <v>42</v>
      </c>
    </row>
    <row r="23" spans="1:8" hidden="1" x14ac:dyDescent="0.35">
      <c r="A23" s="4" t="s">
        <v>75</v>
      </c>
      <c r="B23" s="6">
        <v>1860</v>
      </c>
      <c r="C23" s="6">
        <v>3220</v>
      </c>
      <c r="D23" s="1">
        <v>0.42</v>
      </c>
      <c r="E23" t="s">
        <v>16703</v>
      </c>
      <c r="F23" t="s">
        <v>16703</v>
      </c>
      <c r="H23" s="6">
        <f t="shared" si="0"/>
        <v>1360</v>
      </c>
    </row>
    <row r="24" spans="1:8" hidden="1" x14ac:dyDescent="0.35">
      <c r="A24" s="4" t="s">
        <v>78</v>
      </c>
      <c r="B24" s="6">
        <v>880</v>
      </c>
      <c r="C24" s="6">
        <v>1350</v>
      </c>
      <c r="D24" s="1">
        <v>0.35</v>
      </c>
      <c r="E24">
        <v>6</v>
      </c>
      <c r="F24">
        <v>4</v>
      </c>
      <c r="G24" t="s">
        <v>16707</v>
      </c>
      <c r="H24" s="6">
        <f t="shared" si="0"/>
        <v>470</v>
      </c>
    </row>
    <row r="25" spans="1:8" hidden="1" x14ac:dyDescent="0.35">
      <c r="A25" s="4" t="s">
        <v>81</v>
      </c>
      <c r="B25" s="6">
        <v>1650</v>
      </c>
      <c r="C25" s="6">
        <v>2150</v>
      </c>
      <c r="D25" s="1">
        <v>0.23</v>
      </c>
      <c r="E25">
        <v>14</v>
      </c>
      <c r="F25">
        <v>4.4000000000000004</v>
      </c>
      <c r="G25" t="s">
        <v>16707</v>
      </c>
      <c r="H25" s="6">
        <f t="shared" si="0"/>
        <v>500</v>
      </c>
    </row>
    <row r="26" spans="1:8" hidden="1" x14ac:dyDescent="0.35">
      <c r="A26" s="4" t="s">
        <v>85</v>
      </c>
      <c r="B26" s="6">
        <v>2048</v>
      </c>
      <c r="C26" s="6">
        <v>4500</v>
      </c>
      <c r="D26" s="1">
        <v>0.54</v>
      </c>
      <c r="E26">
        <v>7</v>
      </c>
      <c r="F26">
        <v>4.3</v>
      </c>
      <c r="G26" t="s">
        <v>16707</v>
      </c>
      <c r="H26" s="6">
        <f t="shared" si="0"/>
        <v>2452</v>
      </c>
    </row>
    <row r="27" spans="1:8" x14ac:dyDescent="0.35">
      <c r="A27" s="4" t="s">
        <v>89</v>
      </c>
      <c r="B27" s="6">
        <v>420</v>
      </c>
      <c r="C27" s="6">
        <v>647</v>
      </c>
      <c r="D27" s="1">
        <v>0.35</v>
      </c>
      <c r="E27">
        <v>49</v>
      </c>
      <c r="F27">
        <v>4.5999999999999996</v>
      </c>
      <c r="G27" t="s">
        <v>16706</v>
      </c>
      <c r="H27" s="6">
        <f t="shared" si="0"/>
        <v>227</v>
      </c>
    </row>
    <row r="28" spans="1:8" hidden="1" x14ac:dyDescent="0.35">
      <c r="A28" s="4" t="s">
        <v>92</v>
      </c>
      <c r="B28" s="6">
        <v>2880</v>
      </c>
      <c r="C28" s="6">
        <v>3520</v>
      </c>
      <c r="D28" s="1">
        <v>0.18</v>
      </c>
      <c r="E28">
        <v>12</v>
      </c>
      <c r="F28">
        <v>3.8</v>
      </c>
      <c r="G28" t="s">
        <v>16707</v>
      </c>
      <c r="H28" s="6">
        <f t="shared" si="0"/>
        <v>640</v>
      </c>
    </row>
    <row r="29" spans="1:8" hidden="1" x14ac:dyDescent="0.35">
      <c r="A29" s="4" t="s">
        <v>95</v>
      </c>
      <c r="B29" s="6">
        <v>1350</v>
      </c>
      <c r="C29" s="6">
        <v>1990</v>
      </c>
      <c r="D29" s="1">
        <v>0.32</v>
      </c>
      <c r="E29">
        <v>13</v>
      </c>
      <c r="F29">
        <v>3.8</v>
      </c>
      <c r="G29" t="s">
        <v>16707</v>
      </c>
      <c r="H29" s="6">
        <f t="shared" si="0"/>
        <v>640</v>
      </c>
    </row>
    <row r="30" spans="1:8" x14ac:dyDescent="0.35">
      <c r="A30" s="4" t="s">
        <v>97</v>
      </c>
      <c r="B30" s="6">
        <v>1758</v>
      </c>
      <c r="C30" s="6">
        <v>2499</v>
      </c>
      <c r="D30" s="1">
        <v>0.3</v>
      </c>
      <c r="E30">
        <v>20</v>
      </c>
      <c r="F30">
        <v>4.0999999999999996</v>
      </c>
      <c r="G30" t="s">
        <v>16707</v>
      </c>
      <c r="H30" s="6">
        <f t="shared" si="0"/>
        <v>741</v>
      </c>
    </row>
    <row r="31" spans="1:8" hidden="1" x14ac:dyDescent="0.35">
      <c r="A31" s="4" t="s">
        <v>99</v>
      </c>
      <c r="B31" s="6">
        <v>2200</v>
      </c>
      <c r="C31" s="6">
        <v>4080</v>
      </c>
      <c r="D31" s="1">
        <v>0.46</v>
      </c>
      <c r="E31" t="s">
        <v>16703</v>
      </c>
      <c r="F31" t="s">
        <v>16703</v>
      </c>
      <c r="H31" s="6">
        <f t="shared" si="0"/>
        <v>1880</v>
      </c>
    </row>
    <row r="32" spans="1:8" hidden="1" x14ac:dyDescent="0.35">
      <c r="A32" s="4" t="s">
        <v>102</v>
      </c>
      <c r="B32" s="6">
        <v>185</v>
      </c>
      <c r="C32" s="6">
        <v>382</v>
      </c>
      <c r="D32" s="1">
        <v>0.52</v>
      </c>
      <c r="E32">
        <v>9</v>
      </c>
      <c r="F32">
        <v>4.3</v>
      </c>
      <c r="G32" t="s">
        <v>16707</v>
      </c>
      <c r="H32" s="6">
        <f t="shared" si="0"/>
        <v>197</v>
      </c>
    </row>
    <row r="33" spans="1:8" hidden="1" x14ac:dyDescent="0.35">
      <c r="A33" s="4" t="s">
        <v>105</v>
      </c>
      <c r="B33" s="6">
        <v>980</v>
      </c>
      <c r="C33" s="6">
        <v>1490</v>
      </c>
      <c r="D33" s="1">
        <v>0.34</v>
      </c>
      <c r="E33">
        <v>12</v>
      </c>
      <c r="F33">
        <v>4.7</v>
      </c>
      <c r="G33" t="s">
        <v>16706</v>
      </c>
      <c r="H33" s="6">
        <f t="shared" si="0"/>
        <v>510</v>
      </c>
    </row>
    <row r="34" spans="1:8" hidden="1" x14ac:dyDescent="0.35">
      <c r="A34" s="4" t="s">
        <v>108</v>
      </c>
      <c r="B34" s="6">
        <v>1820</v>
      </c>
      <c r="C34" s="6">
        <v>3490</v>
      </c>
      <c r="D34" s="1">
        <v>0.48</v>
      </c>
      <c r="E34">
        <v>9</v>
      </c>
      <c r="F34">
        <v>4.3</v>
      </c>
      <c r="G34" t="s">
        <v>16707</v>
      </c>
      <c r="H34" s="6">
        <f t="shared" si="0"/>
        <v>1670</v>
      </c>
    </row>
    <row r="35" spans="1:8" x14ac:dyDescent="0.35">
      <c r="A35" s="4" t="s">
        <v>111</v>
      </c>
      <c r="B35" s="6">
        <v>1940</v>
      </c>
      <c r="C35" s="6">
        <v>2650</v>
      </c>
      <c r="D35" s="1">
        <v>0.27</v>
      </c>
      <c r="E35">
        <v>20</v>
      </c>
      <c r="F35">
        <v>4.7</v>
      </c>
      <c r="G35" t="s">
        <v>16706</v>
      </c>
      <c r="H35" s="6">
        <f t="shared" si="0"/>
        <v>710</v>
      </c>
    </row>
    <row r="36" spans="1:8" x14ac:dyDescent="0.35">
      <c r="A36" s="4" t="s">
        <v>114</v>
      </c>
      <c r="B36" s="6">
        <v>1980</v>
      </c>
      <c r="C36" s="6">
        <v>2699</v>
      </c>
      <c r="D36" s="1">
        <v>0.27</v>
      </c>
      <c r="E36">
        <v>32</v>
      </c>
      <c r="F36">
        <v>4.5</v>
      </c>
      <c r="G36" t="s">
        <v>16706</v>
      </c>
      <c r="H36" s="6">
        <f t="shared" si="0"/>
        <v>719</v>
      </c>
    </row>
    <row r="37" spans="1:8" hidden="1" x14ac:dyDescent="0.35">
      <c r="A37" s="4" t="s">
        <v>117</v>
      </c>
      <c r="B37" s="6">
        <v>1620</v>
      </c>
      <c r="C37" s="6">
        <v>2690</v>
      </c>
      <c r="D37" s="1">
        <v>0.4</v>
      </c>
      <c r="E37">
        <v>1</v>
      </c>
      <c r="F37">
        <v>5</v>
      </c>
      <c r="G37" t="s">
        <v>16706</v>
      </c>
      <c r="H37" s="6">
        <f t="shared" si="0"/>
        <v>1070</v>
      </c>
    </row>
    <row r="38" spans="1:8" hidden="1" x14ac:dyDescent="0.35">
      <c r="A38" s="4" t="s">
        <v>120</v>
      </c>
      <c r="B38" s="6">
        <v>171</v>
      </c>
      <c r="C38" s="6">
        <v>360</v>
      </c>
      <c r="D38" s="1">
        <v>0.53</v>
      </c>
      <c r="E38">
        <v>2</v>
      </c>
      <c r="F38">
        <v>5</v>
      </c>
      <c r="G38" t="s">
        <v>16706</v>
      </c>
      <c r="H38" s="6">
        <f t="shared" si="0"/>
        <v>189</v>
      </c>
    </row>
    <row r="39" spans="1:8" x14ac:dyDescent="0.35">
      <c r="A39" s="4" t="s">
        <v>122</v>
      </c>
      <c r="B39" s="6">
        <v>389</v>
      </c>
      <c r="C39" s="6">
        <v>656</v>
      </c>
      <c r="D39" s="1">
        <v>0.41</v>
      </c>
      <c r="E39">
        <v>36</v>
      </c>
      <c r="F39">
        <v>4.3</v>
      </c>
      <c r="G39" t="s">
        <v>16707</v>
      </c>
      <c r="H39" s="6">
        <f t="shared" si="0"/>
        <v>267</v>
      </c>
    </row>
    <row r="40" spans="1:8" hidden="1" x14ac:dyDescent="0.35">
      <c r="A40" s="4" t="s">
        <v>125</v>
      </c>
      <c r="B40" s="6">
        <v>1980</v>
      </c>
      <c r="C40" s="6">
        <v>3200</v>
      </c>
      <c r="D40" s="1">
        <v>0.38</v>
      </c>
      <c r="E40">
        <v>2</v>
      </c>
      <c r="F40">
        <v>4.5</v>
      </c>
      <c r="G40" t="s">
        <v>16706</v>
      </c>
      <c r="H40" s="6">
        <f t="shared" si="0"/>
        <v>1220</v>
      </c>
    </row>
    <row r="41" spans="1:8" hidden="1" x14ac:dyDescent="0.35">
      <c r="A41" s="4" t="s">
        <v>128</v>
      </c>
      <c r="B41" s="6">
        <v>2750</v>
      </c>
      <c r="C41" s="6">
        <v>4471</v>
      </c>
      <c r="D41" s="1">
        <v>0.38</v>
      </c>
      <c r="E41" t="s">
        <v>16703</v>
      </c>
      <c r="F41" t="s">
        <v>16703</v>
      </c>
      <c r="H41" s="6">
        <f t="shared" si="0"/>
        <v>1721</v>
      </c>
    </row>
    <row r="42" spans="1:8" hidden="1" x14ac:dyDescent="0.35">
      <c r="A42" s="4" t="s">
        <v>131</v>
      </c>
      <c r="B42" s="6">
        <v>475</v>
      </c>
      <c r="C42" s="6">
        <v>931</v>
      </c>
      <c r="D42" s="1">
        <v>0.49</v>
      </c>
      <c r="E42" t="s">
        <v>16703</v>
      </c>
      <c r="F42" t="s">
        <v>16703</v>
      </c>
      <c r="H42" s="6">
        <f t="shared" si="0"/>
        <v>456</v>
      </c>
    </row>
    <row r="43" spans="1:8" hidden="1" x14ac:dyDescent="0.35">
      <c r="A43" s="4" t="s">
        <v>134</v>
      </c>
      <c r="B43" s="6">
        <v>238</v>
      </c>
      <c r="C43" s="6">
        <v>476</v>
      </c>
      <c r="D43" s="1">
        <v>0.5</v>
      </c>
      <c r="E43" t="s">
        <v>16703</v>
      </c>
      <c r="F43" t="s">
        <v>16703</v>
      </c>
      <c r="H43" s="6">
        <f t="shared" si="0"/>
        <v>238</v>
      </c>
    </row>
    <row r="44" spans="1:8" hidden="1" x14ac:dyDescent="0.35">
      <c r="A44" s="4" t="s">
        <v>137</v>
      </c>
      <c r="B44" s="6">
        <v>610</v>
      </c>
      <c r="C44" s="6">
        <v>1060</v>
      </c>
      <c r="D44" s="1">
        <v>0.42</v>
      </c>
      <c r="E44" t="s">
        <v>16703</v>
      </c>
      <c r="F44" t="s">
        <v>16703</v>
      </c>
      <c r="H44" s="6">
        <f t="shared" si="0"/>
        <v>450</v>
      </c>
    </row>
    <row r="45" spans="1:8" hidden="1" x14ac:dyDescent="0.35">
      <c r="A45" s="4" t="s">
        <v>140</v>
      </c>
      <c r="B45" s="6">
        <v>2132</v>
      </c>
      <c r="C45" s="6">
        <v>2169</v>
      </c>
      <c r="D45" s="1">
        <v>0.02</v>
      </c>
      <c r="E45" t="s">
        <v>16703</v>
      </c>
      <c r="F45" t="s">
        <v>16703</v>
      </c>
      <c r="H45" s="6">
        <f t="shared" si="0"/>
        <v>37</v>
      </c>
    </row>
    <row r="46" spans="1:8" hidden="1" x14ac:dyDescent="0.35">
      <c r="A46" s="4" t="s">
        <v>143</v>
      </c>
      <c r="B46" s="6">
        <v>999</v>
      </c>
      <c r="C46" s="6">
        <v>2000</v>
      </c>
      <c r="D46" s="1">
        <v>0.5</v>
      </c>
      <c r="E46" t="s">
        <v>16703</v>
      </c>
      <c r="F46" t="s">
        <v>16703</v>
      </c>
      <c r="H46" s="6">
        <f t="shared" si="0"/>
        <v>1001</v>
      </c>
    </row>
    <row r="47" spans="1:8" hidden="1" x14ac:dyDescent="0.35">
      <c r="A47" s="4" t="s">
        <v>145</v>
      </c>
      <c r="B47" s="6">
        <v>1190</v>
      </c>
      <c r="C47" s="6">
        <v>1785</v>
      </c>
      <c r="D47" s="1">
        <v>0.33</v>
      </c>
      <c r="E47" t="s">
        <v>16703</v>
      </c>
      <c r="F47" t="s">
        <v>16703</v>
      </c>
      <c r="H47" s="6">
        <f t="shared" si="0"/>
        <v>595</v>
      </c>
    </row>
    <row r="48" spans="1:8" hidden="1" x14ac:dyDescent="0.35">
      <c r="A48" s="4" t="s">
        <v>148</v>
      </c>
      <c r="B48" s="6">
        <v>671</v>
      </c>
      <c r="C48" s="6">
        <v>1316</v>
      </c>
      <c r="D48" s="1">
        <v>0.49</v>
      </c>
      <c r="E48" t="s">
        <v>16703</v>
      </c>
      <c r="F48" t="s">
        <v>16703</v>
      </c>
      <c r="H48" s="6">
        <f t="shared" si="0"/>
        <v>645</v>
      </c>
    </row>
    <row r="49" spans="1:8" hidden="1" x14ac:dyDescent="0.35">
      <c r="A49" s="4" t="s">
        <v>151</v>
      </c>
      <c r="B49" s="6">
        <v>1200</v>
      </c>
      <c r="C49" s="6">
        <v>1950</v>
      </c>
      <c r="D49" s="1">
        <v>0.38</v>
      </c>
      <c r="E49" t="s">
        <v>16703</v>
      </c>
      <c r="F49" t="s">
        <v>16703</v>
      </c>
      <c r="H49" s="6">
        <f t="shared" si="0"/>
        <v>750</v>
      </c>
    </row>
    <row r="50" spans="1:8" hidden="1" x14ac:dyDescent="0.35">
      <c r="A50" s="4" t="s">
        <v>154</v>
      </c>
      <c r="B50" s="6">
        <v>199</v>
      </c>
      <c r="C50" s="6">
        <v>504</v>
      </c>
      <c r="D50" s="1">
        <v>0.61</v>
      </c>
      <c r="E50" t="s">
        <v>16703</v>
      </c>
      <c r="F50" t="s">
        <v>16703</v>
      </c>
      <c r="H50" s="6">
        <f t="shared" si="0"/>
        <v>305</v>
      </c>
    </row>
    <row r="51" spans="1:8" hidden="1" x14ac:dyDescent="0.35">
      <c r="A51" s="4" t="s">
        <v>157</v>
      </c>
      <c r="B51" s="6">
        <v>299</v>
      </c>
      <c r="C51" s="6">
        <v>600</v>
      </c>
      <c r="D51" s="1">
        <v>0.5</v>
      </c>
      <c r="E51" t="s">
        <v>16703</v>
      </c>
      <c r="F51" t="s">
        <v>16703</v>
      </c>
      <c r="H51" s="6">
        <f t="shared" si="0"/>
        <v>301</v>
      </c>
    </row>
    <row r="52" spans="1:8" hidden="1" x14ac:dyDescent="0.35">
      <c r="A52" s="4" t="s">
        <v>160</v>
      </c>
      <c r="B52" s="6">
        <v>1660</v>
      </c>
      <c r="C52" s="6">
        <v>1699</v>
      </c>
      <c r="D52" s="1">
        <v>0.02</v>
      </c>
      <c r="E52" t="s">
        <v>16703</v>
      </c>
      <c r="F52" t="s">
        <v>16703</v>
      </c>
      <c r="H52" s="6">
        <f t="shared" si="0"/>
        <v>39</v>
      </c>
    </row>
    <row r="53" spans="1:8" hidden="1" x14ac:dyDescent="0.35">
      <c r="A53" s="4" t="s">
        <v>163</v>
      </c>
      <c r="B53" s="6">
        <v>299</v>
      </c>
      <c r="C53" s="6">
        <v>384</v>
      </c>
      <c r="D53" s="1">
        <v>0.22</v>
      </c>
      <c r="E53" t="s">
        <v>16703</v>
      </c>
      <c r="F53" t="s">
        <v>16703</v>
      </c>
      <c r="H53" s="6">
        <f t="shared" si="0"/>
        <v>85</v>
      </c>
    </row>
    <row r="54" spans="1:8" hidden="1" x14ac:dyDescent="0.35">
      <c r="A54" s="4" t="s">
        <v>165</v>
      </c>
      <c r="B54" s="6">
        <v>1459</v>
      </c>
      <c r="C54" s="6">
        <v>1499</v>
      </c>
      <c r="D54" s="1">
        <v>0.03</v>
      </c>
      <c r="E54" t="s">
        <v>16703</v>
      </c>
      <c r="F54" t="s">
        <v>16703</v>
      </c>
      <c r="H54" s="6">
        <f t="shared" si="0"/>
        <v>40</v>
      </c>
    </row>
    <row r="55" spans="1:8" hidden="1" x14ac:dyDescent="0.35">
      <c r="A55" s="4" t="s">
        <v>168</v>
      </c>
      <c r="B55" s="6">
        <v>799</v>
      </c>
      <c r="C55" s="6">
        <v>1343</v>
      </c>
      <c r="D55" s="1">
        <v>0.41</v>
      </c>
      <c r="E55" t="s">
        <v>16703</v>
      </c>
      <c r="F55" t="s">
        <v>16703</v>
      </c>
      <c r="H55" s="6">
        <f t="shared" si="0"/>
        <v>544</v>
      </c>
    </row>
    <row r="56" spans="1:8" hidden="1" x14ac:dyDescent="0.35">
      <c r="A56" s="4" t="s">
        <v>170</v>
      </c>
      <c r="B56" s="6">
        <v>499</v>
      </c>
      <c r="C56" s="6">
        <v>900</v>
      </c>
      <c r="D56" s="1">
        <v>0.45</v>
      </c>
      <c r="E56" t="s">
        <v>16703</v>
      </c>
      <c r="F56" t="s">
        <v>16703</v>
      </c>
      <c r="H56" s="6">
        <f t="shared" si="0"/>
        <v>401</v>
      </c>
    </row>
    <row r="57" spans="1:8" hidden="1" x14ac:dyDescent="0.35">
      <c r="A57" s="4" t="s">
        <v>173</v>
      </c>
      <c r="B57" s="6">
        <v>699</v>
      </c>
      <c r="C57" s="6">
        <v>1343</v>
      </c>
      <c r="D57" s="1">
        <v>0.48</v>
      </c>
      <c r="E57" t="s">
        <v>16703</v>
      </c>
      <c r="F57" t="s">
        <v>16703</v>
      </c>
      <c r="H57" s="6">
        <f t="shared" si="0"/>
        <v>644</v>
      </c>
    </row>
    <row r="58" spans="1:8" hidden="1" x14ac:dyDescent="0.35">
      <c r="A58" s="4" t="s">
        <v>175</v>
      </c>
      <c r="B58" s="6">
        <v>799</v>
      </c>
      <c r="C58" s="6">
        <v>1567</v>
      </c>
      <c r="D58" s="1">
        <v>0.49</v>
      </c>
      <c r="E58" t="s">
        <v>16703</v>
      </c>
      <c r="F58" t="s">
        <v>16703</v>
      </c>
      <c r="H58" s="6">
        <f t="shared" si="0"/>
        <v>768</v>
      </c>
    </row>
    <row r="59" spans="1:8" hidden="1" x14ac:dyDescent="0.35">
      <c r="A59" s="4" t="s">
        <v>177</v>
      </c>
      <c r="B59" s="6">
        <v>2799</v>
      </c>
      <c r="C59" s="6">
        <v>3810</v>
      </c>
      <c r="D59" s="1">
        <v>0.27</v>
      </c>
      <c r="E59" t="s">
        <v>16703</v>
      </c>
      <c r="F59" t="s">
        <v>16703</v>
      </c>
      <c r="H59" s="6">
        <f t="shared" si="0"/>
        <v>1011</v>
      </c>
    </row>
    <row r="60" spans="1:8" hidden="1" x14ac:dyDescent="0.35">
      <c r="A60" s="4" t="s">
        <v>170</v>
      </c>
      <c r="B60" s="6">
        <v>399</v>
      </c>
      <c r="C60" s="6">
        <v>896</v>
      </c>
      <c r="D60" s="1">
        <v>0.55000000000000004</v>
      </c>
      <c r="E60" t="s">
        <v>16703</v>
      </c>
      <c r="F60" t="s">
        <v>16703</v>
      </c>
      <c r="H60" s="6">
        <f t="shared" si="0"/>
        <v>497</v>
      </c>
    </row>
    <row r="61" spans="1:8" hidden="1" x14ac:dyDescent="0.35">
      <c r="A61" s="4" t="s">
        <v>182</v>
      </c>
      <c r="B61" s="6">
        <v>2170</v>
      </c>
      <c r="C61" s="6">
        <v>2500</v>
      </c>
      <c r="D61" s="1">
        <v>0.13</v>
      </c>
      <c r="E61">
        <v>6</v>
      </c>
      <c r="F61">
        <v>2.5</v>
      </c>
      <c r="G61" t="s">
        <v>16708</v>
      </c>
      <c r="H61" s="6">
        <f t="shared" si="0"/>
        <v>330</v>
      </c>
    </row>
    <row r="62" spans="1:8" hidden="1" x14ac:dyDescent="0.35">
      <c r="A62" s="4" t="s">
        <v>186</v>
      </c>
      <c r="B62" s="6">
        <v>458</v>
      </c>
      <c r="C62" s="6">
        <v>986</v>
      </c>
      <c r="D62" s="1">
        <v>0.54</v>
      </c>
      <c r="E62">
        <v>10</v>
      </c>
      <c r="F62">
        <v>3</v>
      </c>
      <c r="G62" t="s">
        <v>16707</v>
      </c>
      <c r="H62" s="6">
        <f t="shared" si="0"/>
        <v>528</v>
      </c>
    </row>
    <row r="63" spans="1:8" hidden="1" x14ac:dyDescent="0.35">
      <c r="A63" s="4" t="s">
        <v>190</v>
      </c>
      <c r="B63" s="6">
        <v>2115</v>
      </c>
      <c r="C63" s="6">
        <v>4700</v>
      </c>
      <c r="D63" s="1">
        <v>0.55000000000000004</v>
      </c>
      <c r="E63">
        <v>13</v>
      </c>
      <c r="F63">
        <v>2.1</v>
      </c>
      <c r="G63" t="s">
        <v>16708</v>
      </c>
      <c r="H63" s="6">
        <f t="shared" si="0"/>
        <v>2585</v>
      </c>
    </row>
    <row r="64" spans="1:8" x14ac:dyDescent="0.35">
      <c r="A64" s="4" t="s">
        <v>194</v>
      </c>
      <c r="B64" s="6">
        <v>445</v>
      </c>
      <c r="C64" s="6">
        <v>873</v>
      </c>
      <c r="D64" s="1">
        <v>0.49</v>
      </c>
      <c r="E64">
        <v>69</v>
      </c>
      <c r="F64">
        <v>2.8</v>
      </c>
      <c r="G64" t="s">
        <v>16708</v>
      </c>
      <c r="H64" s="6">
        <f t="shared" si="0"/>
        <v>428</v>
      </c>
    </row>
    <row r="65" spans="1:8" hidden="1" x14ac:dyDescent="0.35">
      <c r="A65" s="4" t="s">
        <v>198</v>
      </c>
      <c r="B65" s="6">
        <v>325</v>
      </c>
      <c r="C65" s="6">
        <v>680</v>
      </c>
      <c r="D65" s="1">
        <v>0.52</v>
      </c>
      <c r="E65">
        <v>15</v>
      </c>
      <c r="F65">
        <v>2.7</v>
      </c>
      <c r="G65" t="s">
        <v>16708</v>
      </c>
      <c r="H65" s="6">
        <f t="shared" si="0"/>
        <v>355</v>
      </c>
    </row>
    <row r="66" spans="1:8" hidden="1" x14ac:dyDescent="0.35">
      <c r="A66" s="4" t="s">
        <v>202</v>
      </c>
      <c r="B66" s="6">
        <v>1220</v>
      </c>
      <c r="C66" s="6">
        <v>1555</v>
      </c>
      <c r="D66" s="1">
        <v>0.22</v>
      </c>
      <c r="E66">
        <v>16</v>
      </c>
      <c r="F66">
        <v>2.9</v>
      </c>
      <c r="G66" t="s">
        <v>16708</v>
      </c>
      <c r="H66" s="6">
        <f t="shared" ref="H66:H113" si="1">C66-B66</f>
        <v>335</v>
      </c>
    </row>
    <row r="67" spans="1:8" hidden="1" x14ac:dyDescent="0.35">
      <c r="A67" s="4" t="s">
        <v>206</v>
      </c>
      <c r="B67" s="6">
        <v>990</v>
      </c>
      <c r="C67" s="6">
        <v>1814</v>
      </c>
      <c r="D67" s="1">
        <v>0.45</v>
      </c>
      <c r="E67">
        <v>6</v>
      </c>
      <c r="F67">
        <v>2.2000000000000002</v>
      </c>
      <c r="G67" t="s">
        <v>16708</v>
      </c>
      <c r="H67" s="6">
        <f t="shared" si="1"/>
        <v>824</v>
      </c>
    </row>
    <row r="68" spans="1:8" hidden="1" x14ac:dyDescent="0.35">
      <c r="A68" s="4" t="s">
        <v>209</v>
      </c>
      <c r="B68" s="6">
        <v>1000</v>
      </c>
      <c r="C68" s="6">
        <v>2000</v>
      </c>
      <c r="D68" s="1">
        <v>0.5</v>
      </c>
      <c r="E68">
        <v>7</v>
      </c>
      <c r="F68">
        <v>2.2999999999999998</v>
      </c>
      <c r="G68" t="s">
        <v>16708</v>
      </c>
      <c r="H68" s="6">
        <f t="shared" si="1"/>
        <v>1000</v>
      </c>
    </row>
    <row r="69" spans="1:8" hidden="1" x14ac:dyDescent="0.35">
      <c r="A69" s="4" t="s">
        <v>212</v>
      </c>
      <c r="B69" s="6">
        <v>3750</v>
      </c>
      <c r="C69" s="6">
        <v>6143</v>
      </c>
      <c r="D69" s="1">
        <v>0.39</v>
      </c>
      <c r="E69">
        <v>5</v>
      </c>
      <c r="F69">
        <v>3</v>
      </c>
      <c r="G69" t="s">
        <v>16707</v>
      </c>
      <c r="H69" s="6">
        <f t="shared" si="1"/>
        <v>2393</v>
      </c>
    </row>
    <row r="70" spans="1:8" hidden="1" x14ac:dyDescent="0.35">
      <c r="A70" s="4" t="s">
        <v>215</v>
      </c>
      <c r="B70" s="6">
        <v>382</v>
      </c>
      <c r="C70" s="6">
        <v>700</v>
      </c>
      <c r="D70" s="1">
        <v>0.45</v>
      </c>
      <c r="E70">
        <v>17</v>
      </c>
      <c r="F70">
        <v>2.6</v>
      </c>
      <c r="G70" t="s">
        <v>16708</v>
      </c>
      <c r="H70" s="6">
        <f t="shared" si="1"/>
        <v>318</v>
      </c>
    </row>
    <row r="71" spans="1:8" hidden="1" x14ac:dyDescent="0.35">
      <c r="A71" s="4" t="s">
        <v>218</v>
      </c>
      <c r="B71" s="6">
        <v>2300</v>
      </c>
      <c r="C71" s="6">
        <v>3240</v>
      </c>
      <c r="D71" s="1">
        <v>0.28999999999999998</v>
      </c>
      <c r="E71">
        <v>5</v>
      </c>
      <c r="F71">
        <v>3</v>
      </c>
      <c r="G71" t="s">
        <v>16707</v>
      </c>
      <c r="H71" s="6">
        <f t="shared" si="1"/>
        <v>940</v>
      </c>
    </row>
    <row r="72" spans="1:8" hidden="1" x14ac:dyDescent="0.35">
      <c r="A72" s="4" t="s">
        <v>221</v>
      </c>
      <c r="B72" s="6">
        <v>345</v>
      </c>
      <c r="C72" s="6">
        <v>602</v>
      </c>
      <c r="D72" s="1">
        <v>0.43</v>
      </c>
      <c r="E72">
        <v>6</v>
      </c>
      <c r="F72">
        <v>2.2999999999999998</v>
      </c>
      <c r="G72" t="s">
        <v>16708</v>
      </c>
      <c r="H72" s="6">
        <f t="shared" si="1"/>
        <v>257</v>
      </c>
    </row>
    <row r="73" spans="1:8" hidden="1" x14ac:dyDescent="0.35">
      <c r="A73" s="4" t="s">
        <v>224</v>
      </c>
      <c r="B73" s="6">
        <v>509</v>
      </c>
      <c r="C73" s="6">
        <v>899</v>
      </c>
      <c r="D73" s="1">
        <v>0.43</v>
      </c>
      <c r="E73">
        <v>5</v>
      </c>
      <c r="F73">
        <v>3</v>
      </c>
      <c r="G73" t="s">
        <v>16707</v>
      </c>
      <c r="H73" s="6">
        <f t="shared" si="1"/>
        <v>390</v>
      </c>
    </row>
    <row r="74" spans="1:8" hidden="1" x14ac:dyDescent="0.35">
      <c r="A74" s="4" t="s">
        <v>227</v>
      </c>
      <c r="B74" s="6">
        <v>968</v>
      </c>
      <c r="C74" s="6">
        <v>1814</v>
      </c>
      <c r="D74" s="1">
        <v>0.47</v>
      </c>
      <c r="E74">
        <v>6</v>
      </c>
      <c r="F74">
        <v>2.2000000000000002</v>
      </c>
      <c r="G74" t="s">
        <v>16708</v>
      </c>
      <c r="H74" s="6">
        <f t="shared" si="1"/>
        <v>846</v>
      </c>
    </row>
    <row r="75" spans="1:8" hidden="1" x14ac:dyDescent="0.35">
      <c r="A75" s="4" t="s">
        <v>229</v>
      </c>
      <c r="B75" s="6">
        <v>1570</v>
      </c>
      <c r="C75" s="6">
        <v>2988</v>
      </c>
      <c r="D75" s="1">
        <v>0.47</v>
      </c>
      <c r="E75">
        <v>7</v>
      </c>
      <c r="F75">
        <v>2.1</v>
      </c>
      <c r="G75" t="s">
        <v>16708</v>
      </c>
      <c r="H75" s="6">
        <f t="shared" si="1"/>
        <v>1418</v>
      </c>
    </row>
    <row r="76" spans="1:8" hidden="1" x14ac:dyDescent="0.35">
      <c r="A76" s="4" t="s">
        <v>232</v>
      </c>
      <c r="B76" s="6">
        <v>790</v>
      </c>
      <c r="C76" s="6">
        <v>1485</v>
      </c>
      <c r="D76" s="1">
        <v>0.47</v>
      </c>
      <c r="E76" t="s">
        <v>16703</v>
      </c>
      <c r="F76" t="s">
        <v>16703</v>
      </c>
      <c r="H76" s="6">
        <f t="shared" si="1"/>
        <v>695</v>
      </c>
    </row>
    <row r="77" spans="1:8" hidden="1" x14ac:dyDescent="0.35">
      <c r="A77" s="4" t="s">
        <v>235</v>
      </c>
      <c r="B77" s="6">
        <v>690</v>
      </c>
      <c r="C77" s="6">
        <v>1200</v>
      </c>
      <c r="D77" s="1">
        <v>0.43</v>
      </c>
      <c r="E77" t="s">
        <v>16703</v>
      </c>
      <c r="F77" t="s">
        <v>16703</v>
      </c>
      <c r="H77" s="6">
        <f t="shared" si="1"/>
        <v>510</v>
      </c>
    </row>
    <row r="78" spans="1:8" hidden="1" x14ac:dyDescent="0.35">
      <c r="A78" s="4" t="s">
        <v>237</v>
      </c>
      <c r="B78" s="6">
        <v>1732</v>
      </c>
      <c r="C78" s="6">
        <v>1799</v>
      </c>
      <c r="D78" s="1">
        <v>0.04</v>
      </c>
      <c r="E78" t="s">
        <v>16703</v>
      </c>
      <c r="F78" t="s">
        <v>16703</v>
      </c>
      <c r="H78" s="6">
        <f t="shared" si="1"/>
        <v>67</v>
      </c>
    </row>
    <row r="79" spans="1:8" hidden="1" x14ac:dyDescent="0.35">
      <c r="A79" s="4" t="s">
        <v>240</v>
      </c>
      <c r="B79" s="6">
        <v>230</v>
      </c>
      <c r="C79" s="6">
        <v>450</v>
      </c>
      <c r="D79" s="1">
        <v>0.49</v>
      </c>
      <c r="E79" t="s">
        <v>16703</v>
      </c>
      <c r="F79" t="s">
        <v>16703</v>
      </c>
      <c r="H79" s="6">
        <f t="shared" si="1"/>
        <v>220</v>
      </c>
    </row>
    <row r="80" spans="1:8" hidden="1" x14ac:dyDescent="0.35">
      <c r="A80" s="4" t="s">
        <v>243</v>
      </c>
      <c r="B80" s="6">
        <v>1189</v>
      </c>
      <c r="C80" s="6">
        <v>2199</v>
      </c>
      <c r="D80" s="1">
        <v>0.46</v>
      </c>
      <c r="E80">
        <v>1</v>
      </c>
      <c r="F80">
        <v>3</v>
      </c>
      <c r="G80" t="s">
        <v>16707</v>
      </c>
      <c r="H80" s="6">
        <f t="shared" si="1"/>
        <v>1010</v>
      </c>
    </row>
    <row r="81" spans="1:8" hidden="1" x14ac:dyDescent="0.35">
      <c r="A81" s="4" t="s">
        <v>245</v>
      </c>
      <c r="B81" s="6">
        <v>979</v>
      </c>
      <c r="C81" s="6">
        <v>1920</v>
      </c>
      <c r="D81" s="1">
        <v>0.49</v>
      </c>
      <c r="E81">
        <v>1</v>
      </c>
      <c r="F81">
        <v>5</v>
      </c>
      <c r="G81" t="s">
        <v>16706</v>
      </c>
      <c r="H81" s="6">
        <f t="shared" si="1"/>
        <v>941</v>
      </c>
    </row>
    <row r="82" spans="1:8" hidden="1" x14ac:dyDescent="0.35">
      <c r="A82" s="4" t="s">
        <v>248</v>
      </c>
      <c r="B82" s="6">
        <v>1460</v>
      </c>
      <c r="C82" s="6">
        <v>2290</v>
      </c>
      <c r="D82" s="1">
        <v>0.36</v>
      </c>
      <c r="E82" t="s">
        <v>16703</v>
      </c>
      <c r="F82" t="s">
        <v>16703</v>
      </c>
      <c r="H82" s="6">
        <f t="shared" si="1"/>
        <v>830</v>
      </c>
    </row>
    <row r="83" spans="1:8" hidden="1" x14ac:dyDescent="0.35">
      <c r="A83" s="4" t="s">
        <v>251</v>
      </c>
      <c r="B83" s="6">
        <v>1666</v>
      </c>
      <c r="C83" s="6">
        <v>1699</v>
      </c>
      <c r="D83" s="1">
        <v>0.02</v>
      </c>
      <c r="E83" t="s">
        <v>16703</v>
      </c>
      <c r="F83" t="s">
        <v>16703</v>
      </c>
      <c r="H83" s="6">
        <f t="shared" si="1"/>
        <v>33</v>
      </c>
    </row>
    <row r="84" spans="1:8" hidden="1" x14ac:dyDescent="0.35">
      <c r="A84" s="4" t="s">
        <v>253</v>
      </c>
      <c r="B84" s="6">
        <v>330</v>
      </c>
      <c r="C84" s="6">
        <v>647</v>
      </c>
      <c r="D84" s="1">
        <v>0.49</v>
      </c>
      <c r="E84">
        <v>1</v>
      </c>
      <c r="F84">
        <v>4</v>
      </c>
      <c r="G84" t="s">
        <v>16707</v>
      </c>
      <c r="H84" s="6">
        <f t="shared" si="1"/>
        <v>317</v>
      </c>
    </row>
    <row r="85" spans="1:8" hidden="1" x14ac:dyDescent="0.35">
      <c r="A85" s="4" t="s">
        <v>154</v>
      </c>
      <c r="B85" s="6">
        <v>176</v>
      </c>
      <c r="C85" s="6">
        <v>345</v>
      </c>
      <c r="D85" s="1">
        <v>0.49</v>
      </c>
      <c r="E85" t="s">
        <v>16703</v>
      </c>
      <c r="F85" t="s">
        <v>16703</v>
      </c>
      <c r="H85" s="6">
        <f t="shared" si="1"/>
        <v>169</v>
      </c>
    </row>
    <row r="86" spans="1:8" hidden="1" x14ac:dyDescent="0.35">
      <c r="A86" s="4" t="s">
        <v>256</v>
      </c>
      <c r="B86" s="6">
        <v>1466</v>
      </c>
      <c r="C86" s="6">
        <v>1699</v>
      </c>
      <c r="D86" s="1">
        <v>0.14000000000000001</v>
      </c>
      <c r="E86" t="s">
        <v>16703</v>
      </c>
      <c r="F86" t="s">
        <v>16703</v>
      </c>
      <c r="H86" s="6">
        <f t="shared" si="1"/>
        <v>233</v>
      </c>
    </row>
    <row r="87" spans="1:8" hidden="1" x14ac:dyDescent="0.35">
      <c r="A87" s="4" t="s">
        <v>258</v>
      </c>
      <c r="B87" s="6">
        <v>274</v>
      </c>
      <c r="C87" s="6">
        <v>537</v>
      </c>
      <c r="D87" s="1">
        <v>0.49</v>
      </c>
      <c r="E87" t="s">
        <v>16703</v>
      </c>
      <c r="F87" t="s">
        <v>16703</v>
      </c>
      <c r="H87" s="6">
        <f t="shared" si="1"/>
        <v>263</v>
      </c>
    </row>
    <row r="88" spans="1:8" hidden="1" x14ac:dyDescent="0.35">
      <c r="A88" s="4" t="s">
        <v>261</v>
      </c>
      <c r="B88" s="6">
        <v>799</v>
      </c>
      <c r="C88" s="6">
        <v>900</v>
      </c>
      <c r="D88" s="1">
        <v>0.11</v>
      </c>
      <c r="E88" t="s">
        <v>16703</v>
      </c>
      <c r="F88" t="s">
        <v>16703</v>
      </c>
      <c r="H88" s="6">
        <f t="shared" si="1"/>
        <v>101</v>
      </c>
    </row>
    <row r="89" spans="1:8" hidden="1" x14ac:dyDescent="0.35">
      <c r="A89" s="4" t="s">
        <v>175</v>
      </c>
      <c r="B89" s="6">
        <v>657</v>
      </c>
      <c r="C89" s="6">
        <v>1288</v>
      </c>
      <c r="D89" s="1">
        <v>0.49</v>
      </c>
      <c r="E89" t="s">
        <v>16703</v>
      </c>
      <c r="F89" t="s">
        <v>16703</v>
      </c>
      <c r="H89" s="6">
        <f t="shared" si="1"/>
        <v>631</v>
      </c>
    </row>
    <row r="90" spans="1:8" hidden="1" x14ac:dyDescent="0.35">
      <c r="A90" s="4" t="s">
        <v>264</v>
      </c>
      <c r="B90" s="6">
        <v>1468</v>
      </c>
      <c r="C90" s="6">
        <v>1699</v>
      </c>
      <c r="D90" s="1">
        <v>0.14000000000000001</v>
      </c>
      <c r="E90" t="s">
        <v>16703</v>
      </c>
      <c r="F90" t="s">
        <v>16703</v>
      </c>
      <c r="H90" s="6">
        <f t="shared" si="1"/>
        <v>231</v>
      </c>
    </row>
    <row r="91" spans="1:8" hidden="1" x14ac:dyDescent="0.35">
      <c r="A91" s="4" t="s">
        <v>266</v>
      </c>
      <c r="B91" s="6">
        <v>630</v>
      </c>
      <c r="C91" s="6">
        <v>1100</v>
      </c>
      <c r="D91" s="1">
        <v>0.43</v>
      </c>
      <c r="E91" t="s">
        <v>16703</v>
      </c>
      <c r="F91" t="s">
        <v>16703</v>
      </c>
      <c r="H91" s="6">
        <f t="shared" si="1"/>
        <v>470</v>
      </c>
    </row>
    <row r="92" spans="1:8" hidden="1" x14ac:dyDescent="0.35">
      <c r="A92" s="4" t="s">
        <v>269</v>
      </c>
      <c r="B92" s="6">
        <v>850</v>
      </c>
      <c r="C92" s="6">
        <v>1700</v>
      </c>
      <c r="D92" s="1">
        <v>0.5</v>
      </c>
      <c r="E92" t="s">
        <v>16703</v>
      </c>
      <c r="F92" t="s">
        <v>16703</v>
      </c>
      <c r="H92" s="6">
        <f t="shared" si="1"/>
        <v>850</v>
      </c>
    </row>
    <row r="93" spans="1:8" hidden="1" x14ac:dyDescent="0.35">
      <c r="A93" s="4" t="s">
        <v>272</v>
      </c>
      <c r="B93" s="6">
        <v>1300</v>
      </c>
      <c r="C93" s="6">
        <v>2500</v>
      </c>
      <c r="D93" s="1">
        <v>0.48</v>
      </c>
      <c r="E93" t="s">
        <v>16703</v>
      </c>
      <c r="F93" t="s">
        <v>16703</v>
      </c>
      <c r="H93" s="6">
        <f t="shared" si="1"/>
        <v>1200</v>
      </c>
    </row>
    <row r="94" spans="1:8" hidden="1" x14ac:dyDescent="0.35">
      <c r="A94" s="4" t="s">
        <v>274</v>
      </c>
      <c r="B94" s="6">
        <v>105</v>
      </c>
      <c r="C94" s="6">
        <v>200</v>
      </c>
      <c r="D94" s="1">
        <v>0.48</v>
      </c>
      <c r="E94" t="s">
        <v>16703</v>
      </c>
      <c r="F94" t="s">
        <v>16703</v>
      </c>
      <c r="H94" s="6">
        <f t="shared" si="1"/>
        <v>95</v>
      </c>
    </row>
    <row r="95" spans="1:8" hidden="1" x14ac:dyDescent="0.35">
      <c r="A95" s="4" t="s">
        <v>277</v>
      </c>
      <c r="B95" s="6">
        <v>899</v>
      </c>
      <c r="C95" s="6">
        <v>1699</v>
      </c>
      <c r="D95" s="1">
        <v>0.47</v>
      </c>
      <c r="E95" t="s">
        <v>16703</v>
      </c>
      <c r="F95" t="s">
        <v>16703</v>
      </c>
      <c r="H95" s="6">
        <f t="shared" si="1"/>
        <v>800</v>
      </c>
    </row>
    <row r="96" spans="1:8" hidden="1" x14ac:dyDescent="0.35">
      <c r="A96" s="4" t="s">
        <v>278</v>
      </c>
      <c r="B96" s="6">
        <v>1200</v>
      </c>
      <c r="C96" s="6">
        <v>2400</v>
      </c>
      <c r="D96" s="1">
        <v>0.5</v>
      </c>
      <c r="E96" t="s">
        <v>16703</v>
      </c>
      <c r="F96" t="s">
        <v>16703</v>
      </c>
      <c r="H96" s="6">
        <f t="shared" si="1"/>
        <v>1200</v>
      </c>
    </row>
    <row r="97" spans="1:8" hidden="1" x14ac:dyDescent="0.35">
      <c r="A97" s="4" t="s">
        <v>280</v>
      </c>
      <c r="B97" s="6">
        <v>1526</v>
      </c>
      <c r="C97" s="6">
        <v>1660</v>
      </c>
      <c r="D97" s="1">
        <v>0.08</v>
      </c>
      <c r="E97" t="s">
        <v>16703</v>
      </c>
      <c r="F97" t="s">
        <v>16703</v>
      </c>
      <c r="H97" s="6">
        <f t="shared" si="1"/>
        <v>134</v>
      </c>
    </row>
    <row r="98" spans="1:8" hidden="1" x14ac:dyDescent="0.35">
      <c r="A98" s="4" t="s">
        <v>282</v>
      </c>
      <c r="B98" s="6">
        <v>1462</v>
      </c>
      <c r="C98" s="6">
        <v>1499</v>
      </c>
      <c r="D98" s="1">
        <v>0.02</v>
      </c>
      <c r="E98" t="s">
        <v>16703</v>
      </c>
      <c r="F98" t="s">
        <v>16703</v>
      </c>
      <c r="H98" s="6">
        <f t="shared" si="1"/>
        <v>37</v>
      </c>
    </row>
    <row r="99" spans="1:8" hidden="1" x14ac:dyDescent="0.35">
      <c r="A99" s="4" t="s">
        <v>284</v>
      </c>
      <c r="B99" s="6">
        <v>248</v>
      </c>
      <c r="C99" s="6">
        <v>486</v>
      </c>
      <c r="D99" s="1">
        <v>0.49</v>
      </c>
      <c r="E99" t="s">
        <v>16703</v>
      </c>
      <c r="F99" t="s">
        <v>16703</v>
      </c>
      <c r="H99" s="6">
        <f t="shared" si="1"/>
        <v>238</v>
      </c>
    </row>
    <row r="100" spans="1:8" hidden="1" x14ac:dyDescent="0.35">
      <c r="A100" s="4" t="s">
        <v>287</v>
      </c>
      <c r="B100" s="6">
        <v>3546</v>
      </c>
      <c r="C100" s="6">
        <v>3699</v>
      </c>
      <c r="D100" s="1">
        <v>0.04</v>
      </c>
      <c r="E100" t="s">
        <v>16703</v>
      </c>
      <c r="F100" t="s">
        <v>16703</v>
      </c>
      <c r="H100" s="6">
        <f t="shared" si="1"/>
        <v>153</v>
      </c>
    </row>
    <row r="101" spans="1:8" hidden="1" x14ac:dyDescent="0.35">
      <c r="A101" s="4" t="s">
        <v>289</v>
      </c>
      <c r="B101" s="6">
        <v>525</v>
      </c>
      <c r="C101" s="6">
        <v>1029</v>
      </c>
      <c r="D101" s="1">
        <v>0.49</v>
      </c>
      <c r="E101" t="s">
        <v>16703</v>
      </c>
      <c r="F101" t="s">
        <v>16703</v>
      </c>
      <c r="H101" s="6">
        <f t="shared" si="1"/>
        <v>504</v>
      </c>
    </row>
    <row r="102" spans="1:8" hidden="1" x14ac:dyDescent="0.35">
      <c r="A102" s="4" t="s">
        <v>292</v>
      </c>
      <c r="B102" s="6">
        <v>1080</v>
      </c>
      <c r="C102" s="6">
        <v>1874</v>
      </c>
      <c r="D102" s="1">
        <v>0.42</v>
      </c>
      <c r="E102" t="s">
        <v>16703</v>
      </c>
      <c r="F102" t="s">
        <v>16703</v>
      </c>
      <c r="H102" s="6">
        <f t="shared" si="1"/>
        <v>794</v>
      </c>
    </row>
    <row r="103" spans="1:8" hidden="1" x14ac:dyDescent="0.35">
      <c r="A103" s="4" t="s">
        <v>295</v>
      </c>
      <c r="B103" s="6">
        <v>3640</v>
      </c>
      <c r="C103" s="6">
        <v>4588</v>
      </c>
      <c r="D103" s="1">
        <v>0.21</v>
      </c>
      <c r="E103">
        <v>1</v>
      </c>
      <c r="F103">
        <v>5</v>
      </c>
      <c r="G103" t="s">
        <v>16706</v>
      </c>
      <c r="H103" s="6">
        <f t="shared" si="1"/>
        <v>948</v>
      </c>
    </row>
    <row r="104" spans="1:8" hidden="1" x14ac:dyDescent="0.35">
      <c r="A104" s="4" t="s">
        <v>298</v>
      </c>
      <c r="B104" s="6">
        <v>1420</v>
      </c>
      <c r="C104" s="6">
        <v>2420</v>
      </c>
      <c r="D104" s="1">
        <v>0.41</v>
      </c>
      <c r="E104" t="s">
        <v>16703</v>
      </c>
      <c r="F104" t="s">
        <v>16703</v>
      </c>
      <c r="H104" s="6">
        <f t="shared" si="1"/>
        <v>1000</v>
      </c>
    </row>
    <row r="105" spans="1:8" hidden="1" x14ac:dyDescent="0.35">
      <c r="A105" s="4" t="s">
        <v>301</v>
      </c>
      <c r="B105" s="6">
        <v>1875</v>
      </c>
      <c r="C105" s="6">
        <v>1899</v>
      </c>
      <c r="D105" s="1">
        <v>0.01</v>
      </c>
      <c r="E105" t="s">
        <v>16703</v>
      </c>
      <c r="F105" t="s">
        <v>16703</v>
      </c>
      <c r="H105" s="6">
        <f t="shared" si="1"/>
        <v>24</v>
      </c>
    </row>
    <row r="106" spans="1:8" hidden="1" x14ac:dyDescent="0.35">
      <c r="A106" s="4" t="s">
        <v>304</v>
      </c>
      <c r="B106" s="6">
        <v>198</v>
      </c>
      <c r="C106" s="6">
        <v>260</v>
      </c>
      <c r="D106" s="1">
        <v>0.24</v>
      </c>
      <c r="E106" t="s">
        <v>16703</v>
      </c>
      <c r="F106" t="s">
        <v>16703</v>
      </c>
      <c r="H106" s="6">
        <f t="shared" si="1"/>
        <v>62</v>
      </c>
    </row>
    <row r="107" spans="1:8" hidden="1" x14ac:dyDescent="0.35">
      <c r="A107" s="4" t="s">
        <v>307</v>
      </c>
      <c r="B107" s="6">
        <v>1150</v>
      </c>
      <c r="C107" s="6">
        <v>1737</v>
      </c>
      <c r="D107" s="1">
        <v>0.34</v>
      </c>
      <c r="E107" t="s">
        <v>16703</v>
      </c>
      <c r="F107" t="s">
        <v>16703</v>
      </c>
      <c r="H107" s="6">
        <f t="shared" si="1"/>
        <v>587</v>
      </c>
    </row>
    <row r="108" spans="1:8" hidden="1" x14ac:dyDescent="0.35">
      <c r="A108" s="4" t="s">
        <v>310</v>
      </c>
      <c r="B108" s="6">
        <v>1190</v>
      </c>
      <c r="C108" s="6">
        <v>1810</v>
      </c>
      <c r="D108" s="1">
        <v>0.34</v>
      </c>
      <c r="E108" t="s">
        <v>16703</v>
      </c>
      <c r="F108" t="s">
        <v>16703</v>
      </c>
      <c r="H108" s="6">
        <f t="shared" si="1"/>
        <v>620</v>
      </c>
    </row>
    <row r="109" spans="1:8" hidden="1" x14ac:dyDescent="0.35">
      <c r="A109" s="4" t="s">
        <v>312</v>
      </c>
      <c r="B109" s="6">
        <v>1658</v>
      </c>
      <c r="C109" s="6">
        <v>1699</v>
      </c>
      <c r="D109" s="1">
        <v>0.02</v>
      </c>
      <c r="E109" t="s">
        <v>16703</v>
      </c>
      <c r="F109" t="s">
        <v>16703</v>
      </c>
      <c r="H109" s="6">
        <f t="shared" si="1"/>
        <v>41</v>
      </c>
    </row>
    <row r="110" spans="1:8" hidden="1" x14ac:dyDescent="0.35">
      <c r="A110" s="4" t="s">
        <v>314</v>
      </c>
      <c r="B110" s="6">
        <v>1768</v>
      </c>
      <c r="C110" s="6">
        <v>1799</v>
      </c>
      <c r="D110" s="1">
        <v>0.02</v>
      </c>
      <c r="E110" t="s">
        <v>16703</v>
      </c>
      <c r="F110" t="s">
        <v>16703</v>
      </c>
      <c r="H110" s="6">
        <f t="shared" si="1"/>
        <v>31</v>
      </c>
    </row>
    <row r="111" spans="1:8" hidden="1" x14ac:dyDescent="0.35">
      <c r="A111" s="4" t="s">
        <v>316</v>
      </c>
      <c r="B111" s="6">
        <v>199</v>
      </c>
      <c r="C111" s="6">
        <v>553</v>
      </c>
      <c r="D111" s="1">
        <v>0.64</v>
      </c>
      <c r="E111" t="s">
        <v>16703</v>
      </c>
      <c r="F111" t="s">
        <v>16703</v>
      </c>
      <c r="H111" s="6">
        <f t="shared" si="1"/>
        <v>354</v>
      </c>
    </row>
    <row r="112" spans="1:8" hidden="1" x14ac:dyDescent="0.35">
      <c r="A112" s="4" t="s">
        <v>318</v>
      </c>
      <c r="B112" s="6">
        <v>450</v>
      </c>
      <c r="C112" s="6">
        <v>900</v>
      </c>
      <c r="D112" s="1">
        <v>0.5</v>
      </c>
      <c r="E112">
        <v>1</v>
      </c>
      <c r="F112">
        <v>2</v>
      </c>
      <c r="G112" t="s">
        <v>16708</v>
      </c>
      <c r="H112" s="6">
        <f t="shared" si="1"/>
        <v>450</v>
      </c>
    </row>
    <row r="113" spans="1:8" hidden="1" x14ac:dyDescent="0.35">
      <c r="A113" s="4" t="s">
        <v>320</v>
      </c>
      <c r="B113" s="6">
        <v>169</v>
      </c>
      <c r="C113" s="6">
        <v>320</v>
      </c>
      <c r="D113" s="1">
        <v>0.47</v>
      </c>
      <c r="E113" t="s">
        <v>16703</v>
      </c>
      <c r="F113" t="s">
        <v>16703</v>
      </c>
      <c r="H113" s="6">
        <f t="shared" si="1"/>
        <v>151</v>
      </c>
    </row>
    <row r="114" spans="1:8" hidden="1" x14ac:dyDescent="0.35"/>
    <row r="115" spans="1:8" x14ac:dyDescent="0.35">
      <c r="B115" s="6">
        <f>AVERAGE(B2:B113)</f>
        <v>1188.5</v>
      </c>
      <c r="C115" s="6">
        <f>AVERAGE(C2:C113)</f>
        <v>1815.5714285714287</v>
      </c>
      <c r="D115" s="1">
        <f>AVERAGE(D2:D113)</f>
        <v>0.36776785714285715</v>
      </c>
      <c r="E115">
        <f>SUM(E2:E113)</f>
        <v>723</v>
      </c>
      <c r="F115">
        <f>AVERAGE(F2:F113)</f>
        <v>3.8894736842105258</v>
      </c>
    </row>
    <row r="116" spans="1:8" hidden="1" x14ac:dyDescent="0.35"/>
    <row r="117" spans="1:8" hidden="1" x14ac:dyDescent="0.35">
      <c r="B117" s="6">
        <f>MAX(B2:B113)</f>
        <v>3750</v>
      </c>
    </row>
    <row r="118" spans="1:8" hidden="1" x14ac:dyDescent="0.35">
      <c r="B118" s="6">
        <f>MIN(B2:B113)</f>
        <v>38</v>
      </c>
    </row>
  </sheetData>
  <autoFilter ref="A1:J118" xr:uid="{5E91D20C-5FDD-43E5-BDE9-EDFB9F35A509}">
    <filterColumn colId="4">
      <top10 val="10" filterVal="20"/>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EE73CF-3D76-470B-A8D9-776EBE0101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Excel_jumia_dataset (1)</vt:lpstr>
      <vt:lpstr>Sheet2</vt:lpstr>
      <vt:lpstr>top discount</vt:lpstr>
      <vt:lpstr>nalysis</vt:lpstr>
      <vt:lpstr>Sheet12</vt:lpstr>
      <vt:lpstr>highest rated products</vt:lpstr>
      <vt:lpstr>Cleaned</vt:lpstr>
      <vt:lpstr>overview</vt:lpstr>
      <vt:lpstr>product perfomance</vt:lpstr>
      <vt:lpstr>Sheet8 (4)</vt:lpstr>
      <vt:lpstr>Sheet8 (5)</vt:lpstr>
      <vt:lpstr>Sheet7</vt:lpstr>
      <vt:lpstr>Discount vs Reviews</vt:lpstr>
      <vt:lpstr>Ratings vs Reviews</vt:lpstr>
      <vt:lpstr>Price vs Rating</vt:lpstr>
      <vt:lpstr>total product</vt:lpstr>
      <vt:lpstr> Product Performance Analysis </vt:lpstr>
      <vt:lpstr>discount to ratings</vt:lpstr>
      <vt:lpstr>products to review</vt:lpstr>
      <vt:lpstr>Top 5 Highest-Rated Products</vt:lpstr>
      <vt:lpstr>Bottom 5 Products</vt:lpstr>
      <vt:lpstr>Products With High Discounts bu</vt:lpstr>
      <vt:lpstr>Products With Strong Customer E</vt:lpstr>
      <vt:lpstr>Dashboard</vt:lpstr>
      <vt:lpstr>Chart 1  Top 10 Products by Rat</vt:lpstr>
      <vt:lpstr>top 10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taphia karanja</cp:lastModifiedBy>
  <dcterms:created xsi:type="dcterms:W3CDTF">2026-09-03T08:52:45Z</dcterms:created>
  <dcterms:modified xsi:type="dcterms:W3CDTF">2026-09-05T14:42:29Z</dcterms:modified>
</cp:coreProperties>
</file>